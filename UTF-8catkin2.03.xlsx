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nematics" sheetId="1" state="visible" r:id="rId2"/>
    <sheet name="small plots" sheetId="2" state="visible" r:id="rId3"/>
    <sheet name="lab angle vs cm" sheetId="3" state="visible" r:id="rId4"/>
    <sheet name="lab KE vs cm" sheetId="4" state="visible" r:id="rId5"/>
    <sheet name="CALCULATOR" sheetId="5" state="visible" r:id="rId6"/>
    <sheet name="plectrum plots" sheetId="6" state="visible" r:id="rId7"/>
    <sheet name="Plotting Sheet" sheetId="7" state="visible" r:id="rId8"/>
    <sheet name="mass_rmd.mas" sheetId="8" state="visible" r:id="rId9"/>
  </sheets>
  <definedNames>
    <definedName function="false" hidden="false" name="A_values" vbProcedure="false">'mass_rmd.mas'!$C:$C</definedName>
    <definedName function="false" hidden="false" name="Delta_values" vbProcedure="false">'mass_rmd.mas'!$G:$G</definedName>
    <definedName function="false" hidden="false" name="Mass_lookup" vbProcedure="false">#REF!</definedName>
    <definedName function="false" hidden="false" name="Print_plot" vbProcedure="false">'small plots'!$B$2:$Q$62</definedName>
    <definedName function="false" hidden="false" name="Print_table" vbProcedure="false">kinematics!$B$1:$S$27</definedName>
    <definedName function="false" hidden="false" name="Symbols" vbProcedure="false">#REF!</definedName>
    <definedName function="false" hidden="false" name="Symbol_list" vbProcedure="false">#REF!</definedName>
    <definedName function="false" hidden="false" name="Symbol_list2" vbProcedure="false">#REF!</definedName>
    <definedName function="false" hidden="false" name="Symbol_values" vbProcedure="false">'mass_rmd.mas'!$D:$D</definedName>
    <definedName function="false" hidden="false" name="Zs" vbProcedure="false">#REF!</definedName>
    <definedName function="false" hidden="false" name="Z_list" vbProcedure="false">#REF!</definedName>
    <definedName function="false" hidden="false" name="Z_values" vbProcedure="false">'mass_rmd.mas'!$B:$B</definedName>
    <definedName function="false" hidden="false" localSheetId="4" name="solver_adj" vbProcedure="false">CALCULATOR!$N$193</definedName>
    <definedName function="false" hidden="false" localSheetId="4" name="solver_cvg" vbProcedure="false">0.001</definedName>
    <definedName function="false" hidden="false" localSheetId="4" name="solver_drv" vbProcedure="false">1</definedName>
    <definedName function="false" hidden="false" localSheetId="4" name="solver_est" vbProcedure="false">1</definedName>
    <definedName function="false" hidden="false" localSheetId="4" name="solver_itr" vbProcedure="false">100</definedName>
    <definedName function="false" hidden="false" localSheetId="4" name="solver_lin" vbProcedure="false">2</definedName>
    <definedName function="false" hidden="false" localSheetId="4" name="solver_neg" vbProcedure="false">2</definedName>
    <definedName function="false" hidden="false" localSheetId="4" name="solver_num" vbProcedure="false">0</definedName>
    <definedName function="false" hidden="false" localSheetId="4" name="solver_nwt" vbProcedure="false">1</definedName>
    <definedName function="false" hidden="false" localSheetId="4" name="solver_opt" vbProcedure="false">CALCULATOR!$N$195</definedName>
    <definedName function="false" hidden="false" localSheetId="4" name="solver_pre" vbProcedure="false">0.000001</definedName>
    <definedName function="false" hidden="false" localSheetId="4" name="solver_scl" vbProcedure="false">2</definedName>
    <definedName function="false" hidden="false" localSheetId="4" name="solver_sho" vbProcedure="false">2</definedName>
    <definedName function="false" hidden="false" localSheetId="4" name="solver_tim" vbProcedure="false">100</definedName>
    <definedName function="false" hidden="false" localSheetId="4" name="solver_tol" vbProcedure="false">0.05</definedName>
    <definedName function="false" hidden="false" localSheetId="4" name="solver_typ" vbProcedure="false">3</definedName>
    <definedName function="false" hidden="false" localSheetId="4" name="solver_val" vbProcedure="false">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<sst xmlns="http://schemas.openxmlformats.org/spreadsheetml/2006/main" count="5815" uniqueCount="1526">
  <si>
    <t xml:space="preserve">Beam</t>
  </si>
  <si>
    <t xml:space="preserve">Mass</t>
  </si>
  <si>
    <t xml:space="preserve">symbol</t>
  </si>
  <si>
    <t xml:space="preserve">mass</t>
  </si>
  <si>
    <t xml:space="preserve">Energy</t>
  </si>
  <si>
    <t xml:space="preserve">E(c.m.)</t>
  </si>
  <si>
    <t xml:space="preserve">Z value</t>
  </si>
  <si>
    <t xml:space="preserve">excess</t>
  </si>
  <si>
    <t xml:space="preserve">Q-value</t>
  </si>
  <si>
    <t xml:space="preserve">This spreadsheet</t>
  </si>
  <si>
    <t xml:space="preserve">(for neutron use nn)</t>
  </si>
  <si>
    <t xml:space="preserve">(MeV)</t>
  </si>
  <si>
    <r>
      <rPr>
        <sz val="10"/>
        <rFont val="Symbol"/>
        <family val="1"/>
        <charset val="2"/>
      </rPr>
      <t xml:space="preserve">D (</t>
    </r>
    <r>
      <rPr>
        <sz val="10"/>
        <rFont val="Arial"/>
        <family val="2"/>
        <charset val="1"/>
      </rPr>
      <t xml:space="preserve">MeV</t>
    </r>
    <r>
      <rPr>
        <sz val="10"/>
        <rFont val="Symbol"/>
        <family val="1"/>
        <charset val="2"/>
      </rPr>
      <t xml:space="preserve">)</t>
    </r>
  </si>
  <si>
    <t xml:space="preserve">(amu)</t>
  </si>
  <si>
    <t xml:space="preserve">for relativistic kinematics</t>
  </si>
  <si>
    <t xml:space="preserve">energy is</t>
  </si>
  <si>
    <t xml:space="preserve">was written by</t>
  </si>
  <si>
    <t xml:space="preserve">Er</t>
  </si>
  <si>
    <t xml:space="preserve">g.s.</t>
  </si>
  <si>
    <t xml:space="preserve">final state</t>
  </si>
  <si>
    <t xml:space="preserve">Wilton Catford</t>
  </si>
  <si>
    <t xml:space="preserve">Target</t>
  </si>
  <si>
    <t xml:space="preserve">Ni</t>
  </si>
  <si>
    <t xml:space="preserve">threshold</t>
  </si>
  <si>
    <t xml:space="preserve">Reaction</t>
  </si>
  <si>
    <r>
      <rPr>
        <sz val="10"/>
        <rFont val="Symbol"/>
        <family val="1"/>
        <charset val="2"/>
      </rPr>
      <t xml:space="preserve">Ó</t>
    </r>
    <r>
      <rPr>
        <sz val="10"/>
        <rFont val="Arial"/>
        <family val="2"/>
        <charset val="1"/>
      </rPr>
      <t xml:space="preserve">1998,2005, 2019 W.N. Catford</t>
    </r>
  </si>
  <si>
    <t xml:space="preserve">Excitation</t>
  </si>
  <si>
    <t xml:space="preserve">Ejectile</t>
  </si>
  <si>
    <t xml:space="preserve">MeV</t>
  </si>
  <si>
    <t xml:space="preserve">w.catford@surrey.ac.uk</t>
  </si>
  <si>
    <t xml:space="preserve">Recoil</t>
  </si>
  <si>
    <t xml:space="preserve">"CatKIN" ver.2.03</t>
  </si>
  <si>
    <t xml:space="preserve">Second Solution</t>
  </si>
  <si>
    <t xml:space="preserve">Lab</t>
  </si>
  <si>
    <t xml:space="preserve">c.m.</t>
  </si>
  <si>
    <t xml:space="preserve">cm/lab</t>
  </si>
  <si>
    <t xml:space="preserve">angle</t>
  </si>
  <si>
    <t xml:space="preserve">energy</t>
  </si>
  <si>
    <t xml:space="preserve">ratio</t>
  </si>
  <si>
    <t xml:space="preserve">y</t>
  </si>
  <si>
    <t xml:space="preserve">betac</t>
  </si>
  <si>
    <t xml:space="preserve">ecmi</t>
  </si>
  <si>
    <t xml:space="preserve">ecmf</t>
  </si>
  <si>
    <t xml:space="preserve">e3cm</t>
  </si>
  <si>
    <t xml:space="preserve">beta3c</t>
  </si>
  <si>
    <t xml:space="preserve">y_new</t>
  </si>
  <si>
    <t xml:space="preserve">cosagl</t>
  </si>
  <si>
    <t xml:space="preserve">b</t>
  </si>
  <si>
    <t xml:space="preserve">a</t>
  </si>
  <si>
    <t xml:space="preserve">c</t>
  </si>
  <si>
    <t xml:space="preserve">d**2</t>
  </si>
  <si>
    <t xml:space="preserve">b3L1</t>
  </si>
  <si>
    <t xml:space="preserve">y_loop</t>
  </si>
  <si>
    <t xml:space="preserve">y_adj</t>
  </si>
  <si>
    <t xml:space="preserve">angl4</t>
  </si>
  <si>
    <t xml:space="preserve">b3L2</t>
  </si>
  <si>
    <t xml:space="preserve">y_loop2</t>
  </si>
  <si>
    <t xml:space="preserve">y_adj2</t>
  </si>
  <si>
    <t xml:space="preserve">angl4_2</t>
  </si>
  <si>
    <t xml:space="preserve">step</t>
  </si>
  <si>
    <t xml:space="preserve">ejectile lab energy</t>
  </si>
  <si>
    <t xml:space="preserve">solution 2</t>
  </si>
  <si>
    <t xml:space="preserve">recoil angle</t>
  </si>
  <si>
    <t xml:space="preserve">recoil energy</t>
  </si>
  <si>
    <t xml:space="preserve">e vs. angle for recoil</t>
  </si>
  <si>
    <t xml:space="preserve">E sep</t>
  </si>
  <si>
    <t xml:space="preserve">B-rho</t>
  </si>
  <si>
    <t xml:space="preserve">E/A</t>
  </si>
  <si>
    <t xml:space="preserve">sigma</t>
  </si>
  <si>
    <t xml:space="preserve">Brink</t>
  </si>
  <si>
    <t xml:space="preserve">M/Scatt</t>
  </si>
  <si>
    <t xml:space="preserve">Barrier</t>
  </si>
  <si>
    <t xml:space="preserve">Conesize</t>
  </si>
  <si>
    <r>
      <rPr>
        <sz val="10"/>
        <rFont val="Symbol"/>
        <family val="1"/>
        <charset val="2"/>
      </rPr>
      <t xml:space="preserve">Ó</t>
    </r>
    <r>
      <rPr>
        <sz val="10"/>
        <rFont val="Arial"/>
        <family val="2"/>
        <charset val="1"/>
      </rPr>
      <t xml:space="preserve">1998,2002,2004 W.N. Catford</t>
    </r>
  </si>
  <si>
    <t xml:space="preserve">Mass Value</t>
  </si>
  <si>
    <t xml:space="preserve">n</t>
  </si>
  <si>
    <r>
      <rPr>
        <sz val="10"/>
        <rFont val="Symbol"/>
        <family val="1"/>
        <charset val="2"/>
      </rPr>
      <t xml:space="preserve">D</t>
    </r>
    <r>
      <rPr>
        <sz val="10"/>
        <rFont val="Arial"/>
        <family val="2"/>
        <charset val="1"/>
      </rPr>
      <t xml:space="preserve"> </t>
    </r>
  </si>
  <si>
    <t xml:space="preserve">amu</t>
  </si>
  <si>
    <t xml:space="preserve">kg</t>
  </si>
  <si>
    <t xml:space="preserve">Separation Energy</t>
  </si>
  <si>
    <t xml:space="preserve">ne</t>
  </si>
  <si>
    <r>
      <rPr>
        <sz val="10"/>
        <rFont val="Arial"/>
        <family val="0"/>
        <charset val="1"/>
      </rPr>
      <t xml:space="preserve">E</t>
    </r>
    <r>
      <rPr>
        <i val="true"/>
        <sz val="8"/>
        <rFont val="Arial"/>
        <family val="2"/>
        <charset val="1"/>
      </rPr>
      <t xml:space="preserve">sep </t>
    </r>
    <r>
      <rPr>
        <sz val="10"/>
        <rFont val="Arial"/>
        <family val="2"/>
        <charset val="1"/>
      </rPr>
      <t xml:space="preserve">(MeV)</t>
    </r>
  </si>
  <si>
    <r>
      <rPr>
        <sz val="10"/>
        <rFont val="Symbol"/>
        <family val="1"/>
        <charset val="2"/>
      </rPr>
      <t xml:space="preserve">D</t>
    </r>
    <r>
      <rPr>
        <sz val="10"/>
        <rFont val="Arial"/>
        <family val="2"/>
        <charset val="1"/>
      </rPr>
      <t xml:space="preserve"> (MeV)</t>
    </r>
  </si>
  <si>
    <t xml:space="preserve">(neutron=nn)</t>
  </si>
  <si>
    <t xml:space="preserve">remove</t>
  </si>
  <si>
    <t xml:space="preserve">he</t>
  </si>
  <si>
    <t xml:space="preserve">MeV to effect separation</t>
  </si>
  <si>
    <t xml:space="preserve">add</t>
  </si>
  <si>
    <t xml:space="preserve">Reaction Q-value</t>
  </si>
  <si>
    <t xml:space="preserve">target</t>
  </si>
  <si>
    <t xml:space="preserve">beam</t>
  </si>
  <si>
    <t xml:space="preserve">ejectile</t>
  </si>
  <si>
    <t xml:space="preserve">recoil</t>
  </si>
  <si>
    <t xml:space="preserve"> (Two body)</t>
  </si>
  <si>
    <t xml:space="preserve">be</t>
  </si>
  <si>
    <t xml:space="preserve">h</t>
  </si>
  <si>
    <r>
      <rPr>
        <sz val="10"/>
        <rFont val="Symbol"/>
        <family val="1"/>
        <charset val="2"/>
      </rPr>
      <t xml:space="preserve">D </t>
    </r>
    <r>
      <rPr>
        <sz val="10"/>
        <rFont val="Arial"/>
        <family val="2"/>
        <charset val="1"/>
      </rPr>
      <t xml:space="preserve">(MeV)</t>
    </r>
  </si>
  <si>
    <t xml:space="preserve">Q-value=</t>
  </si>
  <si>
    <t xml:space="preserve">recoil breaks up into</t>
  </si>
  <si>
    <t xml:space="preserve">nn</t>
  </si>
  <si>
    <t xml:space="preserve"> (Three body:)</t>
  </si>
  <si>
    <t xml:space="preserve">B-rho / momentum calculator</t>
  </si>
  <si>
    <t xml:space="preserve">A</t>
  </si>
  <si>
    <t xml:space="preserve">q</t>
  </si>
  <si>
    <t xml:space="preserve">MeV/u</t>
  </si>
  <si>
    <t xml:space="preserve">MeV/A</t>
  </si>
  <si>
    <t xml:space="preserve">B rho (T.m)</t>
  </si>
  <si>
    <t xml:space="preserve">Ion=</t>
  </si>
  <si>
    <t xml:space="preserve">k</t>
  </si>
  <si>
    <t xml:space="preserve">Z=</t>
  </si>
  <si>
    <t xml:space="preserve">beta=</t>
  </si>
  <si>
    <t xml:space="preserve">%</t>
  </si>
  <si>
    <t xml:space="preserve">KE=</t>
  </si>
  <si>
    <t xml:space="preserve">v=</t>
  </si>
  <si>
    <t xml:space="preserve">cm/ns</t>
  </si>
  <si>
    <t xml:space="preserve">Flight path (m)</t>
  </si>
  <si>
    <t xml:space="preserve">gamma=</t>
  </si>
  <si>
    <t xml:space="preserve">p=</t>
  </si>
  <si>
    <t xml:space="preserve">GeV/c</t>
  </si>
  <si>
    <t xml:space="preserve">TOF=</t>
  </si>
  <si>
    <t xml:space="preserve">ns</t>
  </si>
  <si>
    <t xml:space="preserve">Quick E/A calculator</t>
  </si>
  <si>
    <t xml:space="preserve">beta (%c)</t>
  </si>
  <si>
    <r>
      <rPr>
        <sz val="10"/>
        <rFont val="Arial"/>
        <family val="0"/>
        <charset val="1"/>
      </rPr>
      <t xml:space="preserve">E/A and TOF and </t>
    </r>
    <r>
      <rPr>
        <sz val="10"/>
        <rFont val="Symbol"/>
        <family val="1"/>
        <charset val="2"/>
      </rPr>
      <t xml:space="preserve">b</t>
    </r>
  </si>
  <si>
    <t xml:space="preserve">from B-Rho</t>
  </si>
  <si>
    <t xml:space="preserve">B rho</t>
  </si>
  <si>
    <t xml:space="preserve">v  =</t>
  </si>
  <si>
    <t xml:space="preserve">gamma =</t>
  </si>
  <si>
    <t xml:space="preserve">to TOP</t>
  </si>
  <si>
    <t xml:space="preserve">Cross sections and counting rates</t>
  </si>
  <si>
    <t xml:space="preserve">g/cm2</t>
  </si>
  <si>
    <t xml:space="preserve">mg/cm2</t>
  </si>
  <si>
    <t xml:space="preserve">barns</t>
  </si>
  <si>
    <t xml:space="preserve">pps</t>
  </si>
  <si>
    <r>
      <rPr>
        <sz val="10"/>
        <rFont val="Symbol"/>
        <family val="1"/>
        <charset val="2"/>
      </rPr>
      <t xml:space="preserve">m</t>
    </r>
    <r>
      <rPr>
        <sz val="10"/>
        <rFont val="Arial"/>
        <family val="2"/>
        <charset val="1"/>
      </rPr>
      <t xml:space="preserve">A</t>
    </r>
  </si>
  <si>
    <t xml:space="preserve">valence</t>
  </si>
  <si>
    <t xml:space="preserve">mC</t>
  </si>
  <si>
    <t xml:space="preserve">A(tgt)</t>
  </si>
  <si>
    <t xml:space="preserve">Prob(int)</t>
  </si>
  <si>
    <r>
      <rPr>
        <sz val="10"/>
        <rFont val="Symbol"/>
        <family val="1"/>
        <charset val="2"/>
      </rPr>
      <t xml:space="preserve">m</t>
    </r>
    <r>
      <rPr>
        <sz val="10"/>
        <rFont val="Arial Black"/>
        <family val="2"/>
        <charset val="1"/>
      </rPr>
      <t xml:space="preserve">b/sr</t>
    </r>
  </si>
  <si>
    <t xml:space="preserve">msr</t>
  </si>
  <si>
    <t xml:space="preserve">yield / s</t>
  </si>
  <si>
    <t xml:space="preserve">yield / hr</t>
  </si>
  <si>
    <t xml:space="preserve">(a)</t>
  </si>
  <si>
    <t xml:space="preserve">(b)</t>
  </si>
  <si>
    <t xml:space="preserve">integrated yield</t>
  </si>
  <si>
    <t xml:space="preserve">(c)</t>
  </si>
  <si>
    <t xml:space="preserve">(d)</t>
  </si>
  <si>
    <t xml:space="preserve">Coulomb barriers and safe energies</t>
  </si>
  <si>
    <t xml:space="preserve">Safe means 5 fm minimum between nuclear surfaces or as specified below</t>
  </si>
  <si>
    <t xml:space="preserve">mass (u)</t>
  </si>
  <si>
    <r>
      <rPr>
        <sz val="8"/>
        <rFont val="Arial"/>
        <family val="2"/>
        <charset val="1"/>
      </rPr>
      <t xml:space="preserve">separation</t>
    </r>
    <r>
      <rPr>
        <sz val="10"/>
        <rFont val="Arial"/>
        <family val="2"/>
        <charset val="1"/>
      </rPr>
      <t xml:space="preserve">=</t>
    </r>
  </si>
  <si>
    <t xml:space="preserve">fm  = minimum surface separation required</t>
  </si>
  <si>
    <t xml:space="preserve">Incident particle =</t>
  </si>
  <si>
    <t xml:space="preserve">kr</t>
  </si>
  <si>
    <t xml:space="preserve">radius =</t>
  </si>
  <si>
    <t xml:space="preserve">times A^(1/3)</t>
  </si>
  <si>
    <t xml:space="preserve">Target particle =</t>
  </si>
  <si>
    <t xml:space="preserve">pb</t>
  </si>
  <si>
    <t xml:space="preserve">or</t>
  </si>
  <si>
    <t xml:space="preserve">ni</t>
  </si>
  <si>
    <t xml:space="preserve">Incident energy =</t>
  </si>
  <si>
    <t xml:space="preserve">barrier =</t>
  </si>
  <si>
    <t xml:space="preserve">=</t>
  </si>
  <si>
    <t xml:space="preserve">Sum of radii =</t>
  </si>
  <si>
    <t xml:space="preserve">fm</t>
  </si>
  <si>
    <t xml:space="preserve">theta</t>
  </si>
  <si>
    <t xml:space="preserve">E(safe)</t>
  </si>
  <si>
    <t xml:space="preserve">E/A (safe)</t>
  </si>
  <si>
    <t xml:space="preserve">d (closest)</t>
  </si>
  <si>
    <t xml:space="preserve">(degrees)</t>
  </si>
  <si>
    <t xml:space="preserve">(Mev/A)</t>
  </si>
  <si>
    <t xml:space="preserve">(fm)</t>
  </si>
  <si>
    <t xml:space="preserve">Breakup cones (non-relativistic)</t>
  </si>
  <si>
    <t xml:space="preserve">Kinematic focussing of breakup particles at non-relativistic velocities</t>
  </si>
  <si>
    <t xml:space="preserve">Excitation energy =</t>
  </si>
  <si>
    <r>
      <rPr>
        <sz val="10"/>
        <rFont val="Symbol"/>
        <family val="1"/>
        <charset val="2"/>
      </rPr>
      <t xml:space="preserve">b</t>
    </r>
    <r>
      <rPr>
        <sz val="10"/>
        <rFont val="Arial"/>
        <family val="2"/>
        <charset val="1"/>
      </rPr>
      <t xml:space="preserve"> = v/c</t>
    </r>
  </si>
  <si>
    <t xml:space="preserve">Particle</t>
  </si>
  <si>
    <t xml:space="preserve">E_rel</t>
  </si>
  <si>
    <r>
      <rPr>
        <sz val="10"/>
        <rFont val="Symbol"/>
        <family val="1"/>
        <charset val="2"/>
      </rPr>
      <t xml:space="preserve">b</t>
    </r>
    <r>
      <rPr>
        <sz val="10"/>
        <rFont val="Arial"/>
        <family val="2"/>
        <charset val="1"/>
      </rPr>
      <t xml:space="preserve">_rel</t>
    </r>
  </si>
  <si>
    <t xml:space="preserve">cone size (half-angle)</t>
  </si>
  <si>
    <t xml:space="preserve">Kinetic energy =</t>
  </si>
  <si>
    <t xml:space="preserve">(=v_rel/c)</t>
  </si>
  <si>
    <t xml:space="preserve">mrad</t>
  </si>
  <si>
    <t xml:space="preserve">degrees</t>
  </si>
  <si>
    <t xml:space="preserve">Emitted particle =</t>
  </si>
  <si>
    <t xml:space="preserve">Remaining particle =</t>
  </si>
  <si>
    <t xml:space="preserve">Brink Matching Conditions for Transfer</t>
  </si>
  <si>
    <t xml:space="preserve">Adapted from semiclassical formulae derived by David Brink:       D.M. Brink, Phys. Lett. 40B (1972) 37</t>
  </si>
  <si>
    <t xml:space="preserve">If used correctly, the tables below will determine whether transfer is stripping or pickup, plus the preferred lambda_1 value and final spin, for a given recoil excitation energy</t>
  </si>
  <si>
    <t xml:space="preserve">o</t>
  </si>
  <si>
    <t xml:space="preserve">L(cluster) in projectile</t>
  </si>
  <si>
    <t xml:space="preserve">Z change</t>
  </si>
  <si>
    <t xml:space="preserve">consistent</t>
  </si>
  <si>
    <r>
      <rPr>
        <sz val="10"/>
        <rFont val="Arial"/>
        <family val="0"/>
        <charset val="1"/>
      </rPr>
      <t xml:space="preserve">hc/2</t>
    </r>
    <r>
      <rPr>
        <sz val="10"/>
        <rFont val="Symbol"/>
        <family val="1"/>
        <charset val="2"/>
      </rPr>
      <t xml:space="preserve">p</t>
    </r>
    <r>
      <rPr>
        <sz val="10"/>
        <rFont val="Arial"/>
        <family val="2"/>
        <charset val="1"/>
      </rPr>
      <t xml:space="preserve"> =</t>
    </r>
  </si>
  <si>
    <t xml:space="preserve">A change</t>
  </si>
  <si>
    <t xml:space="preserve">Cluster =</t>
  </si>
  <si>
    <t xml:space="preserve">E_x (max) =</t>
  </si>
  <si>
    <t xml:space="preserve">suggest1.4</t>
  </si>
  <si>
    <t xml:space="preserve">r_0 value =</t>
  </si>
  <si>
    <t xml:space="preserve">r_1 =</t>
  </si>
  <si>
    <t xml:space="preserve">r_2 =</t>
  </si>
  <si>
    <r>
      <rPr>
        <sz val="10"/>
        <rFont val="Symbol"/>
        <family val="1"/>
        <charset val="2"/>
      </rPr>
      <t xml:space="preserve">b</t>
    </r>
    <r>
      <rPr>
        <sz val="10"/>
        <rFont val="Arial"/>
        <family val="2"/>
        <charset val="1"/>
      </rPr>
      <t xml:space="preserve"> (beam) = v/c =</t>
    </r>
  </si>
  <si>
    <t xml:space="preserve">r_total =</t>
  </si>
  <si>
    <t xml:space="preserve">QeffR =</t>
  </si>
  <si>
    <t xml:space="preserve">For E_x =</t>
  </si>
  <si>
    <t xml:space="preserve">lambda_1</t>
  </si>
  <si>
    <r>
      <rPr>
        <sz val="10"/>
        <rFont val="Symbol"/>
        <family val="1"/>
        <charset val="2"/>
      </rPr>
      <t xml:space="preserve">l</t>
    </r>
    <r>
      <rPr>
        <sz val="10"/>
        <rFont val="Arial"/>
        <family val="2"/>
        <charset val="1"/>
      </rPr>
      <t xml:space="preserve">_2 (opt)</t>
    </r>
  </si>
  <si>
    <r>
      <rPr>
        <sz val="10"/>
        <rFont val="Symbol"/>
        <family val="1"/>
        <charset val="2"/>
      </rPr>
      <t xml:space="preserve">Dl</t>
    </r>
    <r>
      <rPr>
        <sz val="10"/>
        <rFont val="Arial"/>
        <family val="2"/>
        <charset val="1"/>
      </rPr>
      <t xml:space="preserve"> (L-k)</t>
    </r>
  </si>
  <si>
    <t xml:space="preserve">E_x</t>
  </si>
  <si>
    <t xml:space="preserve">(as specified above)</t>
  </si>
  <si>
    <t xml:space="preserve">(L match)</t>
  </si>
  <si>
    <t xml:space="preserve">(k match)</t>
  </si>
  <si>
    <t xml:space="preserve">(mismatch)</t>
  </si>
  <si>
    <t xml:space="preserve">these columns should</t>
  </si>
  <si>
    <t xml:space="preserve">i.e.   near</t>
  </si>
  <si>
    <t xml:space="preserve">be close, for optimum</t>
  </si>
  <si>
    <t xml:space="preserve">zero here</t>
  </si>
  <si>
    <t xml:space="preserve">Choose the best value of lambda_1 according to the above, to be</t>
  </si>
  <si>
    <t xml:space="preserve">used below:</t>
  </si>
  <si>
    <t xml:space="preserve">lambda_1(opt)  =</t>
  </si>
  <si>
    <t xml:space="preserve">Matching for  E_x  between 0 and max allowed, with given lambda_1</t>
  </si>
  <si>
    <t xml:space="preserve">Matching for  E_x  in detailed range of interest, with given lambda_1</t>
  </si>
  <si>
    <t xml:space="preserve">QeffR(E_x)</t>
  </si>
  <si>
    <t xml:space="preserve">E_x (MeV)</t>
  </si>
  <si>
    <t xml:space="preserve">step =</t>
  </si>
  <si>
    <t xml:space="preserve">start =</t>
  </si>
  <si>
    <t xml:space="preserve">Interpretation:</t>
  </si>
  <si>
    <t xml:space="preserve">Given the initial L of the transferred nucleon/cluster in the projectile/target,</t>
  </si>
  <si>
    <t xml:space="preserve">the upper table calulates (for one particular excitation energy) the matching for the different</t>
  </si>
  <si>
    <t xml:space="preserve">projections of L in the initial system, and by choosing the minimum mismatch this</t>
  </si>
  <si>
    <t xml:space="preserve">indicates the preferred initial projection (lambda_1) and the preferred final projection (lambda_2)</t>
  </si>
  <si>
    <t xml:space="preserve">and lambda_2 may be taken as a measure of the preferred final state spin</t>
  </si>
  <si>
    <t xml:space="preserve">The lower tables take the preferred lambda_1 from the upper table,</t>
  </si>
  <si>
    <t xml:space="preserve">and investigate the dependence of the matchng over a range of excitation energies</t>
  </si>
  <si>
    <t xml:space="preserve">(note: strictly speaking, the optimum lambda_1 may be a function of excitation in some cases)</t>
  </si>
  <si>
    <t xml:space="preserve">Multiple Scattering from Marion &amp; Young</t>
  </si>
  <si>
    <t xml:space="preserve">MARION &amp; YOUNG, Nuclear Reaction Analysis, page 31 and NIM 51(1967)93 </t>
  </si>
  <si>
    <t xml:space="preserve">Z</t>
  </si>
  <si>
    <t xml:space="preserve">Chi-C</t>
  </si>
  <si>
    <t xml:space="preserve">b=</t>
  </si>
  <si>
    <t xml:space="preserve">Target material =</t>
  </si>
  <si>
    <t xml:space="preserve">au</t>
  </si>
  <si>
    <t xml:space="preserve">B=</t>
  </si>
  <si>
    <t xml:space="preserve">(1) select cell  containing goal value</t>
  </si>
  <si>
    <t xml:space="preserve">goal =</t>
  </si>
  <si>
    <t xml:space="preserve">(2) select 'goal seek' from Tools menu on top bar</t>
  </si>
  <si>
    <t xml:space="preserve">Thickness</t>
  </si>
  <si>
    <r>
      <rPr>
        <sz val="10"/>
        <rFont val="Symbol"/>
        <family val="1"/>
        <charset val="2"/>
      </rPr>
      <t xml:space="preserve">m</t>
    </r>
    <r>
      <rPr>
        <sz val="10"/>
        <rFont val="Arial"/>
        <family val="2"/>
        <charset val="1"/>
      </rPr>
      <t xml:space="preserve">g/cm2</t>
    </r>
  </si>
  <si>
    <t xml:space="preserve">(3) type in a value of zero for "To value" and press tab key</t>
  </si>
  <si>
    <t xml:space="preserve">(4) click on the coloured square in "By changing cell" line</t>
  </si>
  <si>
    <t xml:space="preserve">(5) click on cell containing B value</t>
  </si>
  <si>
    <t xml:space="preserve">(6) click on the coloured square in "By changing cell"</t>
  </si>
  <si>
    <t xml:space="preserve">or else simply press</t>
  </si>
  <si>
    <t xml:space="preserve">(7) click OK to initiate the solving process</t>
  </si>
  <si>
    <t xml:space="preserve">ctl-m</t>
  </si>
  <si>
    <t xml:space="preserve">Table shows width parameters</t>
  </si>
  <si>
    <t xml:space="preserve">(8) click OK again</t>
  </si>
  <si>
    <t xml:space="preserve">to calculate</t>
  </si>
  <si>
    <t xml:space="preserve">for the presumed gaussian</t>
  </si>
  <si>
    <t xml:space="preserve">(9) check final value of B in the cell on the sheet</t>
  </si>
  <si>
    <t xml:space="preserve">steps (1)-(10)</t>
  </si>
  <si>
    <t xml:space="preserve">angular distribution existing</t>
  </si>
  <si>
    <t xml:space="preserve">(9) Solutions 4 &lt; B &lt; 15 satisfy all assumptions in theory</t>
  </si>
  <si>
    <t xml:space="preserve">using a macro</t>
  </si>
  <si>
    <t xml:space="preserve">after multiple scattering</t>
  </si>
  <si>
    <t xml:space="preserve">(10) result given below, assuming B valid &amp; goal near zero</t>
  </si>
  <si>
    <t xml:space="preserve">Units</t>
  </si>
  <si>
    <t xml:space="preserve">fwhm</t>
  </si>
  <si>
    <t xml:space="preserve">10%to90%</t>
  </si>
  <si>
    <t xml:space="preserve">1/e</t>
  </si>
  <si>
    <t xml:space="preserve">lab angle vs centre of mass angle</t>
  </si>
  <si>
    <t xml:space="preserve">lab energies vs centre of mass angle</t>
  </si>
  <si>
    <t xml:space="preserve">sorted</t>
  </si>
  <si>
    <t xml:space="preserve">data</t>
  </si>
  <si>
    <t xml:space="preserve">solution 1</t>
  </si>
  <si>
    <t xml:space="preserve">cm angle</t>
  </si>
  <si>
    <t xml:space="preserve">rec ang</t>
  </si>
  <si>
    <t xml:space="preserve">rec energy</t>
  </si>
  <si>
    <t xml:space="preserve">link point</t>
  </si>
  <si>
    <t xml:space="preserve">one amu=</t>
  </si>
  <si>
    <t xml:space="preserve">M(a.m.u.)</t>
  </si>
  <si>
    <t xml:space="preserve">Protection password for this sheet =</t>
  </si>
  <si>
    <t xml:space="preserve">masses</t>
  </si>
  <si>
    <t xml:space="preserve">remove via: Review &gt;  Unprotect sheet</t>
  </si>
  <si>
    <t xml:space="preserve">Atomic mass data base:</t>
  </si>
  <si>
    <t xml:space="preserve">https://www-nds.iaea.org/amdc/</t>
  </si>
  <si>
    <t xml:space="preserve">N</t>
  </si>
  <si>
    <r>
      <rPr>
        <sz val="10"/>
        <rFont val="Symbol"/>
        <family val="1"/>
        <charset val="2"/>
      </rPr>
      <t xml:space="preserve">D</t>
    </r>
    <r>
      <rPr>
        <sz val="10"/>
        <rFont val="Arial"/>
        <family val="2"/>
        <charset val="1"/>
      </rPr>
      <t xml:space="preserve"> as read</t>
    </r>
  </si>
  <si>
    <t xml:space="preserve">dD</t>
  </si>
  <si>
    <r>
      <rPr>
        <sz val="10"/>
        <rFont val="Symbol"/>
        <family val="1"/>
        <charset val="2"/>
      </rPr>
      <t xml:space="preserve">D</t>
    </r>
    <r>
      <rPr>
        <sz val="10"/>
        <rFont val="Arial"/>
        <family val="2"/>
        <charset val="1"/>
      </rPr>
      <t xml:space="preserve"> to use</t>
    </r>
  </si>
  <si>
    <t xml:space="preserve">Current version is</t>
  </si>
  <si>
    <t xml:space="preserve">AME2016</t>
  </si>
  <si>
    <t xml:space="preserve">H</t>
  </si>
  <si>
    <t xml:space="preserve">He</t>
  </si>
  <si>
    <t xml:space="preserve">Li</t>
  </si>
  <si>
    <t xml:space="preserve">28667#</t>
  </si>
  <si>
    <t xml:space="preserve">2000#</t>
  </si>
  <si>
    <t xml:space="preserve">Be</t>
  </si>
  <si>
    <t xml:space="preserve">37139#</t>
  </si>
  <si>
    <t xml:space="preserve">2003#</t>
  </si>
  <si>
    <t xml:space="preserve">B</t>
  </si>
  <si>
    <t xml:space="preserve">47320#</t>
  </si>
  <si>
    <t xml:space="preserve">49135#</t>
  </si>
  <si>
    <t xml:space="preserve">1004#</t>
  </si>
  <si>
    <t xml:space="preserve">C</t>
  </si>
  <si>
    <t xml:space="preserve">O</t>
  </si>
  <si>
    <t xml:space="preserve">F</t>
  </si>
  <si>
    <t xml:space="preserve">Ne</t>
  </si>
  <si>
    <t xml:space="preserve">Na</t>
  </si>
  <si>
    <t xml:space="preserve">Mg</t>
  </si>
  <si>
    <t xml:space="preserve">68450#</t>
  </si>
  <si>
    <t xml:space="preserve">800#</t>
  </si>
  <si>
    <t xml:space="preserve">77330#</t>
  </si>
  <si>
    <t xml:space="preserve">900#</t>
  </si>
  <si>
    <t xml:space="preserve">45643#</t>
  </si>
  <si>
    <t xml:space="preserve">596#</t>
  </si>
  <si>
    <t xml:space="preserve">Al</t>
  </si>
  <si>
    <t xml:space="preserve">26990#</t>
  </si>
  <si>
    <t xml:space="preserve">18201#</t>
  </si>
  <si>
    <t xml:space="preserve">401#</t>
  </si>
  <si>
    <t xml:space="preserve">Si</t>
  </si>
  <si>
    <t xml:space="preserve">33338#</t>
  </si>
  <si>
    <t xml:space="preserve">503#</t>
  </si>
  <si>
    <t xml:space="preserve">64171#</t>
  </si>
  <si>
    <t xml:space="preserve">997#</t>
  </si>
  <si>
    <t xml:space="preserve">23697#</t>
  </si>
  <si>
    <t xml:space="preserve">46938#</t>
  </si>
  <si>
    <t xml:space="preserve">P</t>
  </si>
  <si>
    <t xml:space="preserve">33320#</t>
  </si>
  <si>
    <t xml:space="preserve">55983#</t>
  </si>
  <si>
    <t xml:space="preserve">19738#</t>
  </si>
  <si>
    <t xml:space="preserve">10973#</t>
  </si>
  <si>
    <t xml:space="preserve">196#</t>
  </si>
  <si>
    <t xml:space="preserve">S</t>
  </si>
  <si>
    <t xml:space="preserve">27079#</t>
  </si>
  <si>
    <t xml:space="preserve">44670#</t>
  </si>
  <si>
    <t xml:space="preserve">500#</t>
  </si>
  <si>
    <t xml:space="preserve">17028#</t>
  </si>
  <si>
    <t xml:space="preserve">52080#</t>
  </si>
  <si>
    <t xml:space="preserve">699#</t>
  </si>
  <si>
    <t xml:space="preserve">Cl</t>
  </si>
  <si>
    <t xml:space="preserve">27516#</t>
  </si>
  <si>
    <t xml:space="preserve">48112#</t>
  </si>
  <si>
    <t xml:space="preserve">4443#</t>
  </si>
  <si>
    <t xml:space="preserve">Ar</t>
  </si>
  <si>
    <t xml:space="preserve">56143#</t>
  </si>
  <si>
    <t xml:space="preserve">546#</t>
  </si>
  <si>
    <t xml:space="preserve">11325#</t>
  </si>
  <si>
    <t xml:space="preserve">200#</t>
  </si>
  <si>
    <t xml:space="preserve">36999#</t>
  </si>
  <si>
    <t xml:space="preserve">K</t>
  </si>
  <si>
    <t xml:space="preserve">21098#</t>
  </si>
  <si>
    <t xml:space="preserve">45997#</t>
  </si>
  <si>
    <t xml:space="preserve">7042#</t>
  </si>
  <si>
    <t xml:space="preserve">52842#</t>
  </si>
  <si>
    <t xml:space="preserve">513#</t>
  </si>
  <si>
    <t xml:space="preserve">-1220#</t>
  </si>
  <si>
    <t xml:space="preserve">Ca</t>
  </si>
  <si>
    <t xml:space="preserve">13851#</t>
  </si>
  <si>
    <t xml:space="preserve">298#</t>
  </si>
  <si>
    <t xml:space="preserve">38231#</t>
  </si>
  <si>
    <t xml:space="preserve">670#</t>
  </si>
  <si>
    <t xml:space="preserve">4788#</t>
  </si>
  <si>
    <t xml:space="preserve">46303#</t>
  </si>
  <si>
    <t xml:space="preserve">678#</t>
  </si>
  <si>
    <t xml:space="preserve">Sc</t>
  </si>
  <si>
    <t xml:space="preserve">15351#</t>
  </si>
  <si>
    <t xml:space="preserve">53534#</t>
  </si>
  <si>
    <t xml:space="preserve">687#</t>
  </si>
  <si>
    <t xml:space="preserve">3520#</t>
  </si>
  <si>
    <t xml:space="preserve">300#</t>
  </si>
  <si>
    <t xml:space="preserve">34074#</t>
  </si>
  <si>
    <t xml:space="preserve">-4249#</t>
  </si>
  <si>
    <t xml:space="preserve">Ti</t>
  </si>
  <si>
    <t xml:space="preserve">10870#</t>
  </si>
  <si>
    <t xml:space="preserve">42275#</t>
  </si>
  <si>
    <t xml:space="preserve">20650#</t>
  </si>
  <si>
    <t xml:space="preserve">400#</t>
  </si>
  <si>
    <t xml:space="preserve">2200#</t>
  </si>
  <si>
    <t xml:space="preserve">48350#</t>
  </si>
  <si>
    <t xml:space="preserve">27590#</t>
  </si>
  <si>
    <t xml:space="preserve">V</t>
  </si>
  <si>
    <t xml:space="preserve">12170#</t>
  </si>
  <si>
    <t xml:space="preserve">33420#</t>
  </si>
  <si>
    <t xml:space="preserve">320#</t>
  </si>
  <si>
    <t xml:space="preserve">40100#</t>
  </si>
  <si>
    <t xml:space="preserve">600#</t>
  </si>
  <si>
    <t xml:space="preserve">16470#</t>
  </si>
  <si>
    <t xml:space="preserve">-7620#</t>
  </si>
  <si>
    <t xml:space="preserve">Cr</t>
  </si>
  <si>
    <t xml:space="preserve">6730#</t>
  </si>
  <si>
    <t xml:space="preserve">47020#</t>
  </si>
  <si>
    <t xml:space="preserve">23101#</t>
  </si>
  <si>
    <t xml:space="preserve">-1970#</t>
  </si>
  <si>
    <t xml:space="preserve">28513#</t>
  </si>
  <si>
    <t xml:space="preserve">10450#</t>
  </si>
  <si>
    <t xml:space="preserve">-13360#</t>
  </si>
  <si>
    <t xml:space="preserve">Mn</t>
  </si>
  <si>
    <t xml:space="preserve">7030#</t>
  </si>
  <si>
    <t xml:space="preserve">37490#</t>
  </si>
  <si>
    <t xml:space="preserve">700#</t>
  </si>
  <si>
    <t xml:space="preserve">15600#</t>
  </si>
  <si>
    <t xml:space="preserve">-5250#</t>
  </si>
  <si>
    <t xml:space="preserve">Fe</t>
  </si>
  <si>
    <t xml:space="preserve">13762#</t>
  </si>
  <si>
    <t xml:space="preserve">22970#</t>
  </si>
  <si>
    <t xml:space="preserve">340#</t>
  </si>
  <si>
    <t xml:space="preserve">-12570#</t>
  </si>
  <si>
    <t xml:space="preserve">910#</t>
  </si>
  <si>
    <t xml:space="preserve">29710#</t>
  </si>
  <si>
    <t xml:space="preserve">7370#</t>
  </si>
  <si>
    <t xml:space="preserve">-9780#</t>
  </si>
  <si>
    <t xml:space="preserve">-6870#</t>
  </si>
  <si>
    <t xml:space="preserve">Co</t>
  </si>
  <si>
    <t xml:space="preserve">10370#</t>
  </si>
  <si>
    <t xml:space="preserve">12761#</t>
  </si>
  <si>
    <t xml:space="preserve">-4280#</t>
  </si>
  <si>
    <t xml:space="preserve">-18000#</t>
  </si>
  <si>
    <t xml:space="preserve">1500#</t>
  </si>
  <si>
    <t xml:space="preserve">16793#</t>
  </si>
  <si>
    <t xml:space="preserve">502#</t>
  </si>
  <si>
    <t xml:space="preserve">21093#</t>
  </si>
  <si>
    <t xml:space="preserve">667#</t>
  </si>
  <si>
    <t xml:space="preserve">940#</t>
  </si>
  <si>
    <t xml:space="preserve">-17190#</t>
  </si>
  <si>
    <t xml:space="preserve">-9880#</t>
  </si>
  <si>
    <t xml:space="preserve">8200#</t>
  </si>
  <si>
    <t xml:space="preserve">7740#</t>
  </si>
  <si>
    <t xml:space="preserve">-13330#</t>
  </si>
  <si>
    <t xml:space="preserve">-17630#</t>
  </si>
  <si>
    <t xml:space="preserve">-4120#</t>
  </si>
  <si>
    <t xml:space="preserve">14290#</t>
  </si>
  <si>
    <t xml:space="preserve">-6690#</t>
  </si>
  <si>
    <t xml:space="preserve">-11900#</t>
  </si>
  <si>
    <t xml:space="preserve">-1280#</t>
  </si>
  <si>
    <t xml:space="preserve">-22330#</t>
  </si>
  <si>
    <t xml:space="preserve">Cu</t>
  </si>
  <si>
    <t xml:space="preserve">-2280#</t>
  </si>
  <si>
    <t xml:space="preserve">6791#</t>
  </si>
  <si>
    <t xml:space="preserve">-13270#</t>
  </si>
  <si>
    <t xml:space="preserve">-5002#</t>
  </si>
  <si>
    <t xml:space="preserve">-21410#</t>
  </si>
  <si>
    <t xml:space="preserve">Zn</t>
  </si>
  <si>
    <t xml:space="preserve">-6272#</t>
  </si>
  <si>
    <t xml:space="preserve">708#</t>
  </si>
  <si>
    <t xml:space="preserve">-18350#</t>
  </si>
  <si>
    <t xml:space="preserve">-14570#</t>
  </si>
  <si>
    <t xml:space="preserve">7927#</t>
  </si>
  <si>
    <t xml:space="preserve">801#</t>
  </si>
  <si>
    <t xml:space="preserve">-13898#</t>
  </si>
  <si>
    <t xml:space="preserve">-25390#</t>
  </si>
  <si>
    <t xml:space="preserve">Ga</t>
  </si>
  <si>
    <t xml:space="preserve">-3390#</t>
  </si>
  <si>
    <t xml:space="preserve">-6874#</t>
  </si>
  <si>
    <t xml:space="preserve">-32550#</t>
  </si>
  <si>
    <t xml:space="preserve">-15010#</t>
  </si>
  <si>
    <t xml:space="preserve">-1919#</t>
  </si>
  <si>
    <t xml:space="preserve">-14876#</t>
  </si>
  <si>
    <t xml:space="preserve">-31110#</t>
  </si>
  <si>
    <t xml:space="preserve">-23540#</t>
  </si>
  <si>
    <t xml:space="preserve">Ge</t>
  </si>
  <si>
    <t xml:space="preserve">-7080#</t>
  </si>
  <si>
    <t xml:space="preserve">-10302#</t>
  </si>
  <si>
    <t xml:space="preserve">-25510#</t>
  </si>
  <si>
    <t xml:space="preserve">-33760#</t>
  </si>
  <si>
    <t xml:space="preserve">170#</t>
  </si>
  <si>
    <t xml:space="preserve">-15870#</t>
  </si>
  <si>
    <t xml:space="preserve">-4052#</t>
  </si>
  <si>
    <t xml:space="preserve">-39590#</t>
  </si>
  <si>
    <t xml:space="preserve">-27090#</t>
  </si>
  <si>
    <t xml:space="preserve">As</t>
  </si>
  <si>
    <t xml:space="preserve">-5470#</t>
  </si>
  <si>
    <t xml:space="preserve">931#</t>
  </si>
  <si>
    <t xml:space="preserve">-16350#</t>
  </si>
  <si>
    <t xml:space="preserve">-33360#</t>
  </si>
  <si>
    <t xml:space="preserve">-16900#</t>
  </si>
  <si>
    <t xml:space="preserve">-12500#</t>
  </si>
  <si>
    <t xml:space="preserve">-25476#</t>
  </si>
  <si>
    <t xml:space="preserve">-41740#</t>
  </si>
  <si>
    <t xml:space="preserve">140#</t>
  </si>
  <si>
    <t xml:space="preserve">-24320#</t>
  </si>
  <si>
    <t xml:space="preserve">-5750#</t>
  </si>
  <si>
    <t xml:space="preserve">-21890#</t>
  </si>
  <si>
    <t xml:space="preserve">-33500#</t>
  </si>
  <si>
    <t xml:space="preserve">-1025#</t>
  </si>
  <si>
    <t xml:space="preserve">-16320#</t>
  </si>
  <si>
    <t xml:space="preserve">-39532#</t>
  </si>
  <si>
    <t xml:space="preserve">203#</t>
  </si>
  <si>
    <t xml:space="preserve">Se</t>
  </si>
  <si>
    <t xml:space="preserve">-26700#</t>
  </si>
  <si>
    <t xml:space="preserve">-11780#</t>
  </si>
  <si>
    <t xml:space="preserve">-28220#</t>
  </si>
  <si>
    <t xml:space="preserve">-33020#</t>
  </si>
  <si>
    <t xml:space="preserve">-5610#</t>
  </si>
  <si>
    <t xml:space="preserve">-24720#</t>
  </si>
  <si>
    <t xml:space="preserve">-41660#</t>
  </si>
  <si>
    <t xml:space="preserve">-650#</t>
  </si>
  <si>
    <t xml:space="preserve">-18680#</t>
  </si>
  <si>
    <t xml:space="preserve">-33460#</t>
  </si>
  <si>
    <t xml:space="preserve">Br</t>
  </si>
  <si>
    <t xml:space="preserve">-32790#</t>
  </si>
  <si>
    <t xml:space="preserve">-14800#</t>
  </si>
  <si>
    <t xml:space="preserve">-28380#</t>
  </si>
  <si>
    <t xml:space="preserve">-38791#</t>
  </si>
  <si>
    <t xml:space="preserve">259#</t>
  </si>
  <si>
    <t xml:space="preserve">-8580#</t>
  </si>
  <si>
    <t xml:space="preserve">-24770#</t>
  </si>
  <si>
    <t xml:space="preserve">-39030#</t>
  </si>
  <si>
    <t xml:space="preserve">Kr</t>
  </si>
  <si>
    <t xml:space="preserve">-32435#</t>
  </si>
  <si>
    <t xml:space="preserve">-4480#</t>
  </si>
  <si>
    <t xml:space="preserve">-19500#</t>
  </si>
  <si>
    <t xml:space="preserve">-36510#</t>
  </si>
  <si>
    <t xml:space="preserve">-46630#</t>
  </si>
  <si>
    <t xml:space="preserve">-41100#</t>
  </si>
  <si>
    <t xml:space="preserve">-15570#</t>
  </si>
  <si>
    <t xml:space="preserve">-31430#</t>
  </si>
  <si>
    <t xml:space="preserve">Rb</t>
  </si>
  <si>
    <t xml:space="preserve">-32060#</t>
  </si>
  <si>
    <t xml:space="preserve">-9900#</t>
  </si>
  <si>
    <t xml:space="preserve">-28430#</t>
  </si>
  <si>
    <t xml:space="preserve">-40200#</t>
  </si>
  <si>
    <t xml:space="preserve">-38330#</t>
  </si>
  <si>
    <t xml:space="preserve">-22900#</t>
  </si>
  <si>
    <t xml:space="preserve">-37418#</t>
  </si>
  <si>
    <t xml:space="preserve">-46082#</t>
  </si>
  <si>
    <t xml:space="preserve">Sr</t>
  </si>
  <si>
    <t xml:space="preserve">-31950#</t>
  </si>
  <si>
    <t xml:space="preserve">-19590#</t>
  </si>
  <si>
    <t xml:space="preserve">-32820#</t>
  </si>
  <si>
    <t xml:space="preserve">-48456#</t>
  </si>
  <si>
    <t xml:space="preserve">-40827#</t>
  </si>
  <si>
    <t xml:space="preserve">100#</t>
  </si>
  <si>
    <t xml:space="preserve">-13640#</t>
  </si>
  <si>
    <t xml:space="preserve">-29649#</t>
  </si>
  <si>
    <t xml:space="preserve">-44030#</t>
  </si>
  <si>
    <t xml:space="preserve">Y</t>
  </si>
  <si>
    <t xml:space="preserve">-31820#</t>
  </si>
  <si>
    <t xml:space="preserve">-24510#</t>
  </si>
  <si>
    <t xml:space="preserve">-41630#</t>
  </si>
  <si>
    <t xml:space="preserve">-38480#</t>
  </si>
  <si>
    <t xml:space="preserve">-21015#</t>
  </si>
  <si>
    <t xml:space="preserve">-36800#</t>
  </si>
  <si>
    <t xml:space="preserve">-48624#</t>
  </si>
  <si>
    <t xml:space="preserve">149#</t>
  </si>
  <si>
    <t xml:space="preserve">-46439#</t>
  </si>
  <si>
    <t xml:space="preserve">Zr</t>
  </si>
  <si>
    <t xml:space="preserve">-32040#</t>
  </si>
  <si>
    <t xml:space="preserve">-33890#</t>
  </si>
  <si>
    <t xml:space="preserve">-52173#</t>
  </si>
  <si>
    <t xml:space="preserve">-40850#</t>
  </si>
  <si>
    <t xml:space="preserve">-27570#</t>
  </si>
  <si>
    <t xml:space="preserve">-46770#</t>
  </si>
  <si>
    <t xml:space="preserve">Nb</t>
  </si>
  <si>
    <t xml:space="preserve">-31650#</t>
  </si>
  <si>
    <t xml:space="preserve">-22630#</t>
  </si>
  <si>
    <t xml:space="preserve">-36200#</t>
  </si>
  <si>
    <t xml:space="preserve">-54360#</t>
  </si>
  <si>
    <t xml:space="preserve">-38420#</t>
  </si>
  <si>
    <t xml:space="preserve">-31420#</t>
  </si>
  <si>
    <t xml:space="preserve">-46360#</t>
  </si>
  <si>
    <t xml:space="preserve">Mo</t>
  </si>
  <si>
    <t xml:space="preserve">-31750#</t>
  </si>
  <si>
    <t xml:space="preserve">-25320#</t>
  </si>
  <si>
    <t xml:space="preserve">-52090#</t>
  </si>
  <si>
    <t xml:space="preserve">-40370#</t>
  </si>
  <si>
    <t xml:space="preserve">-36290#</t>
  </si>
  <si>
    <t xml:space="preserve">-46340#</t>
  </si>
  <si>
    <t xml:space="preserve">Tc</t>
  </si>
  <si>
    <t xml:space="preserve">-31320#</t>
  </si>
  <si>
    <t xml:space="preserve">-31930#</t>
  </si>
  <si>
    <t xml:space="preserve">-44088#</t>
  </si>
  <si>
    <t xml:space="preserve">-54170#</t>
  </si>
  <si>
    <t xml:space="preserve">-37700#</t>
  </si>
  <si>
    <t xml:space="preserve">-25230#</t>
  </si>
  <si>
    <t xml:space="preserve">-39849#</t>
  </si>
  <si>
    <t xml:space="preserve">-45850#</t>
  </si>
  <si>
    <t xml:space="preserve">Ru</t>
  </si>
  <si>
    <t xml:space="preserve">-30950#</t>
  </si>
  <si>
    <t xml:space="preserve">-34080#</t>
  </si>
  <si>
    <t xml:space="preserve">-51570#</t>
  </si>
  <si>
    <t xml:space="preserve">-39770#</t>
  </si>
  <si>
    <t xml:space="preserve">-29250#</t>
  </si>
  <si>
    <t xml:space="preserve">-44078#</t>
  </si>
  <si>
    <t xml:space="preserve">-45520#</t>
  </si>
  <si>
    <t xml:space="preserve">-40138#</t>
  </si>
  <si>
    <t xml:space="preserve">-50720#</t>
  </si>
  <si>
    <t xml:space="preserve">-54340#</t>
  </si>
  <si>
    <t xml:space="preserve">Rh</t>
  </si>
  <si>
    <t xml:space="preserve">-36860#</t>
  </si>
  <si>
    <t xml:space="preserve">-33729#</t>
  </si>
  <si>
    <t xml:space="preserve">-46798#</t>
  </si>
  <si>
    <t xml:space="preserve">-58260#</t>
  </si>
  <si>
    <t xml:space="preserve">-45861#</t>
  </si>
  <si>
    <t xml:space="preserve">361#</t>
  </si>
  <si>
    <t xml:space="preserve">-29221#</t>
  </si>
  <si>
    <t xml:space="preserve">-41330#</t>
  </si>
  <si>
    <t xml:space="preserve">-51700#</t>
  </si>
  <si>
    <t xml:space="preserve">Pd</t>
  </si>
  <si>
    <t xml:space="preserve">-39710#</t>
  </si>
  <si>
    <t xml:space="preserve">-36896#</t>
  </si>
  <si>
    <t xml:space="preserve">-58570#</t>
  </si>
  <si>
    <t xml:space="preserve">-45930#</t>
  </si>
  <si>
    <t xml:space="preserve">-30981#</t>
  </si>
  <si>
    <t xml:space="preserve">-46724#</t>
  </si>
  <si>
    <t xml:space="preserve">-54580#</t>
  </si>
  <si>
    <t xml:space="preserve">Ag</t>
  </si>
  <si>
    <t xml:space="preserve">-37130#</t>
  </si>
  <si>
    <t xml:space="preserve">-40716#</t>
  </si>
  <si>
    <t xml:space="preserve">-59001#</t>
  </si>
  <si>
    <t xml:space="preserve">-46267#</t>
  </si>
  <si>
    <t xml:space="preserve">-36803#</t>
  </si>
  <si>
    <t xml:space="preserve">-47400#</t>
  </si>
  <si>
    <t xml:space="preserve">-52410#</t>
  </si>
  <si>
    <t xml:space="preserve">Cd</t>
  </si>
  <si>
    <t xml:space="preserve">-40140#</t>
  </si>
  <si>
    <t xml:space="preserve">-30460#</t>
  </si>
  <si>
    <t xml:space="preserve">-43771#</t>
  </si>
  <si>
    <t xml:space="preserve">-59597#</t>
  </si>
  <si>
    <t xml:space="preserve">-46631#</t>
  </si>
  <si>
    <t xml:space="preserve">-38163#</t>
  </si>
  <si>
    <t xml:space="preserve">-55573#</t>
  </si>
  <si>
    <t xml:space="preserve">In</t>
  </si>
  <si>
    <t xml:space="preserve">-37890#</t>
  </si>
  <si>
    <t xml:space="preserve">-34055#</t>
  </si>
  <si>
    <t xml:space="preserve">-60454#</t>
  </si>
  <si>
    <t xml:space="preserve">-47189#</t>
  </si>
  <si>
    <t xml:space="preserve">-28250#</t>
  </si>
  <si>
    <t xml:space="preserve">-44311#</t>
  </si>
  <si>
    <t xml:space="preserve">-53896#</t>
  </si>
  <si>
    <t xml:space="preserve">-38759#</t>
  </si>
  <si>
    <t xml:space="preserve">-61376#</t>
  </si>
  <si>
    <t xml:space="preserve">Sn</t>
  </si>
  <si>
    <t xml:space="preserve">-47944#</t>
  </si>
  <si>
    <t xml:space="preserve">-35052#</t>
  </si>
  <si>
    <t xml:space="preserve">-29128#</t>
  </si>
  <si>
    <t xml:space="preserve">-42845#</t>
  </si>
  <si>
    <t xml:space="preserve">-68614#</t>
  </si>
  <si>
    <t xml:space="preserve">-37707#</t>
  </si>
  <si>
    <t xml:space="preserve">-33608#</t>
  </si>
  <si>
    <t xml:space="preserve">-47422#</t>
  </si>
  <si>
    <t xml:space="preserve">Sb</t>
  </si>
  <si>
    <t xml:space="preserve">-56178#</t>
  </si>
  <si>
    <t xml:space="preserve">-44106#</t>
  </si>
  <si>
    <t xml:space="preserve">-54064#</t>
  </si>
  <si>
    <t xml:space="preserve">-38610#</t>
  </si>
  <si>
    <t xml:space="preserve">Te</t>
  </si>
  <si>
    <t xml:space="preserve">-34790#</t>
  </si>
  <si>
    <t xml:space="preserve">-46053#</t>
  </si>
  <si>
    <t xml:space="preserve">-28900#</t>
  </si>
  <si>
    <t xml:space="preserve">-42364#</t>
  </si>
  <si>
    <t xml:space="preserve">I</t>
  </si>
  <si>
    <t xml:space="preserve">-49430#</t>
  </si>
  <si>
    <t xml:space="preserve">-37297#</t>
  </si>
  <si>
    <t xml:space="preserve">-51353#</t>
  </si>
  <si>
    <t xml:space="preserve">-33200#</t>
  </si>
  <si>
    <t xml:space="preserve">-46193#</t>
  </si>
  <si>
    <t xml:space="preserve">Xe</t>
  </si>
  <si>
    <t xml:space="preserve">-42886#</t>
  </si>
  <si>
    <t xml:space="preserve">-37560#</t>
  </si>
  <si>
    <t xml:space="preserve">-48875#</t>
  </si>
  <si>
    <t xml:space="preserve">Cs</t>
  </si>
  <si>
    <t xml:space="preserve">-42821#</t>
  </si>
  <si>
    <t xml:space="preserve">-33810#</t>
  </si>
  <si>
    <t xml:space="preserve">-44274#</t>
  </si>
  <si>
    <t xml:space="preserve">-57464#</t>
  </si>
  <si>
    <t xml:space="preserve">-40511#</t>
  </si>
  <si>
    <t xml:space="preserve">-52490#</t>
  </si>
  <si>
    <t xml:space="preserve">Ba</t>
  </si>
  <si>
    <t xml:space="preserve">-39784#</t>
  </si>
  <si>
    <t xml:space="preserve">-35387#</t>
  </si>
  <si>
    <t xml:space="preserve">-49807#</t>
  </si>
  <si>
    <t xml:space="preserve">-72796#</t>
  </si>
  <si>
    <t xml:space="preserve">-31354#</t>
  </si>
  <si>
    <t xml:space="preserve">-44749#</t>
  </si>
  <si>
    <t xml:space="preserve">-59699#</t>
  </si>
  <si>
    <t xml:space="preserve">102#</t>
  </si>
  <si>
    <t xml:space="preserve">-49020#</t>
  </si>
  <si>
    <t xml:space="preserve">-41500#</t>
  </si>
  <si>
    <t xml:space="preserve">-51456#</t>
  </si>
  <si>
    <t xml:space="preserve">-62043#</t>
  </si>
  <si>
    <t xml:space="preserve">La</t>
  </si>
  <si>
    <t xml:space="preserve">-40645#</t>
  </si>
  <si>
    <t xml:space="preserve">312#</t>
  </si>
  <si>
    <t xml:space="preserve">-36170#</t>
  </si>
  <si>
    <t xml:space="preserve">-48382#</t>
  </si>
  <si>
    <t xml:space="preserve">-46471#</t>
  </si>
  <si>
    <t xml:space="preserve">-32630#</t>
  </si>
  <si>
    <t xml:space="preserve">-43790#</t>
  </si>
  <si>
    <t xml:space="preserve">-57260#</t>
  </si>
  <si>
    <t xml:space="preserve">-62354#</t>
  </si>
  <si>
    <t xml:space="preserve">-49560#</t>
  </si>
  <si>
    <t xml:space="preserve">-40371#</t>
  </si>
  <si>
    <t xml:space="preserve">-52564#</t>
  </si>
  <si>
    <t xml:space="preserve">-54790#</t>
  </si>
  <si>
    <t xml:space="preserve">Ce</t>
  </si>
  <si>
    <t xml:space="preserve">-43940#</t>
  </si>
  <si>
    <t xml:space="preserve">-35518#</t>
  </si>
  <si>
    <t xml:space="preserve">-50012#</t>
  </si>
  <si>
    <t xml:space="preserve">-58815#</t>
  </si>
  <si>
    <t xml:space="preserve">-57570#</t>
  </si>
  <si>
    <t xml:space="preserve">-49600#</t>
  </si>
  <si>
    <t xml:space="preserve">-31780#</t>
  </si>
  <si>
    <t xml:space="preserve">-45047#</t>
  </si>
  <si>
    <t xml:space="preserve">-62190#</t>
  </si>
  <si>
    <t xml:space="preserve">-52690#</t>
  </si>
  <si>
    <t xml:space="preserve">Pr</t>
  </si>
  <si>
    <t xml:space="preserve">-41422#</t>
  </si>
  <si>
    <t xml:space="preserve">-42150#</t>
  </si>
  <si>
    <t xml:space="preserve">-52080#</t>
  </si>
  <si>
    <t xml:space="preserve">-64543#</t>
  </si>
  <si>
    <t xml:space="preserve">-57874#</t>
  </si>
  <si>
    <t xml:space="preserve">-44780#</t>
  </si>
  <si>
    <t xml:space="preserve">-37080#</t>
  </si>
  <si>
    <t xml:space="preserve">-49360#</t>
  </si>
  <si>
    <t xml:space="preserve">-68651#</t>
  </si>
  <si>
    <t xml:space="preserve">-60286#</t>
  </si>
  <si>
    <t xml:space="preserve">-50230#</t>
  </si>
  <si>
    <t xml:space="preserve">-33960#</t>
  </si>
  <si>
    <t xml:space="preserve">-44890#</t>
  </si>
  <si>
    <t xml:space="preserve">-58390#</t>
  </si>
  <si>
    <t xml:space="preserve">-64916#</t>
  </si>
  <si>
    <t xml:space="preserve">-53151#</t>
  </si>
  <si>
    <t xml:space="preserve">Nd</t>
  </si>
  <si>
    <t xml:space="preserve">-44525#</t>
  </si>
  <si>
    <t xml:space="preserve">-42000#</t>
  </si>
  <si>
    <t xml:space="preserve">-54120#</t>
  </si>
  <si>
    <t xml:space="preserve">-66658#</t>
  </si>
  <si>
    <t xml:space="preserve">-57940#</t>
  </si>
  <si>
    <t xml:space="preserve">-47599#</t>
  </si>
  <si>
    <t xml:space="preserve">-37300#</t>
  </si>
  <si>
    <t xml:space="preserve">-51860#</t>
  </si>
  <si>
    <t xml:space="preserve">-60680#</t>
  </si>
  <si>
    <t xml:space="preserve">-60324#</t>
  </si>
  <si>
    <t xml:space="preserve">-52993#</t>
  </si>
  <si>
    <t xml:space="preserve">Pm</t>
  </si>
  <si>
    <t xml:space="preserve">-39350#</t>
  </si>
  <si>
    <t xml:space="preserve">-34030#</t>
  </si>
  <si>
    <t xml:space="preserve">-47180#</t>
  </si>
  <si>
    <t xml:space="preserve">-58440#</t>
  </si>
  <si>
    <t xml:space="preserve">-55536#</t>
  </si>
  <si>
    <t xml:space="preserve">-44786#</t>
  </si>
  <si>
    <t xml:space="preserve">-44490#</t>
  </si>
  <si>
    <t xml:space="preserve">-54620#</t>
  </si>
  <si>
    <t xml:space="preserve">-60314#</t>
  </si>
  <si>
    <t xml:space="preserve">-47786#</t>
  </si>
  <si>
    <t xml:space="preserve">Sm</t>
  </si>
  <si>
    <t xml:space="preserve">-38670#</t>
  </si>
  <si>
    <t xml:space="preserve">-37610#</t>
  </si>
  <si>
    <t xml:space="preserve">-51980#</t>
  </si>
  <si>
    <t xml:space="preserve">-62315#</t>
  </si>
  <si>
    <t xml:space="preserve">202#</t>
  </si>
  <si>
    <t xml:space="preserve">-52881#</t>
  </si>
  <si>
    <t xml:space="preserve">-45697#</t>
  </si>
  <si>
    <t xml:space="preserve">-55396#</t>
  </si>
  <si>
    <t xml:space="preserve">-47506#</t>
  </si>
  <si>
    <t xml:space="preserve">Eu</t>
  </si>
  <si>
    <t xml:space="preserve">-33683#</t>
  </si>
  <si>
    <t xml:space="preserve">-40380#</t>
  </si>
  <si>
    <t xml:space="preserve">-59660#</t>
  </si>
  <si>
    <t xml:space="preserve">-50133#</t>
  </si>
  <si>
    <t xml:space="preserve">-39270#</t>
  </si>
  <si>
    <t xml:space="preserve">-33790#</t>
  </si>
  <si>
    <t xml:space="preserve">-50263#</t>
  </si>
  <si>
    <t xml:space="preserve">-61628#</t>
  </si>
  <si>
    <t xml:space="preserve">-55079#</t>
  </si>
  <si>
    <t xml:space="preserve">-42200#</t>
  </si>
  <si>
    <t xml:space="preserve">-43920#</t>
  </si>
  <si>
    <t xml:space="preserve">-57231#</t>
  </si>
  <si>
    <t xml:space="preserve">-47236#</t>
  </si>
  <si>
    <t xml:space="preserve">Gd</t>
  </si>
  <si>
    <t xml:space="preserve">-35860#</t>
  </si>
  <si>
    <t xml:space="preserve">-38920#</t>
  </si>
  <si>
    <t xml:space="preserve">-51661#</t>
  </si>
  <si>
    <t xml:space="preserve">-49928#</t>
  </si>
  <si>
    <t xml:space="preserve">-41302#</t>
  </si>
  <si>
    <t xml:space="preserve">-46528#</t>
  </si>
  <si>
    <t xml:space="preserve">-54148#</t>
  </si>
  <si>
    <t xml:space="preserve">-44390#</t>
  </si>
  <si>
    <t xml:space="preserve">Tb</t>
  </si>
  <si>
    <t xml:space="preserve">-32825#</t>
  </si>
  <si>
    <t xml:space="preserve">-40510#</t>
  </si>
  <si>
    <t xml:space="preserve">-55899#</t>
  </si>
  <si>
    <t xml:space="preserve">-56244#</t>
  </si>
  <si>
    <t xml:space="preserve">-49090#</t>
  </si>
  <si>
    <t xml:space="preserve">-36130#</t>
  </si>
  <si>
    <t xml:space="preserve">-35040#</t>
  </si>
  <si>
    <t xml:space="preserve">-49788#</t>
  </si>
  <si>
    <t xml:space="preserve">-51214#</t>
  </si>
  <si>
    <t xml:space="preserve">-40967#</t>
  </si>
  <si>
    <t xml:space="preserve">-44861#</t>
  </si>
  <si>
    <t xml:space="preserve">-55800#</t>
  </si>
  <si>
    <t xml:space="preserve">-43668#</t>
  </si>
  <si>
    <t xml:space="preserve">Dy</t>
  </si>
  <si>
    <t xml:space="preserve">-34931#</t>
  </si>
  <si>
    <t xml:space="preserve">-38440#</t>
  </si>
  <si>
    <t xml:space="preserve">-57632#</t>
  </si>
  <si>
    <t xml:space="preserve">-48130#</t>
  </si>
  <si>
    <t xml:space="preserve">-37642#</t>
  </si>
  <si>
    <t xml:space="preserve">-43939#</t>
  </si>
  <si>
    <t xml:space="preserve">-42830#</t>
  </si>
  <si>
    <t xml:space="preserve">Ho</t>
  </si>
  <si>
    <t xml:space="preserve">-29259#</t>
  </si>
  <si>
    <t xml:space="preserve">-39110#</t>
  </si>
  <si>
    <t xml:space="preserve">-50487#</t>
  </si>
  <si>
    <t xml:space="preserve">-45382#</t>
  </si>
  <si>
    <t xml:space="preserve">-34364#</t>
  </si>
  <si>
    <t xml:space="preserve">-46370#</t>
  </si>
  <si>
    <t xml:space="preserve">-50120#</t>
  </si>
  <si>
    <t xml:space="preserve">729#</t>
  </si>
  <si>
    <t xml:space="preserve">-37250#</t>
  </si>
  <si>
    <t xml:space="preserve">-28030#</t>
  </si>
  <si>
    <t xml:space="preserve">-40278#</t>
  </si>
  <si>
    <t xml:space="preserve">-50630#</t>
  </si>
  <si>
    <t xml:space="preserve">-42048#</t>
  </si>
  <si>
    <t xml:space="preserve">-31260#</t>
  </si>
  <si>
    <t xml:space="preserve">-45280#</t>
  </si>
  <si>
    <t xml:space="preserve">-36608#</t>
  </si>
  <si>
    <t xml:space="preserve">Tm</t>
  </si>
  <si>
    <t xml:space="preserve">-22259#</t>
  </si>
  <si>
    <t xml:space="preserve">-40939#</t>
  </si>
  <si>
    <t xml:space="preserve">-39240#</t>
  </si>
  <si>
    <t xml:space="preserve">-27583#</t>
  </si>
  <si>
    <t xml:space="preserve">-31055#</t>
  </si>
  <si>
    <t xml:space="preserve">-42360#</t>
  </si>
  <si>
    <t xml:space="preserve">-38600#</t>
  </si>
  <si>
    <t xml:space="preserve">Yb</t>
  </si>
  <si>
    <t xml:space="preserve">-30330#</t>
  </si>
  <si>
    <t xml:space="preserve">-43250#</t>
  </si>
  <si>
    <t xml:space="preserve">-43883#</t>
  </si>
  <si>
    <t xml:space="preserve">-33198#</t>
  </si>
  <si>
    <t xml:space="preserve">-38170#</t>
  </si>
  <si>
    <t xml:space="preserve">-49900#</t>
  </si>
  <si>
    <t xml:space="preserve">-46491#</t>
  </si>
  <si>
    <t xml:space="preserve">-38638#</t>
  </si>
  <si>
    <t xml:space="preserve">Lu</t>
  </si>
  <si>
    <t xml:space="preserve">-24640#</t>
  </si>
  <si>
    <t xml:space="preserve">-34230#</t>
  </si>
  <si>
    <t xml:space="preserve">-44940#</t>
  </si>
  <si>
    <t xml:space="preserve">-30108#</t>
  </si>
  <si>
    <t xml:space="preserve">-28930#</t>
  </si>
  <si>
    <t xml:space="preserve">-41710#</t>
  </si>
  <si>
    <t xml:space="preserve">-49290#</t>
  </si>
  <si>
    <t xml:space="preserve">-58980#</t>
  </si>
  <si>
    <t xml:space="preserve">-33422#</t>
  </si>
  <si>
    <t xml:space="preserve">-36470#</t>
  </si>
  <si>
    <t xml:space="preserve">-46060#</t>
  </si>
  <si>
    <t xml:space="preserve">-54910#</t>
  </si>
  <si>
    <t xml:space="preserve">-47208#</t>
  </si>
  <si>
    <t xml:space="preserve">Hf</t>
  </si>
  <si>
    <t xml:space="preserve">-27300#</t>
  </si>
  <si>
    <t xml:space="preserve">-41530#</t>
  </si>
  <si>
    <t xml:space="preserve">-52220#</t>
  </si>
  <si>
    <t xml:space="preserve">-39715#</t>
  </si>
  <si>
    <t xml:space="preserve">-32670#</t>
  </si>
  <si>
    <t xml:space="preserve">-37930#</t>
  </si>
  <si>
    <t xml:space="preserve">-47780#</t>
  </si>
  <si>
    <t xml:space="preserve">-34170#</t>
  </si>
  <si>
    <t xml:space="preserve">Ta</t>
  </si>
  <si>
    <t xml:space="preserve">-23928#</t>
  </si>
  <si>
    <t xml:space="preserve">-33050#</t>
  </si>
  <si>
    <t xml:space="preserve">-44820#</t>
  </si>
  <si>
    <t xml:space="preserve">-51568#</t>
  </si>
  <si>
    <t xml:space="preserve">-25861#</t>
  </si>
  <si>
    <t xml:space="preserve">-39930#</t>
  </si>
  <si>
    <t xml:space="preserve">-48540#</t>
  </si>
  <si>
    <t xml:space="preserve">-38903#</t>
  </si>
  <si>
    <t xml:space="preserve">W</t>
  </si>
  <si>
    <t xml:space="preserve">-19470#</t>
  </si>
  <si>
    <t xml:space="preserve">-36660#</t>
  </si>
  <si>
    <t xml:space="preserve">-44330#</t>
  </si>
  <si>
    <t xml:space="preserve">-54055#</t>
  </si>
  <si>
    <t xml:space="preserve">-31167#</t>
  </si>
  <si>
    <t xml:space="preserve">-23633#</t>
  </si>
  <si>
    <t xml:space="preserve">-41088#</t>
  </si>
  <si>
    <t xml:space="preserve">-25295#</t>
  </si>
  <si>
    <t xml:space="preserve">Re</t>
  </si>
  <si>
    <t xml:space="preserve">-14745#</t>
  </si>
  <si>
    <t xml:space="preserve">305#</t>
  </si>
  <si>
    <t xml:space="preserve">-36520#</t>
  </si>
  <si>
    <t xml:space="preserve">-47134#</t>
  </si>
  <si>
    <t xml:space="preserve">-53002#</t>
  </si>
  <si>
    <t xml:space="preserve">-16739#</t>
  </si>
  <si>
    <t xml:space="preserve">-42588#</t>
  </si>
  <si>
    <t xml:space="preserve">-50235#</t>
  </si>
  <si>
    <t xml:space="preserve">-30555#</t>
  </si>
  <si>
    <t xml:space="preserve">Os</t>
  </si>
  <si>
    <t xml:space="preserve">-9979#</t>
  </si>
  <si>
    <t xml:space="preserve">-39550#</t>
  </si>
  <si>
    <t xml:space="preserve">-54530#</t>
  </si>
  <si>
    <t xml:space="preserve">-22501#</t>
  </si>
  <si>
    <t xml:space="preserve">-14440#</t>
  </si>
  <si>
    <t xml:space="preserve">-43249#</t>
  </si>
  <si>
    <t xml:space="preserve">-16192#</t>
  </si>
  <si>
    <t xml:space="preserve">-38870#</t>
  </si>
  <si>
    <t xml:space="preserve">-48102#</t>
  </si>
  <si>
    <t xml:space="preserve">-53381#</t>
  </si>
  <si>
    <t xml:space="preserve">114#</t>
  </si>
  <si>
    <t xml:space="preserve">-59774#</t>
  </si>
  <si>
    <t xml:space="preserve">Ir</t>
  </si>
  <si>
    <t xml:space="preserve">-7344#</t>
  </si>
  <si>
    <t xml:space="preserve">314#</t>
  </si>
  <si>
    <t xml:space="preserve">-43808#</t>
  </si>
  <si>
    <t xml:space="preserve">-50724#</t>
  </si>
  <si>
    <t xml:space="preserve">138#</t>
  </si>
  <si>
    <t xml:space="preserve">-56453#</t>
  </si>
  <si>
    <t xml:space="preserve">121#</t>
  </si>
  <si>
    <t xml:space="preserve">-60566#</t>
  </si>
  <si>
    <t xml:space="preserve">-21795#</t>
  </si>
  <si>
    <t xml:space="preserve">-11593#</t>
  </si>
  <si>
    <t xml:space="preserve">158#</t>
  </si>
  <si>
    <t xml:space="preserve">-40730#</t>
  </si>
  <si>
    <t xml:space="preserve">358#</t>
  </si>
  <si>
    <t xml:space="preserve">-13354#</t>
  </si>
  <si>
    <t xml:space="preserve">Pt</t>
  </si>
  <si>
    <t xml:space="preserve">-4730#</t>
  </si>
  <si>
    <t xml:space="preserve">-44010#</t>
  </si>
  <si>
    <t xml:space="preserve">-50813#</t>
  </si>
  <si>
    <t xml:space="preserve">-55927#</t>
  </si>
  <si>
    <t xml:space="preserve">-34831#</t>
  </si>
  <si>
    <t xml:space="preserve">40#</t>
  </si>
  <si>
    <t xml:space="preserve">-6612#</t>
  </si>
  <si>
    <t xml:space="preserve">302#</t>
  </si>
  <si>
    <t xml:space="preserve">-39740#</t>
  </si>
  <si>
    <t xml:space="preserve">-48363#</t>
  </si>
  <si>
    <t xml:space="preserve">-52723#</t>
  </si>
  <si>
    <t xml:space="preserve">-44153#</t>
  </si>
  <si>
    <t xml:space="preserve">-50329#</t>
  </si>
  <si>
    <t xml:space="preserve">-12512#</t>
  </si>
  <si>
    <t xml:space="preserve">Au</t>
  </si>
  <si>
    <t xml:space="preserve">-1788#</t>
  </si>
  <si>
    <t xml:space="preserve">-41380#</t>
  </si>
  <si>
    <t xml:space="preserve">-53663#</t>
  </si>
  <si>
    <t xml:space="preserve">-23360#</t>
  </si>
  <si>
    <t xml:space="preserve">89#</t>
  </si>
  <si>
    <t xml:space="preserve">-3752#</t>
  </si>
  <si>
    <t xml:space="preserve">-44032#</t>
  </si>
  <si>
    <t xml:space="preserve">-50189#</t>
  </si>
  <si>
    <t xml:space="preserve">Hg</t>
  </si>
  <si>
    <t xml:space="preserve">3480#</t>
  </si>
  <si>
    <t xml:space="preserve">303#</t>
  </si>
  <si>
    <t xml:space="preserve">-39850#</t>
  </si>
  <si>
    <t xml:space="preserve">-48009#</t>
  </si>
  <si>
    <t xml:space="preserve">-51484#</t>
  </si>
  <si>
    <t xml:space="preserve">-49351#</t>
  </si>
  <si>
    <t xml:space="preserve">-53654#</t>
  </si>
  <si>
    <t xml:space="preserve">-2710#</t>
  </si>
  <si>
    <t xml:space="preserve">-41370#</t>
  </si>
  <si>
    <t xml:space="preserve">-45690#</t>
  </si>
  <si>
    <t xml:space="preserve">-51949#</t>
  </si>
  <si>
    <t xml:space="preserve">-14235#</t>
  </si>
  <si>
    <t xml:space="preserve">-43203#</t>
  </si>
  <si>
    <t xml:space="preserve">-48652#</t>
  </si>
  <si>
    <t xml:space="preserve">-39290#</t>
  </si>
  <si>
    <t xml:space="preserve">Tl</t>
  </si>
  <si>
    <t xml:space="preserve">-42858#</t>
  </si>
  <si>
    <t xml:space="preserve">-47469#</t>
  </si>
  <si>
    <t xml:space="preserve">-40260#</t>
  </si>
  <si>
    <t xml:space="preserve">-44116#</t>
  </si>
  <si>
    <t xml:space="preserve">-50598#</t>
  </si>
  <si>
    <t xml:space="preserve">52#</t>
  </si>
  <si>
    <t xml:space="preserve">-4790#</t>
  </si>
  <si>
    <t xml:space="preserve">Pb</t>
  </si>
  <si>
    <t xml:space="preserve">-41601#</t>
  </si>
  <si>
    <t xml:space="preserve">-46537#</t>
  </si>
  <si>
    <t xml:space="preserve">-37920#</t>
  </si>
  <si>
    <t xml:space="preserve">-44600#</t>
  </si>
  <si>
    <t xml:space="preserve">-35170#</t>
  </si>
  <si>
    <t xml:space="preserve">-38820#</t>
  </si>
  <si>
    <t xml:space="preserve">-41880#</t>
  </si>
  <si>
    <t xml:space="preserve">-35100#</t>
  </si>
  <si>
    <t xml:space="preserve">-32540#</t>
  </si>
  <si>
    <t xml:space="preserve">-36412#</t>
  </si>
  <si>
    <t xml:space="preserve">Bi</t>
  </si>
  <si>
    <t xml:space="preserve">-28500#</t>
  </si>
  <si>
    <t xml:space="preserve">-33888#</t>
  </si>
  <si>
    <t xml:space="preserve">-2236#</t>
  </si>
  <si>
    <t xml:space="preserve">81#</t>
  </si>
  <si>
    <t xml:space="preserve">-30210#</t>
  </si>
  <si>
    <t xml:space="preserve">Po</t>
  </si>
  <si>
    <t xml:space="preserve">-27580#</t>
  </si>
  <si>
    <t xml:space="preserve">-32817#</t>
  </si>
  <si>
    <t xml:space="preserve">-23790#</t>
  </si>
  <si>
    <t xml:space="preserve">-30879#</t>
  </si>
  <si>
    <t xml:space="preserve">-27162#</t>
  </si>
  <si>
    <t xml:space="preserve">-31829#</t>
  </si>
  <si>
    <t xml:space="preserve">-25030#</t>
  </si>
  <si>
    <t xml:space="preserve">-28513#</t>
  </si>
  <si>
    <t xml:space="preserve">-26492#</t>
  </si>
  <si>
    <t xml:space="preserve">At</t>
  </si>
  <si>
    <t xml:space="preserve">-23064#</t>
  </si>
  <si>
    <t xml:space="preserve">-20870#</t>
  </si>
  <si>
    <t xml:space="preserve">-26287#</t>
  </si>
  <si>
    <t xml:space="preserve">Rn</t>
  </si>
  <si>
    <t xml:space="preserve">-17300#</t>
  </si>
  <si>
    <t xml:space="preserve">-24526#</t>
  </si>
  <si>
    <t xml:space="preserve">-27237#</t>
  </si>
  <si>
    <t xml:space="preserve">-21010#</t>
  </si>
  <si>
    <t xml:space="preserve">-25579#</t>
  </si>
  <si>
    <t xml:space="preserve">-18880#</t>
  </si>
  <si>
    <t xml:space="preserve">-22542#</t>
  </si>
  <si>
    <t xml:space="preserve">-15140#</t>
  </si>
  <si>
    <t xml:space="preserve">-20502#</t>
  </si>
  <si>
    <t xml:space="preserve">-25309#</t>
  </si>
  <si>
    <t xml:space="preserve">Fr</t>
  </si>
  <si>
    <t xml:space="preserve">-17139#</t>
  </si>
  <si>
    <t xml:space="preserve">-23837#</t>
  </si>
  <si>
    <t xml:space="preserve">-25821#</t>
  </si>
  <si>
    <t xml:space="preserve">-14860#</t>
  </si>
  <si>
    <t xml:space="preserve">-20484#</t>
  </si>
  <si>
    <t xml:space="preserve">-18779#</t>
  </si>
  <si>
    <t xml:space="preserve">-21611#</t>
  </si>
  <si>
    <t xml:space="preserve">-15239#</t>
  </si>
  <si>
    <t xml:space="preserve">-19897#</t>
  </si>
  <si>
    <t xml:space="preserve">Ra</t>
  </si>
  <si>
    <t xml:space="preserve">-13087#</t>
  </si>
  <si>
    <t xml:space="preserve">-16776#</t>
  </si>
  <si>
    <t xml:space="preserve">-7640#</t>
  </si>
  <si>
    <t xml:space="preserve">-14690#</t>
  </si>
  <si>
    <t xml:space="preserve">-19627#</t>
  </si>
  <si>
    <t xml:space="preserve">-9688#</t>
  </si>
  <si>
    <t xml:space="preserve">-17922#</t>
  </si>
  <si>
    <t xml:space="preserve">-20650#</t>
  </si>
  <si>
    <t xml:space="preserve">-5960#</t>
  </si>
  <si>
    <t xml:space="preserve">-12966#</t>
  </si>
  <si>
    <t xml:space="preserve">-18770#</t>
  </si>
  <si>
    <t xml:space="preserve">Ac</t>
  </si>
  <si>
    <t xml:space="preserve">-9632#</t>
  </si>
  <si>
    <t xml:space="preserve">-14215#</t>
  </si>
  <si>
    <t xml:space="preserve">-4540#</t>
  </si>
  <si>
    <t xml:space="preserve">-10810#</t>
  </si>
  <si>
    <t xml:space="preserve">-990#</t>
  </si>
  <si>
    <t xml:space="preserve">-6101#</t>
  </si>
  <si>
    <t xml:space="preserve">Th</t>
  </si>
  <si>
    <t xml:space="preserve">-2540#</t>
  </si>
  <si>
    <t xml:space="preserve">-8644#</t>
  </si>
  <si>
    <t xml:space="preserve">16367#</t>
  </si>
  <si>
    <t xml:space="preserve">2329#</t>
  </si>
  <si>
    <t xml:space="preserve">-5365#</t>
  </si>
  <si>
    <t xml:space="preserve">-624#</t>
  </si>
  <si>
    <t xml:space="preserve">Pa</t>
  </si>
  <si>
    <t xml:space="preserve">22080#</t>
  </si>
  <si>
    <t xml:space="preserve">2757#</t>
  </si>
  <si>
    <t xml:space="preserve">-1551#</t>
  </si>
  <si>
    <t xml:space="preserve">7666#</t>
  </si>
  <si>
    <t xml:space="preserve">11178#</t>
  </si>
  <si>
    <t xml:space="preserve">6465#</t>
  </si>
  <si>
    <t xml:space="preserve">16208#</t>
  </si>
  <si>
    <t xml:space="preserve">9911#</t>
  </si>
  <si>
    <t xml:space="preserve">U</t>
  </si>
  <si>
    <t xml:space="preserve">19859#</t>
  </si>
  <si>
    <t xml:space="preserve">14718#</t>
  </si>
  <si>
    <t xml:space="preserve">7480#</t>
  </si>
  <si>
    <t xml:space="preserve">18313#</t>
  </si>
  <si>
    <t xml:space="preserve">12240#</t>
  </si>
  <si>
    <t xml:space="preserve">22973#</t>
  </si>
  <si>
    <t xml:space="preserve">71#</t>
  </si>
  <si>
    <t xml:space="preserve">23180#</t>
  </si>
  <si>
    <t xml:space="preserve">15453#</t>
  </si>
  <si>
    <t xml:space="preserve">20279#</t>
  </si>
  <si>
    <t xml:space="preserve">16283#</t>
  </si>
  <si>
    <t xml:space="preserve">Np</t>
  </si>
  <si>
    <t xml:space="preserve">23669#</t>
  </si>
  <si>
    <t xml:space="preserve">20819#</t>
  </si>
  <si>
    <t xml:space="preserve">20218#</t>
  </si>
  <si>
    <t xml:space="preserve">51#</t>
  </si>
  <si>
    <t xml:space="preserve">22933#</t>
  </si>
  <si>
    <t xml:space="preserve">101#</t>
  </si>
  <si>
    <t xml:space="preserve">30311#</t>
  </si>
  <si>
    <t xml:space="preserve">24098#</t>
  </si>
  <si>
    <t xml:space="preserve">29850#</t>
  </si>
  <si>
    <t xml:space="preserve">28729#</t>
  </si>
  <si>
    <t xml:space="preserve">22155#</t>
  </si>
  <si>
    <t xml:space="preserve">72#</t>
  </si>
  <si>
    <t xml:space="preserve">31019#</t>
  </si>
  <si>
    <t xml:space="preserve">32137#</t>
  </si>
  <si>
    <t xml:space="preserve">30600#</t>
  </si>
  <si>
    <t xml:space="preserve">36830#</t>
  </si>
  <si>
    <t xml:space="preserve">29910#</t>
  </si>
  <si>
    <t xml:space="preserve">31876#</t>
  </si>
  <si>
    <t xml:space="preserve">34530#</t>
  </si>
  <si>
    <t xml:space="preserve">30395#</t>
  </si>
  <si>
    <t xml:space="preserve">37549#</t>
  </si>
  <si>
    <t xml:space="preserve">34614#</t>
  </si>
  <si>
    <t xml:space="preserve">32777#</t>
  </si>
  <si>
    <t xml:space="preserve">88#</t>
  </si>
  <si>
    <t xml:space="preserve">42281#</t>
  </si>
  <si>
    <t xml:space="preserve">37483#</t>
  </si>
  <si>
    <t xml:space="preserve">Pu</t>
  </si>
  <si>
    <t xml:space="preserve">36770#</t>
  </si>
  <si>
    <t xml:space="preserve">41684#</t>
  </si>
  <si>
    <t xml:space="preserve">44823#</t>
  </si>
  <si>
    <t xml:space="preserve">Am</t>
  </si>
  <si>
    <t xml:space="preserve">42048#</t>
  </si>
  <si>
    <t xml:space="preserve">42932#</t>
  </si>
  <si>
    <t xml:space="preserve">133#</t>
  </si>
  <si>
    <t xml:space="preserve">46454#</t>
  </si>
  <si>
    <t xml:space="preserve">42410#</t>
  </si>
  <si>
    <t xml:space="preserve">Cm</t>
  </si>
  <si>
    <t xml:space="preserve">47270#</t>
  </si>
  <si>
    <t xml:space="preserve">37360#</t>
  </si>
  <si>
    <t xml:space="preserve">43340#</t>
  </si>
  <si>
    <t xml:space="preserve">46312#</t>
  </si>
  <si>
    <t xml:space="preserve">43263#</t>
  </si>
  <si>
    <t xml:space="preserve">Bk</t>
  </si>
  <si>
    <t xml:space="preserve">52861#</t>
  </si>
  <si>
    <t xml:space="preserve">224#</t>
  </si>
  <si>
    <t xml:space="preserve">44461#</t>
  </si>
  <si>
    <t xml:space="preserve">159#</t>
  </si>
  <si>
    <t xml:space="preserve">53455#</t>
  </si>
  <si>
    <t xml:space="preserve">142#</t>
  </si>
  <si>
    <t xml:space="preserve">51130#</t>
  </si>
  <si>
    <t xml:space="preserve">48034#</t>
  </si>
  <si>
    <t xml:space="preserve">201#</t>
  </si>
  <si>
    <t xml:space="preserve">52704#</t>
  </si>
  <si>
    <t xml:space="preserve">46041#</t>
  </si>
  <si>
    <t xml:space="preserve">112#</t>
  </si>
  <si>
    <t xml:space="preserve">53542#</t>
  </si>
  <si>
    <t xml:space="preserve">54020#</t>
  </si>
  <si>
    <t xml:space="preserve">46570#</t>
  </si>
  <si>
    <t xml:space="preserve">59#</t>
  </si>
  <si>
    <t xml:space="preserve">53188#</t>
  </si>
  <si>
    <t xml:space="preserve">Cf</t>
  </si>
  <si>
    <t xml:space="preserve">52525#</t>
  </si>
  <si>
    <t xml:space="preserve">283#</t>
  </si>
  <si>
    <t xml:space="preserve">54216#</t>
  </si>
  <si>
    <t xml:space="preserve">255#</t>
  </si>
  <si>
    <t xml:space="preserve">57278#</t>
  </si>
  <si>
    <t xml:space="preserve">56450#</t>
  </si>
  <si>
    <t xml:space="preserve">53337#</t>
  </si>
  <si>
    <t xml:space="preserve">54250#</t>
  </si>
  <si>
    <t xml:space="preserve">207#</t>
  </si>
  <si>
    <t xml:space="preserve">58269#</t>
  </si>
  <si>
    <t xml:space="preserve">209#</t>
  </si>
  <si>
    <t xml:space="preserve">Es</t>
  </si>
  <si>
    <t xml:space="preserve">63556#</t>
  </si>
  <si>
    <t xml:space="preserve">56910#</t>
  </si>
  <si>
    <t xml:space="preserve">55664#</t>
  </si>
  <si>
    <t xml:space="preserve">150#</t>
  </si>
  <si>
    <t xml:space="preserve">64199#</t>
  </si>
  <si>
    <t xml:space="preserve">59640#</t>
  </si>
  <si>
    <t xml:space="preserve">56197#</t>
  </si>
  <si>
    <t xml:space="preserve">56032#</t>
  </si>
  <si>
    <t xml:space="preserve">59327#</t>
  </si>
  <si>
    <t xml:space="preserve">166#</t>
  </si>
  <si>
    <t xml:space="preserve">63863#</t>
  </si>
  <si>
    <t xml:space="preserve">225#</t>
  </si>
  <si>
    <t xml:space="preserve">Fm</t>
  </si>
  <si>
    <t xml:space="preserve">69126#</t>
  </si>
  <si>
    <t xml:space="preserve">58620#</t>
  </si>
  <si>
    <t xml:space="preserve">57734#</t>
  </si>
  <si>
    <t xml:space="preserve">64801#</t>
  </si>
  <si>
    <t xml:space="preserve">256#</t>
  </si>
  <si>
    <t xml:space="preserve">68400#</t>
  </si>
  <si>
    <t xml:space="preserve">62360#</t>
  </si>
  <si>
    <t xml:space="preserve">59876#</t>
  </si>
  <si>
    <t xml:space="preserve">32#</t>
  </si>
  <si>
    <t xml:space="preserve">60990#</t>
  </si>
  <si>
    <t xml:space="preserve">64747#</t>
  </si>
  <si>
    <t xml:space="preserve">69387#</t>
  </si>
  <si>
    <t xml:space="preserve">215#</t>
  </si>
  <si>
    <t xml:space="preserve">63202#</t>
  </si>
  <si>
    <t xml:space="preserve">66026#</t>
  </si>
  <si>
    <t xml:space="preserve">181#</t>
  </si>
  <si>
    <t xml:space="preserve">68966#</t>
  </si>
  <si>
    <t xml:space="preserve">65890#</t>
  </si>
  <si>
    <t xml:space="preserve">66366#</t>
  </si>
  <si>
    <t xml:space="preserve">70187#</t>
  </si>
  <si>
    <t xml:space="preserve">195#</t>
  </si>
  <si>
    <t xml:space="preserve">Md</t>
  </si>
  <si>
    <t xml:space="preserve">75272#</t>
  </si>
  <si>
    <t xml:space="preserve">64994#</t>
  </si>
  <si>
    <t xml:space="preserve">18#</t>
  </si>
  <si>
    <t xml:space="preserve">67901#</t>
  </si>
  <si>
    <t xml:space="preserve">76115#</t>
  </si>
  <si>
    <t xml:space="preserve">69108#</t>
  </si>
  <si>
    <t xml:space="preserve">67153#</t>
  </si>
  <si>
    <t xml:space="preserve">71673#</t>
  </si>
  <si>
    <t xml:space="preserve">115#</t>
  </si>
  <si>
    <t xml:space="preserve">75937#</t>
  </si>
  <si>
    <t xml:space="preserve">70563#</t>
  </si>
  <si>
    <t xml:space="preserve">68080#</t>
  </si>
  <si>
    <t xml:space="preserve">70299#</t>
  </si>
  <si>
    <t xml:space="preserve">77148#</t>
  </si>
  <si>
    <t xml:space="preserve">237#</t>
  </si>
  <si>
    <t xml:space="preserve">No</t>
  </si>
  <si>
    <t xml:space="preserve">80621#</t>
  </si>
  <si>
    <t xml:space="preserve">73104#</t>
  </si>
  <si>
    <t xml:space="preserve">71175#</t>
  </si>
  <si>
    <t xml:space="preserve">30#</t>
  </si>
  <si>
    <t xml:space="preserve">77232#</t>
  </si>
  <si>
    <t xml:space="preserve">81782#</t>
  </si>
  <si>
    <t xml:space="preserve">279#</t>
  </si>
  <si>
    <t xml:space="preserve">73225#</t>
  </si>
  <si>
    <t xml:space="preserve">78630#</t>
  </si>
  <si>
    <t xml:space="preserve">301#</t>
  </si>
  <si>
    <t xml:space="preserve">81564#</t>
  </si>
  <si>
    <t xml:space="preserve">82849#</t>
  </si>
  <si>
    <t xml:space="preserve">Lr</t>
  </si>
  <si>
    <t xml:space="preserve">87728#</t>
  </si>
  <si>
    <t xml:space="preserve">79056#</t>
  </si>
  <si>
    <t xml:space="preserve">78535#</t>
  </si>
  <si>
    <t xml:space="preserve">80510#</t>
  </si>
  <si>
    <t xml:space="preserve">130#</t>
  </si>
  <si>
    <t xml:space="preserve">88737#</t>
  </si>
  <si>
    <t xml:space="preserve">238#</t>
  </si>
  <si>
    <t xml:space="preserve">80929#</t>
  </si>
  <si>
    <t xml:space="preserve">359#</t>
  </si>
  <si>
    <t xml:space="preserve">81173#</t>
  </si>
  <si>
    <t xml:space="preserve">31#</t>
  </si>
  <si>
    <t xml:space="preserve">88575#</t>
  </si>
  <si>
    <t xml:space="preserve">Rf</t>
  </si>
  <si>
    <t xml:space="preserve">93557#</t>
  </si>
  <si>
    <t xml:space="preserve">410#</t>
  </si>
  <si>
    <t xml:space="preserve">84393#</t>
  </si>
  <si>
    <t xml:space="preserve">83453#</t>
  </si>
  <si>
    <t xml:space="preserve">89871#</t>
  </si>
  <si>
    <t xml:space="preserve">93199#</t>
  </si>
  <si>
    <t xml:space="preserve">84809#</t>
  </si>
  <si>
    <t xml:space="preserve">94330#</t>
  </si>
  <si>
    <t xml:space="preserve">Db</t>
  </si>
  <si>
    <t xml:space="preserve">99593#</t>
  </si>
  <si>
    <t xml:space="preserve">87041#</t>
  </si>
  <si>
    <t xml:space="preserve">87187#</t>
  </si>
  <si>
    <t xml:space="preserve">87456#</t>
  </si>
  <si>
    <t xml:space="preserve">122#</t>
  </si>
  <si>
    <t xml:space="preserve">100498#</t>
  </si>
  <si>
    <t xml:space="preserve">240#</t>
  </si>
  <si>
    <t xml:space="preserve">89403#</t>
  </si>
  <si>
    <t xml:space="preserve">411#</t>
  </si>
  <si>
    <t xml:space="preserve">92665#</t>
  </si>
  <si>
    <t xml:space="preserve">44#</t>
  </si>
  <si>
    <t xml:space="preserve">100207#</t>
  </si>
  <si>
    <t xml:space="preserve">92702#</t>
  </si>
  <si>
    <t xml:space="preserve">90426#</t>
  </si>
  <si>
    <t xml:space="preserve">91478#</t>
  </si>
  <si>
    <t xml:space="preserve">94782#</t>
  </si>
  <si>
    <t xml:space="preserve">101797#</t>
  </si>
  <si>
    <t xml:space="preserve">Sg</t>
  </si>
  <si>
    <t xml:space="preserve">105244#</t>
  </si>
  <si>
    <t xml:space="preserve">413#</t>
  </si>
  <si>
    <t xml:space="preserve">93704#</t>
  </si>
  <si>
    <t xml:space="preserve">93624#</t>
  </si>
  <si>
    <t xml:space="preserve">95852#</t>
  </si>
  <si>
    <t xml:space="preserve">98362#</t>
  </si>
  <si>
    <t xml:space="preserve">106520#</t>
  </si>
  <si>
    <t xml:space="preserve">95766#</t>
  </si>
  <si>
    <t xml:space="preserve">435#</t>
  </si>
  <si>
    <t xml:space="preserve">96552#</t>
  </si>
  <si>
    <t xml:space="preserve">316#</t>
  </si>
  <si>
    <t xml:space="preserve">95612#</t>
  </si>
  <si>
    <t xml:space="preserve">98277#</t>
  </si>
  <si>
    <t xml:space="preserve">124#</t>
  </si>
  <si>
    <t xml:space="preserve">99147#</t>
  </si>
  <si>
    <t xml:space="preserve">103673#</t>
  </si>
  <si>
    <t xml:space="preserve">93#</t>
  </si>
  <si>
    <t xml:space="preserve">Bh</t>
  </si>
  <si>
    <t xml:space="preserve">113323#</t>
  </si>
  <si>
    <t xml:space="preserve">245#</t>
  </si>
  <si>
    <t xml:space="preserve">98578#</t>
  </si>
  <si>
    <t xml:space="preserve">509#</t>
  </si>
  <si>
    <t xml:space="preserve">98455#</t>
  </si>
  <si>
    <t xml:space="preserve">99558#</t>
  </si>
  <si>
    <t xml:space="preserve">104308#</t>
  </si>
  <si>
    <t xml:space="preserve">110#</t>
  </si>
  <si>
    <t xml:space="preserve">113133#</t>
  </si>
  <si>
    <t xml:space="preserve">101627#</t>
  </si>
  <si>
    <t xml:space="preserve">100101#</t>
  </si>
  <si>
    <t xml:space="preserve">102102#</t>
  </si>
  <si>
    <t xml:space="preserve">102393#</t>
  </si>
  <si>
    <t xml:space="preserve">106253#</t>
  </si>
  <si>
    <t xml:space="preserve">143#</t>
  </si>
  <si>
    <t xml:space="preserve">114541#</t>
  </si>
  <si>
    <t xml:space="preserve">306#</t>
  </si>
  <si>
    <t xml:space="preserve">103129#</t>
  </si>
  <si>
    <t xml:space="preserve">490#</t>
  </si>
  <si>
    <t xml:space="preserve">103729#</t>
  </si>
  <si>
    <t xml:space="preserve">104756#</t>
  </si>
  <si>
    <t xml:space="preserve">153#</t>
  </si>
  <si>
    <t xml:space="preserve">107111#</t>
  </si>
  <si>
    <t xml:space="preserve">168#</t>
  </si>
  <si>
    <t xml:space="preserve">110190#</t>
  </si>
  <si>
    <t xml:space="preserve">95#</t>
  </si>
  <si>
    <t xml:space="preserve">114496#</t>
  </si>
  <si>
    <t xml:space="preserve">Hs</t>
  </si>
  <si>
    <t xml:space="preserve">119678#</t>
  </si>
  <si>
    <t xml:space="preserve">125#</t>
  </si>
  <si>
    <t xml:space="preserve">105011#</t>
  </si>
  <si>
    <t xml:space="preserve">591#</t>
  </si>
  <si>
    <t xml:space="preserve">106377#</t>
  </si>
  <si>
    <t xml:space="preserve">436#</t>
  </si>
  <si>
    <t xml:space="preserve">106077#</t>
  </si>
  <si>
    <t xml:space="preserve">109362#</t>
  </si>
  <si>
    <t xml:space="preserve">235#</t>
  </si>
  <si>
    <t xml:space="preserve">110782#</t>
  </si>
  <si>
    <t xml:space="preserve">116058#</t>
  </si>
  <si>
    <t xml:space="preserve">177#</t>
  </si>
  <si>
    <t xml:space="preserve">108233#</t>
  </si>
  <si>
    <t xml:space="preserve">547#</t>
  </si>
  <si>
    <t xml:space="preserve">108690#</t>
  </si>
  <si>
    <t xml:space="preserve">110483#</t>
  </si>
  <si>
    <t xml:space="preserve">112794#</t>
  </si>
  <si>
    <t xml:space="preserve">123#</t>
  </si>
  <si>
    <t xml:space="preserve">116415#</t>
  </si>
  <si>
    <t xml:space="preserve">234#</t>
  </si>
  <si>
    <t xml:space="preserve">Mt</t>
  </si>
  <si>
    <t xml:space="preserve">126678#</t>
  </si>
  <si>
    <t xml:space="preserve">451#</t>
  </si>
  <si>
    <t xml:space="preserve">111622#</t>
  </si>
  <si>
    <t xml:space="preserve">583#</t>
  </si>
  <si>
    <t xml:space="preserve">110076#</t>
  </si>
  <si>
    <t xml:space="preserve">469#</t>
  </si>
  <si>
    <t xml:space="preserve">112737#</t>
  </si>
  <si>
    <t xml:space="preserve">113618#</t>
  </si>
  <si>
    <t xml:space="preserve">118104#</t>
  </si>
  <si>
    <t xml:space="preserve">163#</t>
  </si>
  <si>
    <t xml:space="preserve">127962#</t>
  </si>
  <si>
    <t xml:space="preserve">307#</t>
  </si>
  <si>
    <t xml:space="preserve">113444#</t>
  </si>
  <si>
    <t xml:space="preserve">575#</t>
  </si>
  <si>
    <t xml:space="preserve">114074#</t>
  </si>
  <si>
    <t xml:space="preserve">412#</t>
  </si>
  <si>
    <t xml:space="preserve">115806#</t>
  </si>
  <si>
    <t xml:space="preserve">257#</t>
  </si>
  <si>
    <t xml:space="preserve">118766#</t>
  </si>
  <si>
    <t xml:space="preserve">263#</t>
  </si>
  <si>
    <t xml:space="preserve">122653#</t>
  </si>
  <si>
    <t xml:space="preserve">96#</t>
  </si>
  <si>
    <t xml:space="preserve">127791#</t>
  </si>
  <si>
    <t xml:space="preserve">Ds</t>
  </si>
  <si>
    <t xml:space="preserve">133880#</t>
  </si>
  <si>
    <t xml:space="preserve">135#</t>
  </si>
  <si>
    <t xml:space="preserve">115476#</t>
  </si>
  <si>
    <t xml:space="preserve">662#</t>
  </si>
  <si>
    <t xml:space="preserve">117062#</t>
  </si>
  <si>
    <t xml:space="preserve">529#</t>
  </si>
  <si>
    <t xml:space="preserve">116802#</t>
  </si>
  <si>
    <t xml:space="preserve">120807#</t>
  </si>
  <si>
    <t xml:space="preserve">381#</t>
  </si>
  <si>
    <t xml:space="preserve">122830#</t>
  </si>
  <si>
    <t xml:space="preserve">129151#</t>
  </si>
  <si>
    <t xml:space="preserve">233#</t>
  </si>
  <si>
    <t xml:space="preserve">133648#</t>
  </si>
  <si>
    <t xml:space="preserve">119148#</t>
  </si>
  <si>
    <t xml:space="preserve">624#</t>
  </si>
  <si>
    <t xml:space="preserve">119763#</t>
  </si>
  <si>
    <t xml:space="preserve">364#</t>
  </si>
  <si>
    <t xml:space="preserve">121478#</t>
  </si>
  <si>
    <t xml:space="preserve">374#</t>
  </si>
  <si>
    <t xml:space="preserve">124564#</t>
  </si>
  <si>
    <t xml:space="preserve">129370#</t>
  </si>
  <si>
    <t xml:space="preserve">463#</t>
  </si>
  <si>
    <t xml:space="preserve">122307#</t>
  </si>
  <si>
    <t xml:space="preserve">617#</t>
  </si>
  <si>
    <t xml:space="preserve">121491#</t>
  </si>
  <si>
    <t xml:space="preserve">557#</t>
  </si>
  <si>
    <t xml:space="preserve">124226#</t>
  </si>
  <si>
    <t xml:space="preserve">287#</t>
  </si>
  <si>
    <t xml:space="preserve">125112#</t>
  </si>
  <si>
    <t xml:space="preserve">248#</t>
  </si>
  <si>
    <t xml:space="preserve">130710#</t>
  </si>
  <si>
    <t xml:space="preserve">124757#</t>
  </si>
  <si>
    <t xml:space="preserve">585#</t>
  </si>
  <si>
    <t xml:space="preserve">125921#</t>
  </si>
  <si>
    <t xml:space="preserve">415#</t>
  </si>
  <si>
    <t xml:space="preserve">127740#</t>
  </si>
  <si>
    <t xml:space="preserve">280#</t>
  </si>
  <si>
    <t xml:space="preserve">131101#</t>
  </si>
  <si>
    <t xml:space="preserve">330#</t>
  </si>
  <si>
    <t xml:space="preserve">135948#</t>
  </si>
  <si>
    <t xml:space="preserve">97#</t>
  </si>
  <si>
    <t xml:space="preserve">126580#</t>
  </si>
  <si>
    <t xml:space="preserve">727#</t>
  </si>
  <si>
    <t xml:space="preserve">128789#</t>
  </si>
  <si>
    <t xml:space="preserve">532#</t>
  </si>
  <si>
    <t xml:space="preserve">129006#</t>
  </si>
  <si>
    <t xml:space="preserve">510#</t>
  </si>
  <si>
    <t xml:space="preserve">133581#</t>
  </si>
  <si>
    <t xml:space="preserve">485#</t>
  </si>
  <si>
    <t xml:space="preserve">136015#</t>
  </si>
  <si>
    <t xml:space="preserve">Rg</t>
  </si>
  <si>
    <t xml:space="preserve">142773#</t>
  </si>
  <si>
    <t xml:space="preserve">130018#</t>
  </si>
  <si>
    <t xml:space="preserve">130633#</t>
  </si>
  <si>
    <t xml:space="preserve">692#</t>
  </si>
  <si>
    <t xml:space="preserve">131890#</t>
  </si>
  <si>
    <t xml:space="preserve">367#</t>
  </si>
  <si>
    <t xml:space="preserve">134713#</t>
  </si>
  <si>
    <t xml:space="preserve">424#</t>
  </si>
  <si>
    <t xml:space="preserve">138356#</t>
  </si>
  <si>
    <t xml:space="preserve">134#</t>
  </si>
  <si>
    <t xml:space="preserve">142695#</t>
  </si>
  <si>
    <t xml:space="preserve">526#</t>
  </si>
  <si>
    <t xml:space="preserve">133682#</t>
  </si>
  <si>
    <t xml:space="preserve">619#</t>
  </si>
  <si>
    <t xml:space="preserve">133486#</t>
  </si>
  <si>
    <t xml:space="preserve">592#</t>
  </si>
  <si>
    <t xml:space="preserve">137246#</t>
  </si>
  <si>
    <t xml:space="preserve">354#</t>
  </si>
  <si>
    <t xml:space="preserve">139197#</t>
  </si>
  <si>
    <t xml:space="preserve">389#</t>
  </si>
  <si>
    <t xml:space="preserve">144613#</t>
  </si>
  <si>
    <t xml:space="preserve">135691#</t>
  </si>
  <si>
    <t xml:space="preserve">136620#</t>
  </si>
  <si>
    <t xml:space="preserve">587#</t>
  </si>
  <si>
    <t xml:space="preserve">138829#</t>
  </si>
  <si>
    <t xml:space="preserve">418#</t>
  </si>
  <si>
    <t xml:space="preserve">141565#</t>
  </si>
  <si>
    <t xml:space="preserve">145296#</t>
  </si>
  <si>
    <t xml:space="preserve">519#</t>
  </si>
  <si>
    <t xml:space="preserve">138285#</t>
  </si>
  <si>
    <t xml:space="preserve">754#</t>
  </si>
  <si>
    <t xml:space="preserve">141315#</t>
  </si>
  <si>
    <t xml:space="preserve">142541#</t>
  </si>
  <si>
    <t xml:space="preserve">548#</t>
  </si>
  <si>
    <t xml:space="preserve">147486#</t>
  </si>
  <si>
    <t xml:space="preserve">629#</t>
  </si>
  <si>
    <t xml:space="preserve">Cn</t>
  </si>
  <si>
    <t xml:space="preserve">150352#</t>
  </si>
  <si>
    <t xml:space="preserve">141493#</t>
  </si>
  <si>
    <t xml:space="preserve">541#</t>
  </si>
  <si>
    <t xml:space="preserve">142968#</t>
  </si>
  <si>
    <t xml:space="preserve">145140#</t>
  </si>
  <si>
    <t xml:space="preserve">384#</t>
  </si>
  <si>
    <t xml:space="preserve">148338#</t>
  </si>
  <si>
    <t xml:space="preserve">520#</t>
  </si>
  <si>
    <t xml:space="preserve">152403#</t>
  </si>
  <si>
    <t xml:space="preserve">145736#</t>
  </si>
  <si>
    <t xml:space="preserve">621#</t>
  </si>
  <si>
    <t xml:space="preserve">146381#</t>
  </si>
  <si>
    <t xml:space="preserve">625#</t>
  </si>
  <si>
    <t xml:space="preserve">150517#</t>
  </si>
  <si>
    <t xml:space="preserve">357#</t>
  </si>
  <si>
    <t xml:space="preserve">152932#</t>
  </si>
  <si>
    <t xml:space="preserve">438#</t>
  </si>
  <si>
    <t xml:space="preserve">Ed</t>
  </si>
  <si>
    <t xml:space="preserve">158889#</t>
  </si>
  <si>
    <t xml:space="preserve">184#</t>
  </si>
  <si>
    <t xml:space="preserve">147496#</t>
  </si>
  <si>
    <t xml:space="preserve">149126#</t>
  </si>
  <si>
    <t xml:space="preserve">598#</t>
  </si>
  <si>
    <t xml:space="preserve">151775#</t>
  </si>
  <si>
    <t xml:space="preserve">421#</t>
  </si>
  <si>
    <t xml:space="preserve">155030#</t>
  </si>
  <si>
    <t xml:space="preserve">456#</t>
  </si>
  <si>
    <t xml:space="preserve">159239#</t>
  </si>
  <si>
    <t xml:space="preserve">150520#</t>
  </si>
  <si>
    <t xml:space="preserve">780#</t>
  </si>
  <si>
    <t xml:space="preserve">153886#</t>
  </si>
  <si>
    <t xml:space="preserve">155696#</t>
  </si>
  <si>
    <t xml:space="preserve">161140#</t>
  </si>
  <si>
    <t xml:space="preserve">153431#</t>
  </si>
  <si>
    <t xml:space="preserve">579#</t>
  </si>
  <si>
    <t xml:space="preserve">155297#</t>
  </si>
  <si>
    <t xml:space="preserve">806#</t>
  </si>
  <si>
    <t xml:space="preserve">158019#</t>
  </si>
  <si>
    <t xml:space="preserve">387#</t>
  </si>
  <si>
    <t xml:space="preserve">161810#</t>
  </si>
  <si>
    <t xml:space="preserve">157800#</t>
  </si>
  <si>
    <t xml:space="preserve">654#</t>
  </si>
  <si>
    <t xml:space="preserve">158976#</t>
  </si>
  <si>
    <t xml:space="preserve">656#</t>
  </si>
  <si>
    <t xml:space="preserve">163725#</t>
  </si>
  <si>
    <t xml:space="preserve">159281#</t>
  </si>
  <si>
    <t xml:space="preserve">697#</t>
  </si>
  <si>
    <t xml:space="preserve">161486#</t>
  </si>
  <si>
    <t xml:space="preserve">608#</t>
  </si>
  <si>
    <t xml:space="preserve">164707#</t>
  </si>
  <si>
    <t xml:space="preserve">162545#</t>
  </si>
  <si>
    <t xml:space="preserve">166591#</t>
  </si>
  <si>
    <t xml:space="preserve">534#</t>
  </si>
  <si>
    <t xml:space="preserve">Fl</t>
  </si>
  <si>
    <t xml:space="preserve">168921#</t>
  </si>
  <si>
    <t xml:space="preserve">165173#</t>
  </si>
  <si>
    <t xml:space="preserve">581#</t>
  </si>
  <si>
    <t xml:space="preserve">167731#</t>
  </si>
  <si>
    <t xml:space="preserve">807#</t>
  </si>
  <si>
    <t xml:space="preserve">171003#</t>
  </si>
  <si>
    <t xml:space="preserve">391#</t>
  </si>
  <si>
    <t xml:space="preserve">170014#</t>
  </si>
  <si>
    <t xml:space="preserve">171773#</t>
  </si>
  <si>
    <t xml:space="preserve">657#</t>
  </si>
  <si>
    <t xml:space="preserve">171245#</t>
  </si>
  <si>
    <t xml:space="preserve">725#</t>
  </si>
  <si>
    <t xml:space="preserve">174073#</t>
  </si>
  <si>
    <t xml:space="preserve">610#</t>
  </si>
  <si>
    <t xml:space="preserve">Ef</t>
  </si>
  <si>
    <t xml:space="preserve">177895#</t>
  </si>
  <si>
    <t xml:space="preserve">439#</t>
  </si>
  <si>
    <t xml:space="preserve">175042#</t>
  </si>
  <si>
    <t xml:space="preserve">179771#</t>
  </si>
  <si>
    <t xml:space="preserve">536#</t>
  </si>
  <si>
    <t xml:space="preserve">177564#</t>
  </si>
  <si>
    <t xml:space="preserve">584#</t>
  </si>
  <si>
    <t xml:space="preserve">180666#</t>
  </si>
  <si>
    <t xml:space="preserve">809#</t>
  </si>
  <si>
    <t xml:space="preserve">Lv</t>
  </si>
  <si>
    <t xml:space="preserve">184528#</t>
  </si>
  <si>
    <t xml:space="preserve">492#</t>
  </si>
  <si>
    <t xml:space="preserve">182894#</t>
  </si>
  <si>
    <t xml:space="preserve">658#</t>
  </si>
  <si>
    <t xml:space="preserve">185198#</t>
  </si>
  <si>
    <t xml:space="preserve">660#</t>
  </si>
  <si>
    <t xml:space="preserve">183990#</t>
  </si>
  <si>
    <t xml:space="preserve">784#</t>
  </si>
  <si>
    <t xml:space="preserve">187387#</t>
  </si>
  <si>
    <t xml:space="preserve">612#</t>
  </si>
  <si>
    <t xml:space="preserve">Eh</t>
  </si>
  <si>
    <t xml:space="preserve">191800#</t>
  </si>
  <si>
    <t xml:space="preserve">594#</t>
  </si>
  <si>
    <t xml:space="preserve">188242#</t>
  </si>
  <si>
    <t xml:space="preserve">193576#</t>
  </si>
  <si>
    <t xml:space="preserve">669#</t>
  </si>
  <si>
    <t xml:space="preserve">190669#</t>
  </si>
  <si>
    <t xml:space="preserve">586#</t>
  </si>
  <si>
    <t xml:space="preserve">194385#</t>
  </si>
  <si>
    <t xml:space="preserve">810#</t>
  </si>
  <si>
    <t xml:space="preserve">Ei</t>
  </si>
  <si>
    <t xml:space="preserve">198873#</t>
  </si>
  <si>
    <t xml:space="preserve">702#</t>
  </si>
  <si>
    <t xml:space="preserve">196521#</t>
  </si>
  <si>
    <t xml:space="preserve">199463#</t>
  </si>
  <si>
    <t xml:space="preserve">663#</t>
  </si>
  <si>
    <t xml:space="preserve">201512#</t>
  </si>
  <si>
    <t xml:space="preserve">644#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</si>
</sst>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.00000"/>
    <numFmt numFmtId="167" formatCode="General"/>
    <numFmt numFmtId="168" formatCode="0.00"/>
    <numFmt numFmtId="169" formatCode="0.0"/>
    <numFmt numFmtId="170" formatCode="0.0000"/>
    <numFmt numFmtId="171" formatCode="0.000000"/>
    <numFmt numFmtId="172" formatCode="0.00E+00"/>
    <numFmt numFmtId="173" formatCode="0.00E+00;\㣤"/>
    <numFmt numFmtId="174" formatCode="0.00E+00;\ĝ"/>
    <numFmt numFmtId="175" formatCode="0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B0F0"/>
      <name val="Arial"/>
      <family val="2"/>
      <charset val="1"/>
    </font>
    <font>
      <sz val="10"/>
      <name val="Symbol"/>
      <family val="1"/>
      <charset val="2"/>
    </font>
    <font>
      <sz val="10"/>
      <name val="Arial"/>
      <family val="2"/>
      <charset val="1"/>
    </font>
    <font>
      <sz val="10"/>
      <color rgb="FF000080"/>
      <name val="Arial"/>
      <family val="2"/>
      <charset val="1"/>
    </font>
    <font>
      <b val="true"/>
      <sz val="9"/>
      <color rgb="FF000000"/>
      <name val="Arial"/>
      <family val="2"/>
    </font>
    <font>
      <sz val="8"/>
      <color rgb="FF000000"/>
      <name val="Arial"/>
      <family val="2"/>
    </font>
    <font>
      <b val="true"/>
      <sz val="9.25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sz val="8.45"/>
      <color rgb="FF000000"/>
      <name val="Arial"/>
      <family val="2"/>
    </font>
    <font>
      <u val="single"/>
      <sz val="10"/>
      <color rgb="FF0000FF"/>
      <name val="Arial"/>
      <family val="2"/>
      <charset val="1"/>
    </font>
    <font>
      <i val="true"/>
      <sz val="8"/>
      <name val="Arial"/>
      <family val="2"/>
      <charset val="1"/>
    </font>
    <font>
      <i val="true"/>
      <sz val="10"/>
      <name val="Times New Roman"/>
      <family val="1"/>
      <charset val="1"/>
    </font>
    <font>
      <sz val="8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 Black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0C0C0"/>
      </patternFill>
    </fill>
    <fill>
      <patternFill patternType="solid">
        <fgColor rgb="FFFFCC99"/>
        <bgColor rgb="FFC0C0C0"/>
      </patternFill>
    </fill>
    <fill>
      <patternFill patternType="solid">
        <fgColor rgb="FFC0C0C0"/>
        <bgColor rgb="FFA6A6A6"/>
      </patternFill>
    </fill>
    <fill>
      <patternFill patternType="solid">
        <fgColor rgb="FFCCFFFF"/>
        <bgColor rgb="FFCCFFFF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CCFF"/>
        <bgColor rgb="FF00B0F0"/>
      </patternFill>
    </fill>
    <fill>
      <patternFill patternType="solid">
        <fgColor rgb="FFFF0000"/>
        <bgColor rgb="FF993300"/>
      </patternFill>
    </fill>
  </fills>
  <borders count="3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2" borderId="2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3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2" borderId="9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7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5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8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8" borderId="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8" borderId="1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4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4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4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6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4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1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4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8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2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4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1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0F0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900" spc="-1" strike="noStrike">
                <a:solidFill>
                  <a:srgbClr val="000000"/>
                </a:solidFill>
                <a:latin typeface="Arial"/>
                <a:ea typeface="Arial"/>
              </a:rPr>
              <a:t>ejectile lab energy vs lab angle</a:t>
            </a:r>
          </a:p>
        </c:rich>
      </c:tx>
      <c:layout>
        <c:manualLayout>
          <c:xMode val="edge"/>
          <c:yMode val="edge"/>
          <c:x val="0.258337582865885"/>
          <c:y val="0.0420969023034154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828658847527"/>
          <c:y val="0.235266084193805"/>
          <c:w val="0.755124936257012"/>
          <c:h val="0.592216044479746"/>
        </c:manualLayout>
      </c:layout>
      <c:scatterChart>
        <c:scatterStyle val="line"/>
        <c:varyColors val="0"/>
        <c:ser>
          <c:idx val="0"/>
          <c:order val="0"/>
          <c:tx>
            <c:strRef>
              <c:f>'small plots'!$C$5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'small plots'!$B$6:$B$16</c:f>
              <c:numCache>
                <c:formatCode>General</c:formatCode>
                <c:ptCount val="11"/>
                <c:pt idx="0">
                  <c:v>130</c:v>
                </c:pt>
                <c:pt idx="1">
                  <c:v>135</c:v>
                </c:pt>
                <c:pt idx="2">
                  <c:v>140</c:v>
                </c:pt>
                <c:pt idx="3">
                  <c:v>145</c:v>
                </c:pt>
                <c:pt idx="4">
                  <c:v>150</c:v>
                </c:pt>
                <c:pt idx="5">
                  <c:v>155</c:v>
                </c:pt>
                <c:pt idx="6">
                  <c:v>160</c:v>
                </c:pt>
                <c:pt idx="7">
                  <c:v>165</c:v>
                </c:pt>
                <c:pt idx="8">
                  <c:v>170</c:v>
                </c:pt>
                <c:pt idx="9">
                  <c:v>175</c:v>
                </c:pt>
                <c:pt idx="10">
                  <c:v>180</c:v>
                </c:pt>
              </c:numCache>
            </c:numRef>
          </c:xVal>
          <c:yVal>
            <c:numRef>
              <c:f>'small plots'!$C$6:$C$16</c:f>
              <c:numCache>
                <c:formatCode>General</c:formatCode>
                <c:ptCount val="11"/>
              </c:numCache>
            </c:numRef>
          </c:yVal>
          <c:smooth val="0"/>
        </c:ser>
        <c:axId val="28810218"/>
        <c:axId val="20875360"/>
      </c:scatterChart>
      <c:valAx>
        <c:axId val="288102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0875360"/>
        <c:crosses val="autoZero"/>
        <c:crossBetween val="midCat"/>
      </c:valAx>
      <c:valAx>
        <c:axId val="20875360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8810218"/>
        <c:crosses val="autoZero"/>
        <c:crossBetween val="midCat"/>
      </c:valAx>
      <c:spPr>
        <a:solidFill>
          <a:srgbClr val="f2f2f2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925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925" spc="-1" strike="noStrike">
                <a:solidFill>
                  <a:srgbClr val="000000"/>
                </a:solidFill>
                <a:latin typeface="Arial"/>
                <a:ea typeface="Arial"/>
              </a:rPr>
              <a:t>as left, but solution 2</a:t>
            </a:r>
          </a:p>
        </c:rich>
      </c:tx>
      <c:layout>
        <c:manualLayout>
          <c:xMode val="edge"/>
          <c:yMode val="edge"/>
          <c:x val="0.339721946375372"/>
          <c:y val="0.042271494656245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26812313803"/>
          <c:y val="0.236401339926623"/>
          <c:w val="0.793843098311817"/>
          <c:h val="0.590524804594034"/>
        </c:manualLayout>
      </c:layout>
      <c:scatterChart>
        <c:scatterStyle val="line"/>
        <c:varyColors val="0"/>
        <c:ser>
          <c:idx val="0"/>
          <c:order val="0"/>
          <c:tx>
            <c:strRef>
              <c:f>'small plots'!$Q$5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'small plots'!$P$6:$P$16</c:f>
              <c:numCache>
                <c:formatCode>General</c:formatCode>
                <c:ptCount val="11"/>
                <c:pt idx="0">
                  <c:v>130</c:v>
                </c:pt>
                <c:pt idx="1">
                  <c:v>135</c:v>
                </c:pt>
                <c:pt idx="2">
                  <c:v>140</c:v>
                </c:pt>
                <c:pt idx="3">
                  <c:v>145</c:v>
                </c:pt>
                <c:pt idx="4">
                  <c:v>150</c:v>
                </c:pt>
                <c:pt idx="5">
                  <c:v>155</c:v>
                </c:pt>
                <c:pt idx="6">
                  <c:v>160</c:v>
                </c:pt>
                <c:pt idx="7">
                  <c:v>165</c:v>
                </c:pt>
                <c:pt idx="8">
                  <c:v>170</c:v>
                </c:pt>
                <c:pt idx="9">
                  <c:v>175</c:v>
                </c:pt>
                <c:pt idx="10">
                  <c:v>180</c:v>
                </c:pt>
              </c:numCache>
            </c:numRef>
          </c:xVal>
          <c:yVal>
            <c:numRef>
              <c:f>'small plots'!$Q$6:$Q$16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</c:ser>
        <c:axId val="17846659"/>
        <c:axId val="70015891"/>
      </c:scatterChart>
      <c:valAx>
        <c:axId val="178466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0015891"/>
        <c:crosses val="autoZero"/>
        <c:crossBetween val="midCat"/>
      </c:valAx>
      <c:valAx>
        <c:axId val="70015891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7846659"/>
        <c:crosses val="autoZero"/>
        <c:crossBetween val="midCat"/>
      </c:valAx>
      <c:spPr>
        <a:solidFill>
          <a:srgbClr val="f2f2f2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1000" spc="-1" strike="noStrike">
                <a:solidFill>
                  <a:srgbClr val="000000"/>
                </a:solidFill>
                <a:latin typeface="Arial"/>
                <a:ea typeface="Arial"/>
              </a:rPr>
              <a:t>recoil angle vs ejectile lab angle</a:t>
            </a:r>
          </a:p>
        </c:rich>
      </c:tx>
      <c:layout>
        <c:manualLayout>
          <c:xMode val="edge"/>
          <c:yMode val="edge"/>
          <c:x val="0.209077001529832"/>
          <c:y val="0.042566709021601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886282508924"/>
          <c:y val="0.239517153748412"/>
          <c:w val="0.788169301376849"/>
          <c:h val="0.587992376111817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'small plots'!$B$21:$B$31</c:f>
              <c:numCache>
                <c:formatCode>General</c:formatCode>
                <c:ptCount val="11"/>
                <c:pt idx="0">
                  <c:v>130</c:v>
                </c:pt>
                <c:pt idx="1">
                  <c:v>135</c:v>
                </c:pt>
                <c:pt idx="2">
                  <c:v>140</c:v>
                </c:pt>
                <c:pt idx="3">
                  <c:v>145</c:v>
                </c:pt>
                <c:pt idx="4">
                  <c:v>150</c:v>
                </c:pt>
                <c:pt idx="5">
                  <c:v>155</c:v>
                </c:pt>
                <c:pt idx="6">
                  <c:v>160</c:v>
                </c:pt>
                <c:pt idx="7">
                  <c:v>165</c:v>
                </c:pt>
                <c:pt idx="8">
                  <c:v>170</c:v>
                </c:pt>
                <c:pt idx="9">
                  <c:v>175</c:v>
                </c:pt>
                <c:pt idx="10">
                  <c:v>180</c:v>
                </c:pt>
              </c:numCache>
            </c:numRef>
          </c:xVal>
          <c:yVal>
            <c:numRef>
              <c:f>'small plots'!$C$21:$C$31</c:f>
              <c:numCache>
                <c:formatCode>General</c:formatCode>
                <c:ptCount val="11"/>
              </c:numCache>
            </c:numRef>
          </c:yVal>
          <c:smooth val="0"/>
        </c:ser>
        <c:axId val="6628825"/>
        <c:axId val="88001146"/>
      </c:scatterChart>
      <c:valAx>
        <c:axId val="66288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8001146"/>
        <c:crosses val="autoZero"/>
        <c:crossBetween val="midCat"/>
      </c:valAx>
      <c:valAx>
        <c:axId val="88001146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628825"/>
        <c:crosses val="autoZero"/>
        <c:crossBetween val="midCat"/>
      </c:valAx>
      <c:spPr>
        <a:solidFill>
          <a:srgbClr val="f2f2f2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1000" spc="-1" strike="noStrike">
                <a:solidFill>
                  <a:srgbClr val="000000"/>
                </a:solidFill>
                <a:latin typeface="Arial"/>
                <a:ea typeface="Arial"/>
              </a:rPr>
              <a:t>as left, but solution 2</a:t>
            </a:r>
          </a:p>
        </c:rich>
      </c:tx>
      <c:layout>
        <c:manualLayout>
          <c:xMode val="edge"/>
          <c:yMode val="edge"/>
          <c:x val="0.320953326713009"/>
          <c:y val="0.0427432216905901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26812313803"/>
          <c:y val="0.240510366826156"/>
          <c:w val="0.793843098311817"/>
          <c:h val="0.58628389154704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'small plots'!$P$21:$P$31</c:f>
              <c:numCache>
                <c:formatCode>General</c:formatCode>
                <c:ptCount val="11"/>
                <c:pt idx="0">
                  <c:v>130</c:v>
                </c:pt>
                <c:pt idx="1">
                  <c:v>135</c:v>
                </c:pt>
                <c:pt idx="2">
                  <c:v>140</c:v>
                </c:pt>
                <c:pt idx="3">
                  <c:v>145</c:v>
                </c:pt>
                <c:pt idx="4">
                  <c:v>150</c:v>
                </c:pt>
                <c:pt idx="5">
                  <c:v>155</c:v>
                </c:pt>
                <c:pt idx="6">
                  <c:v>160</c:v>
                </c:pt>
                <c:pt idx="7">
                  <c:v>165</c:v>
                </c:pt>
                <c:pt idx="8">
                  <c:v>170</c:v>
                </c:pt>
                <c:pt idx="9">
                  <c:v>175</c:v>
                </c:pt>
                <c:pt idx="10">
                  <c:v>180</c:v>
                </c:pt>
              </c:numCache>
            </c:numRef>
          </c:xVal>
          <c:yVal>
            <c:numRef>
              <c:f>'small plots'!$Q$21:$Q$31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</c:ser>
        <c:axId val="55047325"/>
        <c:axId val="80824140"/>
      </c:scatterChart>
      <c:valAx>
        <c:axId val="550473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0824140"/>
        <c:crosses val="autoZero"/>
        <c:crossBetween val="midCat"/>
      </c:valAx>
      <c:valAx>
        <c:axId val="80824140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5047325"/>
        <c:crosses val="autoZero"/>
        <c:crossBetween val="midCat"/>
      </c:valAx>
      <c:spPr>
        <a:solidFill>
          <a:srgbClr val="f2f2f2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900" spc="-1" strike="noStrike">
                <a:solidFill>
                  <a:srgbClr val="000000"/>
                </a:solidFill>
                <a:latin typeface="Arial"/>
                <a:ea typeface="Arial"/>
              </a:rPr>
              <a:t>recoil energy vs ejectile lab angle</a:t>
            </a:r>
          </a:p>
        </c:rich>
      </c:tx>
      <c:layout>
        <c:manualLayout>
          <c:xMode val="edge"/>
          <c:yMode val="edge"/>
          <c:x val="0.238405207485761"/>
          <c:y val="0.0419237462426831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345809601302"/>
          <c:y val="0.234298370510995"/>
          <c:w val="0.75579739625712"/>
          <c:h val="0.59389337130200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'small plots'!$B$36:$B$46</c:f>
              <c:numCache>
                <c:formatCode>General</c:formatCode>
                <c:ptCount val="11"/>
                <c:pt idx="0">
                  <c:v>130</c:v>
                </c:pt>
                <c:pt idx="1">
                  <c:v>135</c:v>
                </c:pt>
                <c:pt idx="2">
                  <c:v>140</c:v>
                </c:pt>
                <c:pt idx="3">
                  <c:v>145</c:v>
                </c:pt>
                <c:pt idx="4">
                  <c:v>150</c:v>
                </c:pt>
                <c:pt idx="5">
                  <c:v>155</c:v>
                </c:pt>
                <c:pt idx="6">
                  <c:v>160</c:v>
                </c:pt>
                <c:pt idx="7">
                  <c:v>165</c:v>
                </c:pt>
                <c:pt idx="8">
                  <c:v>170</c:v>
                </c:pt>
                <c:pt idx="9">
                  <c:v>175</c:v>
                </c:pt>
                <c:pt idx="10">
                  <c:v>180</c:v>
                </c:pt>
              </c:numCache>
            </c:numRef>
          </c:xVal>
          <c:yVal>
            <c:numRef>
              <c:f>'small plots'!$C$36:$C$46</c:f>
              <c:numCache>
                <c:formatCode>General</c:formatCode>
                <c:ptCount val="11"/>
              </c:numCache>
            </c:numRef>
          </c:yVal>
          <c:smooth val="0"/>
        </c:ser>
        <c:axId val="98969364"/>
        <c:axId val="30998050"/>
      </c:scatterChart>
      <c:valAx>
        <c:axId val="989693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0998050"/>
        <c:crosses val="autoZero"/>
        <c:crossBetween val="midCat"/>
      </c:valAx>
      <c:valAx>
        <c:axId val="30998050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8969364"/>
        <c:crosses val="autoZero"/>
        <c:crossBetween val="midCat"/>
      </c:valAx>
      <c:spPr>
        <a:solidFill>
          <a:srgbClr val="f2f2f2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925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925" spc="-1" strike="noStrike">
                <a:solidFill>
                  <a:srgbClr val="000000"/>
                </a:solidFill>
                <a:latin typeface="Arial"/>
                <a:ea typeface="Arial"/>
              </a:rPr>
              <a:t>as left, but solution 2</a:t>
            </a:r>
          </a:p>
        </c:rich>
      </c:tx>
      <c:layout>
        <c:manualLayout>
          <c:xMode val="edge"/>
          <c:yMode val="edge"/>
          <c:x val="0.340535696505028"/>
          <c:y val="0.0419237462426831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400577516678"/>
          <c:y val="0.234298370510995"/>
          <c:w val="0.793288857910983"/>
          <c:h val="0.59389337130200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'small plots'!$P$36:$P$46</c:f>
              <c:numCache>
                <c:formatCode>General</c:formatCode>
                <c:ptCount val="11"/>
                <c:pt idx="0">
                  <c:v>130</c:v>
                </c:pt>
                <c:pt idx="1">
                  <c:v>135</c:v>
                </c:pt>
                <c:pt idx="2">
                  <c:v>140</c:v>
                </c:pt>
                <c:pt idx="3">
                  <c:v>145</c:v>
                </c:pt>
                <c:pt idx="4">
                  <c:v>150</c:v>
                </c:pt>
                <c:pt idx="5">
                  <c:v>155</c:v>
                </c:pt>
                <c:pt idx="6">
                  <c:v>160</c:v>
                </c:pt>
                <c:pt idx="7">
                  <c:v>165</c:v>
                </c:pt>
                <c:pt idx="8">
                  <c:v>170</c:v>
                </c:pt>
                <c:pt idx="9">
                  <c:v>175</c:v>
                </c:pt>
                <c:pt idx="10">
                  <c:v>180</c:v>
                </c:pt>
              </c:numCache>
            </c:numRef>
          </c:xVal>
          <c:yVal>
            <c:numRef>
              <c:f>'small plots'!$Q$36:$Q$46</c:f>
              <c:numCache>
                <c:formatCode>General</c:formatCode>
                <c:ptCount val="11"/>
              </c:numCache>
            </c:numRef>
          </c:yVal>
          <c:smooth val="0"/>
        </c:ser>
        <c:axId val="42407647"/>
        <c:axId val="13080703"/>
      </c:scatterChart>
      <c:valAx>
        <c:axId val="424076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3080703"/>
        <c:crosses val="autoZero"/>
        <c:crossBetween val="midCat"/>
      </c:valAx>
      <c:valAx>
        <c:axId val="13080703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2407647"/>
        <c:crosses val="autoZero"/>
        <c:crossBetween val="midCat"/>
      </c:valAx>
      <c:spPr>
        <a:solidFill>
          <a:srgbClr val="f2f2f2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900" spc="-1" strike="noStrike">
                <a:solidFill>
                  <a:srgbClr val="000000"/>
                </a:solidFill>
                <a:latin typeface="Arial"/>
                <a:ea typeface="Arial"/>
              </a:rPr>
              <a:t>recoil energy vs. recoil angle</a:t>
            </a:r>
          </a:p>
        </c:rich>
      </c:tx>
      <c:layout>
        <c:manualLayout>
          <c:xMode val="edge"/>
          <c:yMode val="edge"/>
          <c:x val="0.27379983726607"/>
          <c:y val="0.0419237462426831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345809601302"/>
          <c:y val="0.234298370510995"/>
          <c:w val="0.745117982099268"/>
          <c:h val="0.59389337130200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'small plots'!$B$51:$B$61</c:f>
              <c:numCache>
                <c:formatCode>General</c:formatCode>
                <c:ptCount val="11"/>
              </c:numCache>
            </c:numRef>
          </c:xVal>
          <c:yVal>
            <c:numRef>
              <c:f>'small plots'!$C$51:$C$61</c:f>
              <c:numCache>
                <c:formatCode>General</c:formatCode>
                <c:ptCount val="11"/>
              </c:numCache>
            </c:numRef>
          </c:yVal>
          <c:smooth val="0"/>
        </c:ser>
        <c:axId val="35503181"/>
        <c:axId val="12517764"/>
      </c:scatterChart>
      <c:valAx>
        <c:axId val="3550318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2517764"/>
        <c:crosses val="autoZero"/>
        <c:crossBetween val="midCat"/>
      </c:valAx>
      <c:valAx>
        <c:axId val="12517764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5503181"/>
        <c:crosses val="autoZero"/>
        <c:crossBetween val="midCat"/>
      </c:valAx>
      <c:spPr>
        <a:solidFill>
          <a:srgbClr val="f2f2f2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925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925" spc="-1" strike="noStrike">
                <a:solidFill>
                  <a:srgbClr val="000000"/>
                </a:solidFill>
                <a:latin typeface="Arial"/>
                <a:ea typeface="Arial"/>
              </a:rPr>
              <a:t>as left, but solution 2</a:t>
            </a:r>
          </a:p>
        </c:rich>
      </c:tx>
      <c:layout>
        <c:manualLayout>
          <c:xMode val="edge"/>
          <c:yMode val="edge"/>
          <c:x val="0.340535696505028"/>
          <c:y val="0.0419237462426831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400577516678"/>
          <c:y val="0.234298370510995"/>
          <c:w val="0.782535099073982"/>
          <c:h val="0.59389337130200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'small plots'!$P$51:$P$61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'small plots'!$Q$51:$Q$61</c:f>
              <c:numCache>
                <c:formatCode>General</c:formatCode>
                <c:ptCount val="11"/>
              </c:numCache>
            </c:numRef>
          </c:yVal>
          <c:smooth val="0"/>
        </c:ser>
        <c:axId val="75558408"/>
        <c:axId val="72629839"/>
      </c:scatterChart>
      <c:valAx>
        <c:axId val="75558408"/>
        <c:scaling>
          <c:orientation val="minMax"/>
        </c:scaling>
        <c:delete val="0"/>
        <c:axPos val="b"/>
        <c:numFmt formatCode="0.0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2629839"/>
        <c:crosses val="autoZero"/>
        <c:crossBetween val="midCat"/>
      </c:valAx>
      <c:valAx>
        <c:axId val="72629839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5558408"/>
        <c:crosses val="autoZero"/>
        <c:crossBetween val="midCat"/>
      </c:valAx>
      <c:spPr>
        <a:solidFill>
          <a:srgbClr val="f2f2f2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1200" spc="-1" strike="noStrike">
                <a:solidFill>
                  <a:srgbClr val="000000"/>
                </a:solidFill>
                <a:latin typeface="Arial"/>
                <a:ea typeface="Arial"/>
              </a:rPr>
              <a:t>Lab angles for ejectile and recoil</a:t>
            </a:r>
          </a:p>
        </c:rich>
      </c:tx>
      <c:layout>
        <c:manualLayout>
          <c:xMode val="edge"/>
          <c:yMode val="edge"/>
          <c:x val="0.370253558534257"/>
          <c:y val="0.020339177265956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6739428144582"/>
          <c:y val="0.125415377563882"/>
          <c:w val="0.802340540316222"/>
          <c:h val="0.764237424086169"/>
        </c:manualLayout>
      </c:layout>
      <c:scatterChart>
        <c:scatterStyle val="line"/>
        <c:varyColors val="0"/>
        <c:ser>
          <c:idx val="0"/>
          <c:order val="0"/>
          <c:tx>
            <c:strRef>
              <c:f>'Plotting Sheet'!$D$5</c:f>
              <c:strCache>
                <c:ptCount val="1"/>
                <c:pt idx="0">
                  <c:v>ejectile</c:v>
                </c:pt>
              </c:strCache>
            </c:strRef>
          </c:tx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'Plotting Sheet'!$C$6:$C$368</c:f>
              <c:numCache>
                <c:formatCode>General</c:formatCode>
                <c:ptCount val="363"/>
                <c:pt idx="0">
                  <c:v>0</c:v>
                </c:pt>
                <c:pt idx="1">
                  <c:v>2.008</c:v>
                </c:pt>
                <c:pt idx="2">
                  <c:v>4.015</c:v>
                </c:pt>
                <c:pt idx="3">
                  <c:v>6.023</c:v>
                </c:pt>
                <c:pt idx="4">
                  <c:v>8.03</c:v>
                </c:pt>
                <c:pt idx="5">
                  <c:v>10.037</c:v>
                </c:pt>
                <c:pt idx="6">
                  <c:v>12.045</c:v>
                </c:pt>
                <c:pt idx="7">
                  <c:v>14.052</c:v>
                </c:pt>
                <c:pt idx="8">
                  <c:v>16.06</c:v>
                </c:pt>
                <c:pt idx="9">
                  <c:v>18.067</c:v>
                </c:pt>
                <c:pt idx="10">
                  <c:v>20.075</c:v>
                </c:pt>
                <c:pt idx="11">
                  <c:v>22.082</c:v>
                </c:pt>
                <c:pt idx="12">
                  <c:v>24.089</c:v>
                </c:pt>
                <c:pt idx="13">
                  <c:v>26.096</c:v>
                </c:pt>
                <c:pt idx="14">
                  <c:v>28.104</c:v>
                </c:pt>
                <c:pt idx="15">
                  <c:v>30.111</c:v>
                </c:pt>
                <c:pt idx="16">
                  <c:v>32.118</c:v>
                </c:pt>
                <c:pt idx="17">
                  <c:v>34.125</c:v>
                </c:pt>
                <c:pt idx="18">
                  <c:v>36.132</c:v>
                </c:pt>
                <c:pt idx="19">
                  <c:v>38.139</c:v>
                </c:pt>
                <c:pt idx="20">
                  <c:v>40.146</c:v>
                </c:pt>
                <c:pt idx="21">
                  <c:v>42.153</c:v>
                </c:pt>
                <c:pt idx="22">
                  <c:v>44.159</c:v>
                </c:pt>
                <c:pt idx="23">
                  <c:v>46.166</c:v>
                </c:pt>
                <c:pt idx="24">
                  <c:v>48.173</c:v>
                </c:pt>
                <c:pt idx="25">
                  <c:v>50.179</c:v>
                </c:pt>
                <c:pt idx="26">
                  <c:v>52.186</c:v>
                </c:pt>
                <c:pt idx="27">
                  <c:v>54.192</c:v>
                </c:pt>
                <c:pt idx="28">
                  <c:v>56.199</c:v>
                </c:pt>
                <c:pt idx="29">
                  <c:v>58.205</c:v>
                </c:pt>
                <c:pt idx="30">
                  <c:v>60.212</c:v>
                </c:pt>
                <c:pt idx="31">
                  <c:v>62.218</c:v>
                </c:pt>
                <c:pt idx="32">
                  <c:v>64.224</c:v>
                </c:pt>
                <c:pt idx="33">
                  <c:v>66.23</c:v>
                </c:pt>
                <c:pt idx="34">
                  <c:v>68.236</c:v>
                </c:pt>
                <c:pt idx="35">
                  <c:v>70.242</c:v>
                </c:pt>
                <c:pt idx="36">
                  <c:v>72.248</c:v>
                </c:pt>
                <c:pt idx="37">
                  <c:v>74.254</c:v>
                </c:pt>
                <c:pt idx="38">
                  <c:v>76.26</c:v>
                </c:pt>
                <c:pt idx="39">
                  <c:v>78.266</c:v>
                </c:pt>
                <c:pt idx="40">
                  <c:v>80.272</c:v>
                </c:pt>
                <c:pt idx="41">
                  <c:v>82.278</c:v>
                </c:pt>
                <c:pt idx="42">
                  <c:v>84.284</c:v>
                </c:pt>
                <c:pt idx="43">
                  <c:v>86.29</c:v>
                </c:pt>
                <c:pt idx="44">
                  <c:v>88.296</c:v>
                </c:pt>
                <c:pt idx="45">
                  <c:v>90.302</c:v>
                </c:pt>
                <c:pt idx="46">
                  <c:v>92.308</c:v>
                </c:pt>
                <c:pt idx="47">
                  <c:v>94.315</c:v>
                </c:pt>
                <c:pt idx="48">
                  <c:v>96.321</c:v>
                </c:pt>
                <c:pt idx="49">
                  <c:v>98.327</c:v>
                </c:pt>
                <c:pt idx="50">
                  <c:v>100.334</c:v>
                </c:pt>
                <c:pt idx="51">
                  <c:v>102.341</c:v>
                </c:pt>
                <c:pt idx="52">
                  <c:v>104.347</c:v>
                </c:pt>
                <c:pt idx="53">
                  <c:v>106.354</c:v>
                </c:pt>
                <c:pt idx="54">
                  <c:v>108.362</c:v>
                </c:pt>
                <c:pt idx="55">
                  <c:v>110.369</c:v>
                </c:pt>
                <c:pt idx="56">
                  <c:v>112.377</c:v>
                </c:pt>
                <c:pt idx="57">
                  <c:v>114.386</c:v>
                </c:pt>
                <c:pt idx="58">
                  <c:v>116.394</c:v>
                </c:pt>
                <c:pt idx="59">
                  <c:v>118.404</c:v>
                </c:pt>
                <c:pt idx="60">
                  <c:v>120.413</c:v>
                </c:pt>
                <c:pt idx="61">
                  <c:v>122.424</c:v>
                </c:pt>
                <c:pt idx="62">
                  <c:v>124.435</c:v>
                </c:pt>
                <c:pt idx="63">
                  <c:v>126.447</c:v>
                </c:pt>
                <c:pt idx="64">
                  <c:v>128.46</c:v>
                </c:pt>
                <c:pt idx="65">
                  <c:v>130.474</c:v>
                </c:pt>
                <c:pt idx="66">
                  <c:v>132.489</c:v>
                </c:pt>
                <c:pt idx="67">
                  <c:v>134.505</c:v>
                </c:pt>
                <c:pt idx="68">
                  <c:v>136.523</c:v>
                </c:pt>
                <c:pt idx="69">
                  <c:v>138.543</c:v>
                </c:pt>
                <c:pt idx="70">
                  <c:v>140.565</c:v>
                </c:pt>
                <c:pt idx="71">
                  <c:v>142.59</c:v>
                </c:pt>
                <c:pt idx="72">
                  <c:v>144.618</c:v>
                </c:pt>
                <c:pt idx="73">
                  <c:v>146.65</c:v>
                </c:pt>
                <c:pt idx="74">
                  <c:v>148.686</c:v>
                </c:pt>
                <c:pt idx="75">
                  <c:v>150.727</c:v>
                </c:pt>
                <c:pt idx="76">
                  <c:v>152.775</c:v>
                </c:pt>
                <c:pt idx="77">
                  <c:v>154.832</c:v>
                </c:pt>
                <c:pt idx="78">
                  <c:v>156.899</c:v>
                </c:pt>
                <c:pt idx="79">
                  <c:v>158.981</c:v>
                </c:pt>
                <c:pt idx="80">
                  <c:v>161.083</c:v>
                </c:pt>
                <c:pt idx="81">
                  <c:v>163.213</c:v>
                </c:pt>
                <c:pt idx="82">
                  <c:v>165.385</c:v>
                </c:pt>
                <c:pt idx="83">
                  <c:v>167.628</c:v>
                </c:pt>
                <c:pt idx="84">
                  <c:v>170.007</c:v>
                </c:pt>
                <c:pt idx="85">
                  <c:v>172.758</c:v>
                </c:pt>
                <c:pt idx="86">
                  <c:v>172.758</c:v>
                </c:pt>
                <c:pt idx="87">
                  <c:v>172.758</c:v>
                </c:pt>
                <c:pt idx="88">
                  <c:v>172.758</c:v>
                </c:pt>
                <c:pt idx="89">
                  <c:v>172.758</c:v>
                </c:pt>
                <c:pt idx="90">
                  <c:v>172.758</c:v>
                </c:pt>
                <c:pt idx="91">
                  <c:v>172.758</c:v>
                </c:pt>
                <c:pt idx="92">
                  <c:v>172.758</c:v>
                </c:pt>
                <c:pt idx="93">
                  <c:v>172.758</c:v>
                </c:pt>
                <c:pt idx="94">
                  <c:v>172.758</c:v>
                </c:pt>
                <c:pt idx="95">
                  <c:v>172.758</c:v>
                </c:pt>
                <c:pt idx="96">
                  <c:v>172.758</c:v>
                </c:pt>
                <c:pt idx="97">
                  <c:v>172.758</c:v>
                </c:pt>
                <c:pt idx="98">
                  <c:v>172.758</c:v>
                </c:pt>
                <c:pt idx="99">
                  <c:v>172.758</c:v>
                </c:pt>
                <c:pt idx="100">
                  <c:v>172.758</c:v>
                </c:pt>
                <c:pt idx="101">
                  <c:v>172.758</c:v>
                </c:pt>
                <c:pt idx="102">
                  <c:v>172.758</c:v>
                </c:pt>
                <c:pt idx="103">
                  <c:v>172.758</c:v>
                </c:pt>
                <c:pt idx="104">
                  <c:v>172.758</c:v>
                </c:pt>
                <c:pt idx="105">
                  <c:v>172.758</c:v>
                </c:pt>
                <c:pt idx="106">
                  <c:v>172.758</c:v>
                </c:pt>
                <c:pt idx="107">
                  <c:v>172.758</c:v>
                </c:pt>
                <c:pt idx="108">
                  <c:v>172.758</c:v>
                </c:pt>
                <c:pt idx="109">
                  <c:v>172.758</c:v>
                </c:pt>
                <c:pt idx="110">
                  <c:v>172.758</c:v>
                </c:pt>
                <c:pt idx="111">
                  <c:v>172.758</c:v>
                </c:pt>
                <c:pt idx="112">
                  <c:v>172.758</c:v>
                </c:pt>
                <c:pt idx="113">
                  <c:v>172.758</c:v>
                </c:pt>
                <c:pt idx="114">
                  <c:v>172.758</c:v>
                </c:pt>
                <c:pt idx="115">
                  <c:v>172.758</c:v>
                </c:pt>
                <c:pt idx="116">
                  <c:v>172.758</c:v>
                </c:pt>
                <c:pt idx="117">
                  <c:v>172.758</c:v>
                </c:pt>
                <c:pt idx="118">
                  <c:v>172.758</c:v>
                </c:pt>
                <c:pt idx="119">
                  <c:v>172.758</c:v>
                </c:pt>
                <c:pt idx="120">
                  <c:v>172.758</c:v>
                </c:pt>
                <c:pt idx="121">
                  <c:v>172.758</c:v>
                </c:pt>
                <c:pt idx="122">
                  <c:v>172.758</c:v>
                </c:pt>
                <c:pt idx="123">
                  <c:v>172.758</c:v>
                </c:pt>
                <c:pt idx="124">
                  <c:v>172.758</c:v>
                </c:pt>
                <c:pt idx="125">
                  <c:v>172.758</c:v>
                </c:pt>
                <c:pt idx="126">
                  <c:v>172.758</c:v>
                </c:pt>
                <c:pt idx="127">
                  <c:v>172.758</c:v>
                </c:pt>
                <c:pt idx="128">
                  <c:v>172.758</c:v>
                </c:pt>
                <c:pt idx="129">
                  <c:v>172.758</c:v>
                </c:pt>
                <c:pt idx="130">
                  <c:v>172.758</c:v>
                </c:pt>
                <c:pt idx="131">
                  <c:v>172.758</c:v>
                </c:pt>
                <c:pt idx="132">
                  <c:v>172.758</c:v>
                </c:pt>
                <c:pt idx="133">
                  <c:v>172.758</c:v>
                </c:pt>
                <c:pt idx="134">
                  <c:v>172.758</c:v>
                </c:pt>
                <c:pt idx="135">
                  <c:v>172.758</c:v>
                </c:pt>
                <c:pt idx="136">
                  <c:v>172.758</c:v>
                </c:pt>
                <c:pt idx="137">
                  <c:v>172.758</c:v>
                </c:pt>
                <c:pt idx="138">
                  <c:v>172.758</c:v>
                </c:pt>
                <c:pt idx="139">
                  <c:v>172.758</c:v>
                </c:pt>
                <c:pt idx="140">
                  <c:v>172.758</c:v>
                </c:pt>
                <c:pt idx="141">
                  <c:v>172.758</c:v>
                </c:pt>
                <c:pt idx="142">
                  <c:v>172.758</c:v>
                </c:pt>
                <c:pt idx="143">
                  <c:v>172.758</c:v>
                </c:pt>
                <c:pt idx="144">
                  <c:v>172.758</c:v>
                </c:pt>
                <c:pt idx="145">
                  <c:v>172.758</c:v>
                </c:pt>
                <c:pt idx="146">
                  <c:v>172.758</c:v>
                </c:pt>
                <c:pt idx="147">
                  <c:v>172.758</c:v>
                </c:pt>
                <c:pt idx="148">
                  <c:v>172.758</c:v>
                </c:pt>
                <c:pt idx="149">
                  <c:v>172.758</c:v>
                </c:pt>
                <c:pt idx="150">
                  <c:v>172.758</c:v>
                </c:pt>
                <c:pt idx="151">
                  <c:v>172.758</c:v>
                </c:pt>
                <c:pt idx="152">
                  <c:v>172.758</c:v>
                </c:pt>
                <c:pt idx="153">
                  <c:v>172.758</c:v>
                </c:pt>
                <c:pt idx="154">
                  <c:v>172.758</c:v>
                </c:pt>
                <c:pt idx="155">
                  <c:v>172.758</c:v>
                </c:pt>
                <c:pt idx="156">
                  <c:v>172.758</c:v>
                </c:pt>
                <c:pt idx="157">
                  <c:v>172.758</c:v>
                </c:pt>
                <c:pt idx="158">
                  <c:v>172.758</c:v>
                </c:pt>
                <c:pt idx="159">
                  <c:v>172.758</c:v>
                </c:pt>
                <c:pt idx="160">
                  <c:v>172.758</c:v>
                </c:pt>
                <c:pt idx="161">
                  <c:v>172.758</c:v>
                </c:pt>
                <c:pt idx="162">
                  <c:v>172.758</c:v>
                </c:pt>
                <c:pt idx="163">
                  <c:v>172.758</c:v>
                </c:pt>
                <c:pt idx="164">
                  <c:v>172.758</c:v>
                </c:pt>
                <c:pt idx="165">
                  <c:v>172.758</c:v>
                </c:pt>
                <c:pt idx="166">
                  <c:v>172.758</c:v>
                </c:pt>
                <c:pt idx="167">
                  <c:v>172.758</c:v>
                </c:pt>
                <c:pt idx="168">
                  <c:v>172.758</c:v>
                </c:pt>
                <c:pt idx="169">
                  <c:v>172.758</c:v>
                </c:pt>
                <c:pt idx="170">
                  <c:v>172.758</c:v>
                </c:pt>
                <c:pt idx="171">
                  <c:v>172.758</c:v>
                </c:pt>
                <c:pt idx="172">
                  <c:v>172.758</c:v>
                </c:pt>
                <c:pt idx="173">
                  <c:v>172.758</c:v>
                </c:pt>
                <c:pt idx="174">
                  <c:v>172.758</c:v>
                </c:pt>
                <c:pt idx="175">
                  <c:v>172.758</c:v>
                </c:pt>
                <c:pt idx="176">
                  <c:v>172.758</c:v>
                </c:pt>
                <c:pt idx="177">
                  <c:v>172.758</c:v>
                </c:pt>
                <c:pt idx="178">
                  <c:v>172.758</c:v>
                </c:pt>
                <c:pt idx="179">
                  <c:v>172.758</c:v>
                </c:pt>
                <c:pt idx="180">
                  <c:v>172.758</c:v>
                </c:pt>
                <c:pt idx="181">
                  <c:v>180</c:v>
                </c:pt>
                <c:pt idx="182">
                  <c:v>180</c:v>
                </c:pt>
                <c:pt idx="183">
                  <c:v>180</c:v>
                </c:pt>
                <c:pt idx="184">
                  <c:v>180</c:v>
                </c:pt>
                <c:pt idx="185">
                  <c:v>180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180</c:v>
                </c:pt>
                <c:pt idx="190">
                  <c:v>180</c:v>
                </c:pt>
                <c:pt idx="191">
                  <c:v>180</c:v>
                </c:pt>
                <c:pt idx="192">
                  <c:v>180</c:v>
                </c:pt>
                <c:pt idx="193">
                  <c:v>180</c:v>
                </c:pt>
                <c:pt idx="194">
                  <c:v>180</c:v>
                </c:pt>
                <c:pt idx="195">
                  <c:v>180</c:v>
                </c:pt>
                <c:pt idx="196">
                  <c:v>180</c:v>
                </c:pt>
                <c:pt idx="197">
                  <c:v>180</c:v>
                </c:pt>
                <c:pt idx="198">
                  <c:v>180</c:v>
                </c:pt>
                <c:pt idx="199">
                  <c:v>180</c:v>
                </c:pt>
                <c:pt idx="200">
                  <c:v>180</c:v>
                </c:pt>
                <c:pt idx="201">
                  <c:v>180</c:v>
                </c:pt>
                <c:pt idx="202">
                  <c:v>180</c:v>
                </c:pt>
                <c:pt idx="203">
                  <c:v>180</c:v>
                </c:pt>
                <c:pt idx="204">
                  <c:v>180</c:v>
                </c:pt>
                <c:pt idx="205">
                  <c:v>180</c:v>
                </c:pt>
                <c:pt idx="206">
                  <c:v>180</c:v>
                </c:pt>
                <c:pt idx="207">
                  <c:v>179.919</c:v>
                </c:pt>
                <c:pt idx="208">
                  <c:v>179.915</c:v>
                </c:pt>
                <c:pt idx="209">
                  <c:v>179.911</c:v>
                </c:pt>
                <c:pt idx="210">
                  <c:v>179.908</c:v>
                </c:pt>
                <c:pt idx="211">
                  <c:v>179.904</c:v>
                </c:pt>
                <c:pt idx="212">
                  <c:v>179.9</c:v>
                </c:pt>
                <c:pt idx="213">
                  <c:v>179.896</c:v>
                </c:pt>
                <c:pt idx="214">
                  <c:v>179.891</c:v>
                </c:pt>
                <c:pt idx="215">
                  <c:v>179.887</c:v>
                </c:pt>
                <c:pt idx="216">
                  <c:v>179.883</c:v>
                </c:pt>
                <c:pt idx="217">
                  <c:v>179.878</c:v>
                </c:pt>
                <c:pt idx="218">
                  <c:v>179.874</c:v>
                </c:pt>
                <c:pt idx="219">
                  <c:v>179.869</c:v>
                </c:pt>
                <c:pt idx="220">
                  <c:v>179.864</c:v>
                </c:pt>
                <c:pt idx="221">
                  <c:v>179.859</c:v>
                </c:pt>
                <c:pt idx="222">
                  <c:v>179.854</c:v>
                </c:pt>
                <c:pt idx="223">
                  <c:v>179.849</c:v>
                </c:pt>
                <c:pt idx="224">
                  <c:v>179.843</c:v>
                </c:pt>
                <c:pt idx="225">
                  <c:v>179.838</c:v>
                </c:pt>
                <c:pt idx="226">
                  <c:v>179.832</c:v>
                </c:pt>
                <c:pt idx="227">
                  <c:v>179.826</c:v>
                </c:pt>
                <c:pt idx="228">
                  <c:v>179.82</c:v>
                </c:pt>
                <c:pt idx="229">
                  <c:v>179.813</c:v>
                </c:pt>
                <c:pt idx="230">
                  <c:v>179.807</c:v>
                </c:pt>
                <c:pt idx="231">
                  <c:v>179.8</c:v>
                </c:pt>
                <c:pt idx="232">
                  <c:v>179.792</c:v>
                </c:pt>
                <c:pt idx="233">
                  <c:v>179.785</c:v>
                </c:pt>
                <c:pt idx="234">
                  <c:v>179.777</c:v>
                </c:pt>
                <c:pt idx="235">
                  <c:v>179.769</c:v>
                </c:pt>
                <c:pt idx="236">
                  <c:v>179.76</c:v>
                </c:pt>
                <c:pt idx="237">
                  <c:v>179.751</c:v>
                </c:pt>
                <c:pt idx="238">
                  <c:v>179.741</c:v>
                </c:pt>
                <c:pt idx="239">
                  <c:v>179.731</c:v>
                </c:pt>
                <c:pt idx="240">
                  <c:v>179.721</c:v>
                </c:pt>
                <c:pt idx="241">
                  <c:v>179.71</c:v>
                </c:pt>
                <c:pt idx="242">
                  <c:v>179.698</c:v>
                </c:pt>
                <c:pt idx="243">
                  <c:v>179.685</c:v>
                </c:pt>
                <c:pt idx="244">
                  <c:v>179.671</c:v>
                </c:pt>
                <c:pt idx="245">
                  <c:v>179.657</c:v>
                </c:pt>
                <c:pt idx="246">
                  <c:v>179.641</c:v>
                </c:pt>
                <c:pt idx="247">
                  <c:v>179.625</c:v>
                </c:pt>
                <c:pt idx="248">
                  <c:v>179.607</c:v>
                </c:pt>
                <c:pt idx="249">
                  <c:v>179.587</c:v>
                </c:pt>
                <c:pt idx="250">
                  <c:v>179.566</c:v>
                </c:pt>
                <c:pt idx="251">
                  <c:v>179.542</c:v>
                </c:pt>
                <c:pt idx="252">
                  <c:v>179.517</c:v>
                </c:pt>
                <c:pt idx="253">
                  <c:v>179.489</c:v>
                </c:pt>
                <c:pt idx="254">
                  <c:v>179.457</c:v>
                </c:pt>
                <c:pt idx="255">
                  <c:v>179.422</c:v>
                </c:pt>
                <c:pt idx="256">
                  <c:v>179.382</c:v>
                </c:pt>
                <c:pt idx="257">
                  <c:v>179.337</c:v>
                </c:pt>
                <c:pt idx="258">
                  <c:v>179.285</c:v>
                </c:pt>
                <c:pt idx="259">
                  <c:v>179.224</c:v>
                </c:pt>
                <c:pt idx="260">
                  <c:v>179.153</c:v>
                </c:pt>
                <c:pt idx="261">
                  <c:v>179.067</c:v>
                </c:pt>
                <c:pt idx="262">
                  <c:v>178.961</c:v>
                </c:pt>
                <c:pt idx="263">
                  <c:v>178.827</c:v>
                </c:pt>
                <c:pt idx="264">
                  <c:v>178.65</c:v>
                </c:pt>
                <c:pt idx="265">
                  <c:v>178.403</c:v>
                </c:pt>
                <c:pt idx="266">
                  <c:v>178.02</c:v>
                </c:pt>
                <c:pt idx="267">
                  <c:v>177.265</c:v>
                </c:pt>
                <c:pt idx="268">
                  <c:v>177.265</c:v>
                </c:pt>
                <c:pt idx="269">
                  <c:v>177.265</c:v>
                </c:pt>
                <c:pt idx="270">
                  <c:v>177.265</c:v>
                </c:pt>
                <c:pt idx="271">
                  <c:v>177.265</c:v>
                </c:pt>
                <c:pt idx="272">
                  <c:v>177.265</c:v>
                </c:pt>
                <c:pt idx="273">
                  <c:v>177.265</c:v>
                </c:pt>
                <c:pt idx="274">
                  <c:v>177.265</c:v>
                </c:pt>
                <c:pt idx="275">
                  <c:v>177.265</c:v>
                </c:pt>
                <c:pt idx="276">
                  <c:v>177.265</c:v>
                </c:pt>
                <c:pt idx="277">
                  <c:v>177.265</c:v>
                </c:pt>
                <c:pt idx="278">
                  <c:v>177.265</c:v>
                </c:pt>
                <c:pt idx="279">
                  <c:v>177.265</c:v>
                </c:pt>
                <c:pt idx="280">
                  <c:v>177.265</c:v>
                </c:pt>
                <c:pt idx="281">
                  <c:v>177.265</c:v>
                </c:pt>
                <c:pt idx="282">
                  <c:v>177.265</c:v>
                </c:pt>
                <c:pt idx="283">
                  <c:v>177.265</c:v>
                </c:pt>
                <c:pt idx="284">
                  <c:v>177.265</c:v>
                </c:pt>
                <c:pt idx="285">
                  <c:v>177.265</c:v>
                </c:pt>
                <c:pt idx="286">
                  <c:v>177.265</c:v>
                </c:pt>
                <c:pt idx="287">
                  <c:v>177.265</c:v>
                </c:pt>
                <c:pt idx="288">
                  <c:v>177.265</c:v>
                </c:pt>
                <c:pt idx="289">
                  <c:v>177.265</c:v>
                </c:pt>
                <c:pt idx="290">
                  <c:v>177.265</c:v>
                </c:pt>
                <c:pt idx="291">
                  <c:v>177.265</c:v>
                </c:pt>
                <c:pt idx="292">
                  <c:v>177.265</c:v>
                </c:pt>
                <c:pt idx="293">
                  <c:v>177.265</c:v>
                </c:pt>
                <c:pt idx="294">
                  <c:v>177.265</c:v>
                </c:pt>
                <c:pt idx="295">
                  <c:v>177.265</c:v>
                </c:pt>
                <c:pt idx="296">
                  <c:v>177.265</c:v>
                </c:pt>
                <c:pt idx="297">
                  <c:v>177.265</c:v>
                </c:pt>
                <c:pt idx="298">
                  <c:v>177.265</c:v>
                </c:pt>
                <c:pt idx="299">
                  <c:v>177.265</c:v>
                </c:pt>
                <c:pt idx="300">
                  <c:v>177.265</c:v>
                </c:pt>
                <c:pt idx="301">
                  <c:v>177.265</c:v>
                </c:pt>
                <c:pt idx="302">
                  <c:v>177.265</c:v>
                </c:pt>
                <c:pt idx="303">
                  <c:v>177.265</c:v>
                </c:pt>
                <c:pt idx="304">
                  <c:v>177.265</c:v>
                </c:pt>
                <c:pt idx="305">
                  <c:v>177.265</c:v>
                </c:pt>
                <c:pt idx="306">
                  <c:v>177.265</c:v>
                </c:pt>
                <c:pt idx="307">
                  <c:v>177.265</c:v>
                </c:pt>
                <c:pt idx="308">
                  <c:v>177.265</c:v>
                </c:pt>
                <c:pt idx="309">
                  <c:v>177.265</c:v>
                </c:pt>
                <c:pt idx="310">
                  <c:v>177.265</c:v>
                </c:pt>
                <c:pt idx="311">
                  <c:v>177.265</c:v>
                </c:pt>
                <c:pt idx="312">
                  <c:v>177.265</c:v>
                </c:pt>
                <c:pt idx="313">
                  <c:v>177.265</c:v>
                </c:pt>
                <c:pt idx="314">
                  <c:v>177.265</c:v>
                </c:pt>
                <c:pt idx="315">
                  <c:v>177.265</c:v>
                </c:pt>
                <c:pt idx="316">
                  <c:v>177.265</c:v>
                </c:pt>
                <c:pt idx="317">
                  <c:v>177.265</c:v>
                </c:pt>
                <c:pt idx="318">
                  <c:v>177.265</c:v>
                </c:pt>
                <c:pt idx="319">
                  <c:v>177.265</c:v>
                </c:pt>
                <c:pt idx="320">
                  <c:v>177.265</c:v>
                </c:pt>
                <c:pt idx="321">
                  <c:v>177.265</c:v>
                </c:pt>
                <c:pt idx="322">
                  <c:v>177.265</c:v>
                </c:pt>
                <c:pt idx="323">
                  <c:v>177.265</c:v>
                </c:pt>
                <c:pt idx="324">
                  <c:v>177.265</c:v>
                </c:pt>
                <c:pt idx="325">
                  <c:v>177.265</c:v>
                </c:pt>
                <c:pt idx="326">
                  <c:v>177.265</c:v>
                </c:pt>
                <c:pt idx="327">
                  <c:v>177.265</c:v>
                </c:pt>
                <c:pt idx="328">
                  <c:v>177.265</c:v>
                </c:pt>
                <c:pt idx="329">
                  <c:v>177.265</c:v>
                </c:pt>
                <c:pt idx="330">
                  <c:v>177.265</c:v>
                </c:pt>
                <c:pt idx="331">
                  <c:v>177.265</c:v>
                </c:pt>
                <c:pt idx="332">
                  <c:v>177.265</c:v>
                </c:pt>
                <c:pt idx="333">
                  <c:v>177.265</c:v>
                </c:pt>
                <c:pt idx="334">
                  <c:v>177.265</c:v>
                </c:pt>
                <c:pt idx="335">
                  <c:v>177.265</c:v>
                </c:pt>
                <c:pt idx="336">
                  <c:v>177.265</c:v>
                </c:pt>
                <c:pt idx="337">
                  <c:v>177.265</c:v>
                </c:pt>
                <c:pt idx="338">
                  <c:v>177.265</c:v>
                </c:pt>
                <c:pt idx="339">
                  <c:v>177.265</c:v>
                </c:pt>
                <c:pt idx="340">
                  <c:v>177.265</c:v>
                </c:pt>
                <c:pt idx="341">
                  <c:v>177.265</c:v>
                </c:pt>
                <c:pt idx="342">
                  <c:v>177.265</c:v>
                </c:pt>
                <c:pt idx="343">
                  <c:v>177.265</c:v>
                </c:pt>
                <c:pt idx="344">
                  <c:v>177.265</c:v>
                </c:pt>
                <c:pt idx="345">
                  <c:v>177.265</c:v>
                </c:pt>
                <c:pt idx="346">
                  <c:v>177.265</c:v>
                </c:pt>
                <c:pt idx="347">
                  <c:v>177.265</c:v>
                </c:pt>
                <c:pt idx="348">
                  <c:v>177.265</c:v>
                </c:pt>
                <c:pt idx="349">
                  <c:v>177.265</c:v>
                </c:pt>
                <c:pt idx="350">
                  <c:v>177.265</c:v>
                </c:pt>
                <c:pt idx="351">
                  <c:v>177.265</c:v>
                </c:pt>
                <c:pt idx="352">
                  <c:v>177.265</c:v>
                </c:pt>
                <c:pt idx="353">
                  <c:v>177.265</c:v>
                </c:pt>
                <c:pt idx="354">
                  <c:v>177.265</c:v>
                </c:pt>
                <c:pt idx="355">
                  <c:v>177.265</c:v>
                </c:pt>
                <c:pt idx="356">
                  <c:v>177.265</c:v>
                </c:pt>
                <c:pt idx="357">
                  <c:v>177.265</c:v>
                </c:pt>
                <c:pt idx="358">
                  <c:v>177.265</c:v>
                </c:pt>
                <c:pt idx="359">
                  <c:v>177.265</c:v>
                </c:pt>
                <c:pt idx="360">
                  <c:v>177.265</c:v>
                </c:pt>
                <c:pt idx="361">
                  <c:v>177.265</c:v>
                </c:pt>
                <c:pt idx="362">
                  <c:v>177.265</c:v>
                </c:pt>
              </c:numCache>
            </c:numRef>
          </c:xVal>
          <c:yVal>
            <c:numRef>
              <c:f>'Plotting Sheet'!$D$6:$D$368</c:f>
              <c:numCache>
                <c:formatCode>General</c:formatCode>
                <c:ptCount val="3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2</c:v>
                </c:pt>
                <c:pt idx="185">
                  <c:v>3</c:v>
                </c:pt>
                <c:pt idx="186">
                  <c:v>4</c:v>
                </c:pt>
                <c:pt idx="187">
                  <c:v>5</c:v>
                </c:pt>
                <c:pt idx="188">
                  <c:v>6</c:v>
                </c:pt>
                <c:pt idx="189">
                  <c:v>7</c:v>
                </c:pt>
                <c:pt idx="190">
                  <c:v>8</c:v>
                </c:pt>
                <c:pt idx="191">
                  <c:v>9</c:v>
                </c:pt>
                <c:pt idx="192">
                  <c:v>10</c:v>
                </c:pt>
                <c:pt idx="193">
                  <c:v>11</c:v>
                </c:pt>
                <c:pt idx="194">
                  <c:v>12</c:v>
                </c:pt>
                <c:pt idx="195">
                  <c:v>13</c:v>
                </c:pt>
                <c:pt idx="196">
                  <c:v>14</c:v>
                </c:pt>
                <c:pt idx="197">
                  <c:v>15</c:v>
                </c:pt>
                <c:pt idx="198">
                  <c:v>16</c:v>
                </c:pt>
                <c:pt idx="199">
                  <c:v>17</c:v>
                </c:pt>
                <c:pt idx="200">
                  <c:v>18</c:v>
                </c:pt>
                <c:pt idx="201">
                  <c:v>19</c:v>
                </c:pt>
                <c:pt idx="202">
                  <c:v>20</c:v>
                </c:pt>
                <c:pt idx="203">
                  <c:v>21</c:v>
                </c:pt>
                <c:pt idx="204">
                  <c:v>22</c:v>
                </c:pt>
                <c:pt idx="205">
                  <c:v>23</c:v>
                </c:pt>
                <c:pt idx="206">
                  <c:v>24</c:v>
                </c:pt>
                <c:pt idx="207">
                  <c:v>25</c:v>
                </c:pt>
                <c:pt idx="208">
                  <c:v>26</c:v>
                </c:pt>
                <c:pt idx="209">
                  <c:v>27</c:v>
                </c:pt>
                <c:pt idx="210">
                  <c:v>28</c:v>
                </c:pt>
                <c:pt idx="211">
                  <c:v>29</c:v>
                </c:pt>
                <c:pt idx="212">
                  <c:v>30</c:v>
                </c:pt>
                <c:pt idx="213">
                  <c:v>31</c:v>
                </c:pt>
                <c:pt idx="214">
                  <c:v>32</c:v>
                </c:pt>
                <c:pt idx="215">
                  <c:v>33</c:v>
                </c:pt>
                <c:pt idx="216">
                  <c:v>34</c:v>
                </c:pt>
                <c:pt idx="217">
                  <c:v>35</c:v>
                </c:pt>
                <c:pt idx="218">
                  <c:v>36</c:v>
                </c:pt>
                <c:pt idx="219">
                  <c:v>37</c:v>
                </c:pt>
                <c:pt idx="220">
                  <c:v>38</c:v>
                </c:pt>
                <c:pt idx="221">
                  <c:v>39</c:v>
                </c:pt>
                <c:pt idx="222">
                  <c:v>40</c:v>
                </c:pt>
                <c:pt idx="223">
                  <c:v>41</c:v>
                </c:pt>
                <c:pt idx="224">
                  <c:v>42</c:v>
                </c:pt>
                <c:pt idx="225">
                  <c:v>43</c:v>
                </c:pt>
                <c:pt idx="226">
                  <c:v>44</c:v>
                </c:pt>
                <c:pt idx="227">
                  <c:v>45</c:v>
                </c:pt>
                <c:pt idx="228">
                  <c:v>46</c:v>
                </c:pt>
                <c:pt idx="229">
                  <c:v>47</c:v>
                </c:pt>
                <c:pt idx="230">
                  <c:v>48</c:v>
                </c:pt>
                <c:pt idx="231">
                  <c:v>49</c:v>
                </c:pt>
                <c:pt idx="232">
                  <c:v>50</c:v>
                </c:pt>
                <c:pt idx="233">
                  <c:v>51</c:v>
                </c:pt>
                <c:pt idx="234">
                  <c:v>52</c:v>
                </c:pt>
                <c:pt idx="235">
                  <c:v>53</c:v>
                </c:pt>
                <c:pt idx="236">
                  <c:v>54</c:v>
                </c:pt>
                <c:pt idx="237">
                  <c:v>55</c:v>
                </c:pt>
                <c:pt idx="238">
                  <c:v>56</c:v>
                </c:pt>
                <c:pt idx="239">
                  <c:v>57</c:v>
                </c:pt>
                <c:pt idx="240">
                  <c:v>58</c:v>
                </c:pt>
                <c:pt idx="241">
                  <c:v>59</c:v>
                </c:pt>
                <c:pt idx="242">
                  <c:v>60</c:v>
                </c:pt>
                <c:pt idx="243">
                  <c:v>61</c:v>
                </c:pt>
                <c:pt idx="244">
                  <c:v>62</c:v>
                </c:pt>
                <c:pt idx="245">
                  <c:v>63</c:v>
                </c:pt>
                <c:pt idx="246">
                  <c:v>64</c:v>
                </c:pt>
                <c:pt idx="247">
                  <c:v>65</c:v>
                </c:pt>
                <c:pt idx="248">
                  <c:v>66</c:v>
                </c:pt>
                <c:pt idx="249">
                  <c:v>67</c:v>
                </c:pt>
                <c:pt idx="250">
                  <c:v>68</c:v>
                </c:pt>
                <c:pt idx="251">
                  <c:v>69</c:v>
                </c:pt>
                <c:pt idx="252">
                  <c:v>70</c:v>
                </c:pt>
                <c:pt idx="253">
                  <c:v>71</c:v>
                </c:pt>
                <c:pt idx="254">
                  <c:v>72</c:v>
                </c:pt>
                <c:pt idx="255">
                  <c:v>73</c:v>
                </c:pt>
                <c:pt idx="256">
                  <c:v>74</c:v>
                </c:pt>
                <c:pt idx="257">
                  <c:v>75</c:v>
                </c:pt>
                <c:pt idx="258">
                  <c:v>76</c:v>
                </c:pt>
                <c:pt idx="259">
                  <c:v>77</c:v>
                </c:pt>
                <c:pt idx="260">
                  <c:v>78</c:v>
                </c:pt>
                <c:pt idx="261">
                  <c:v>79</c:v>
                </c:pt>
                <c:pt idx="262">
                  <c:v>80</c:v>
                </c:pt>
                <c:pt idx="263">
                  <c:v>81</c:v>
                </c:pt>
                <c:pt idx="264">
                  <c:v>82</c:v>
                </c:pt>
                <c:pt idx="265">
                  <c:v>83</c:v>
                </c:pt>
                <c:pt idx="266">
                  <c:v>84</c:v>
                </c:pt>
                <c:pt idx="267">
                  <c:v>85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'Plotting Sheet'!$E$5</c:f>
              <c:strCache>
                <c:ptCount val="1"/>
                <c:pt idx="0">
                  <c:v>recoil</c:v>
                </c:pt>
              </c:strCache>
            </c:strRef>
          </c:tx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'Plotting Sheet'!$C$6:$C$368</c:f>
              <c:numCache>
                <c:formatCode>General</c:formatCode>
                <c:ptCount val="363"/>
                <c:pt idx="0">
                  <c:v>0</c:v>
                </c:pt>
                <c:pt idx="1">
                  <c:v>2.008</c:v>
                </c:pt>
                <c:pt idx="2">
                  <c:v>4.015</c:v>
                </c:pt>
                <c:pt idx="3">
                  <c:v>6.023</c:v>
                </c:pt>
                <c:pt idx="4">
                  <c:v>8.03</c:v>
                </c:pt>
                <c:pt idx="5">
                  <c:v>10.037</c:v>
                </c:pt>
                <c:pt idx="6">
                  <c:v>12.045</c:v>
                </c:pt>
                <c:pt idx="7">
                  <c:v>14.052</c:v>
                </c:pt>
                <c:pt idx="8">
                  <c:v>16.06</c:v>
                </c:pt>
                <c:pt idx="9">
                  <c:v>18.067</c:v>
                </c:pt>
                <c:pt idx="10">
                  <c:v>20.075</c:v>
                </c:pt>
                <c:pt idx="11">
                  <c:v>22.082</c:v>
                </c:pt>
                <c:pt idx="12">
                  <c:v>24.089</c:v>
                </c:pt>
                <c:pt idx="13">
                  <c:v>26.096</c:v>
                </c:pt>
                <c:pt idx="14">
                  <c:v>28.104</c:v>
                </c:pt>
                <c:pt idx="15">
                  <c:v>30.111</c:v>
                </c:pt>
                <c:pt idx="16">
                  <c:v>32.118</c:v>
                </c:pt>
                <c:pt idx="17">
                  <c:v>34.125</c:v>
                </c:pt>
                <c:pt idx="18">
                  <c:v>36.132</c:v>
                </c:pt>
                <c:pt idx="19">
                  <c:v>38.139</c:v>
                </c:pt>
                <c:pt idx="20">
                  <c:v>40.146</c:v>
                </c:pt>
                <c:pt idx="21">
                  <c:v>42.153</c:v>
                </c:pt>
                <c:pt idx="22">
                  <c:v>44.159</c:v>
                </c:pt>
                <c:pt idx="23">
                  <c:v>46.166</c:v>
                </c:pt>
                <c:pt idx="24">
                  <c:v>48.173</c:v>
                </c:pt>
                <c:pt idx="25">
                  <c:v>50.179</c:v>
                </c:pt>
                <c:pt idx="26">
                  <c:v>52.186</c:v>
                </c:pt>
                <c:pt idx="27">
                  <c:v>54.192</c:v>
                </c:pt>
                <c:pt idx="28">
                  <c:v>56.199</c:v>
                </c:pt>
                <c:pt idx="29">
                  <c:v>58.205</c:v>
                </c:pt>
                <c:pt idx="30">
                  <c:v>60.212</c:v>
                </c:pt>
                <c:pt idx="31">
                  <c:v>62.218</c:v>
                </c:pt>
                <c:pt idx="32">
                  <c:v>64.224</c:v>
                </c:pt>
                <c:pt idx="33">
                  <c:v>66.23</c:v>
                </c:pt>
                <c:pt idx="34">
                  <c:v>68.236</c:v>
                </c:pt>
                <c:pt idx="35">
                  <c:v>70.242</c:v>
                </c:pt>
                <c:pt idx="36">
                  <c:v>72.248</c:v>
                </c:pt>
                <c:pt idx="37">
                  <c:v>74.254</c:v>
                </c:pt>
                <c:pt idx="38">
                  <c:v>76.26</c:v>
                </c:pt>
                <c:pt idx="39">
                  <c:v>78.266</c:v>
                </c:pt>
                <c:pt idx="40">
                  <c:v>80.272</c:v>
                </c:pt>
                <c:pt idx="41">
                  <c:v>82.278</c:v>
                </c:pt>
                <c:pt idx="42">
                  <c:v>84.284</c:v>
                </c:pt>
                <c:pt idx="43">
                  <c:v>86.29</c:v>
                </c:pt>
                <c:pt idx="44">
                  <c:v>88.296</c:v>
                </c:pt>
                <c:pt idx="45">
                  <c:v>90.302</c:v>
                </c:pt>
                <c:pt idx="46">
                  <c:v>92.308</c:v>
                </c:pt>
                <c:pt idx="47">
                  <c:v>94.315</c:v>
                </c:pt>
                <c:pt idx="48">
                  <c:v>96.321</c:v>
                </c:pt>
                <c:pt idx="49">
                  <c:v>98.327</c:v>
                </c:pt>
                <c:pt idx="50">
                  <c:v>100.334</c:v>
                </c:pt>
                <c:pt idx="51">
                  <c:v>102.341</c:v>
                </c:pt>
                <c:pt idx="52">
                  <c:v>104.347</c:v>
                </c:pt>
                <c:pt idx="53">
                  <c:v>106.354</c:v>
                </c:pt>
                <c:pt idx="54">
                  <c:v>108.362</c:v>
                </c:pt>
                <c:pt idx="55">
                  <c:v>110.369</c:v>
                </c:pt>
                <c:pt idx="56">
                  <c:v>112.377</c:v>
                </c:pt>
                <c:pt idx="57">
                  <c:v>114.386</c:v>
                </c:pt>
                <c:pt idx="58">
                  <c:v>116.394</c:v>
                </c:pt>
                <c:pt idx="59">
                  <c:v>118.404</c:v>
                </c:pt>
                <c:pt idx="60">
                  <c:v>120.413</c:v>
                </c:pt>
                <c:pt idx="61">
                  <c:v>122.424</c:v>
                </c:pt>
                <c:pt idx="62">
                  <c:v>124.435</c:v>
                </c:pt>
                <c:pt idx="63">
                  <c:v>126.447</c:v>
                </c:pt>
                <c:pt idx="64">
                  <c:v>128.46</c:v>
                </c:pt>
                <c:pt idx="65">
                  <c:v>130.474</c:v>
                </c:pt>
                <c:pt idx="66">
                  <c:v>132.489</c:v>
                </c:pt>
                <c:pt idx="67">
                  <c:v>134.505</c:v>
                </c:pt>
                <c:pt idx="68">
                  <c:v>136.523</c:v>
                </c:pt>
                <c:pt idx="69">
                  <c:v>138.543</c:v>
                </c:pt>
                <c:pt idx="70">
                  <c:v>140.565</c:v>
                </c:pt>
                <c:pt idx="71">
                  <c:v>142.59</c:v>
                </c:pt>
                <c:pt idx="72">
                  <c:v>144.618</c:v>
                </c:pt>
                <c:pt idx="73">
                  <c:v>146.65</c:v>
                </c:pt>
                <c:pt idx="74">
                  <c:v>148.686</c:v>
                </c:pt>
                <c:pt idx="75">
                  <c:v>150.727</c:v>
                </c:pt>
                <c:pt idx="76">
                  <c:v>152.775</c:v>
                </c:pt>
                <c:pt idx="77">
                  <c:v>154.832</c:v>
                </c:pt>
                <c:pt idx="78">
                  <c:v>156.899</c:v>
                </c:pt>
                <c:pt idx="79">
                  <c:v>158.981</c:v>
                </c:pt>
                <c:pt idx="80">
                  <c:v>161.083</c:v>
                </c:pt>
                <c:pt idx="81">
                  <c:v>163.213</c:v>
                </c:pt>
                <c:pt idx="82">
                  <c:v>165.385</c:v>
                </c:pt>
                <c:pt idx="83">
                  <c:v>167.628</c:v>
                </c:pt>
                <c:pt idx="84">
                  <c:v>170.007</c:v>
                </c:pt>
                <c:pt idx="85">
                  <c:v>172.758</c:v>
                </c:pt>
                <c:pt idx="86">
                  <c:v>172.758</c:v>
                </c:pt>
                <c:pt idx="87">
                  <c:v>172.758</c:v>
                </c:pt>
                <c:pt idx="88">
                  <c:v>172.758</c:v>
                </c:pt>
                <c:pt idx="89">
                  <c:v>172.758</c:v>
                </c:pt>
                <c:pt idx="90">
                  <c:v>172.758</c:v>
                </c:pt>
                <c:pt idx="91">
                  <c:v>172.758</c:v>
                </c:pt>
                <c:pt idx="92">
                  <c:v>172.758</c:v>
                </c:pt>
                <c:pt idx="93">
                  <c:v>172.758</c:v>
                </c:pt>
                <c:pt idx="94">
                  <c:v>172.758</c:v>
                </c:pt>
                <c:pt idx="95">
                  <c:v>172.758</c:v>
                </c:pt>
                <c:pt idx="96">
                  <c:v>172.758</c:v>
                </c:pt>
                <c:pt idx="97">
                  <c:v>172.758</c:v>
                </c:pt>
                <c:pt idx="98">
                  <c:v>172.758</c:v>
                </c:pt>
                <c:pt idx="99">
                  <c:v>172.758</c:v>
                </c:pt>
                <c:pt idx="100">
                  <c:v>172.758</c:v>
                </c:pt>
                <c:pt idx="101">
                  <c:v>172.758</c:v>
                </c:pt>
                <c:pt idx="102">
                  <c:v>172.758</c:v>
                </c:pt>
                <c:pt idx="103">
                  <c:v>172.758</c:v>
                </c:pt>
                <c:pt idx="104">
                  <c:v>172.758</c:v>
                </c:pt>
                <c:pt idx="105">
                  <c:v>172.758</c:v>
                </c:pt>
                <c:pt idx="106">
                  <c:v>172.758</c:v>
                </c:pt>
                <c:pt idx="107">
                  <c:v>172.758</c:v>
                </c:pt>
                <c:pt idx="108">
                  <c:v>172.758</c:v>
                </c:pt>
                <c:pt idx="109">
                  <c:v>172.758</c:v>
                </c:pt>
                <c:pt idx="110">
                  <c:v>172.758</c:v>
                </c:pt>
                <c:pt idx="111">
                  <c:v>172.758</c:v>
                </c:pt>
                <c:pt idx="112">
                  <c:v>172.758</c:v>
                </c:pt>
                <c:pt idx="113">
                  <c:v>172.758</c:v>
                </c:pt>
                <c:pt idx="114">
                  <c:v>172.758</c:v>
                </c:pt>
                <c:pt idx="115">
                  <c:v>172.758</c:v>
                </c:pt>
                <c:pt idx="116">
                  <c:v>172.758</c:v>
                </c:pt>
                <c:pt idx="117">
                  <c:v>172.758</c:v>
                </c:pt>
                <c:pt idx="118">
                  <c:v>172.758</c:v>
                </c:pt>
                <c:pt idx="119">
                  <c:v>172.758</c:v>
                </c:pt>
                <c:pt idx="120">
                  <c:v>172.758</c:v>
                </c:pt>
                <c:pt idx="121">
                  <c:v>172.758</c:v>
                </c:pt>
                <c:pt idx="122">
                  <c:v>172.758</c:v>
                </c:pt>
                <c:pt idx="123">
                  <c:v>172.758</c:v>
                </c:pt>
                <c:pt idx="124">
                  <c:v>172.758</c:v>
                </c:pt>
                <c:pt idx="125">
                  <c:v>172.758</c:v>
                </c:pt>
                <c:pt idx="126">
                  <c:v>172.758</c:v>
                </c:pt>
                <c:pt idx="127">
                  <c:v>172.758</c:v>
                </c:pt>
                <c:pt idx="128">
                  <c:v>172.758</c:v>
                </c:pt>
                <c:pt idx="129">
                  <c:v>172.758</c:v>
                </c:pt>
                <c:pt idx="130">
                  <c:v>172.758</c:v>
                </c:pt>
                <c:pt idx="131">
                  <c:v>172.758</c:v>
                </c:pt>
                <c:pt idx="132">
                  <c:v>172.758</c:v>
                </c:pt>
                <c:pt idx="133">
                  <c:v>172.758</c:v>
                </c:pt>
                <c:pt idx="134">
                  <c:v>172.758</c:v>
                </c:pt>
                <c:pt idx="135">
                  <c:v>172.758</c:v>
                </c:pt>
                <c:pt idx="136">
                  <c:v>172.758</c:v>
                </c:pt>
                <c:pt idx="137">
                  <c:v>172.758</c:v>
                </c:pt>
                <c:pt idx="138">
                  <c:v>172.758</c:v>
                </c:pt>
                <c:pt idx="139">
                  <c:v>172.758</c:v>
                </c:pt>
                <c:pt idx="140">
                  <c:v>172.758</c:v>
                </c:pt>
                <c:pt idx="141">
                  <c:v>172.758</c:v>
                </c:pt>
                <c:pt idx="142">
                  <c:v>172.758</c:v>
                </c:pt>
                <c:pt idx="143">
                  <c:v>172.758</c:v>
                </c:pt>
                <c:pt idx="144">
                  <c:v>172.758</c:v>
                </c:pt>
                <c:pt idx="145">
                  <c:v>172.758</c:v>
                </c:pt>
                <c:pt idx="146">
                  <c:v>172.758</c:v>
                </c:pt>
                <c:pt idx="147">
                  <c:v>172.758</c:v>
                </c:pt>
                <c:pt idx="148">
                  <c:v>172.758</c:v>
                </c:pt>
                <c:pt idx="149">
                  <c:v>172.758</c:v>
                </c:pt>
                <c:pt idx="150">
                  <c:v>172.758</c:v>
                </c:pt>
                <c:pt idx="151">
                  <c:v>172.758</c:v>
                </c:pt>
                <c:pt idx="152">
                  <c:v>172.758</c:v>
                </c:pt>
                <c:pt idx="153">
                  <c:v>172.758</c:v>
                </c:pt>
                <c:pt idx="154">
                  <c:v>172.758</c:v>
                </c:pt>
                <c:pt idx="155">
                  <c:v>172.758</c:v>
                </c:pt>
                <c:pt idx="156">
                  <c:v>172.758</c:v>
                </c:pt>
                <c:pt idx="157">
                  <c:v>172.758</c:v>
                </c:pt>
                <c:pt idx="158">
                  <c:v>172.758</c:v>
                </c:pt>
                <c:pt idx="159">
                  <c:v>172.758</c:v>
                </c:pt>
                <c:pt idx="160">
                  <c:v>172.758</c:v>
                </c:pt>
                <c:pt idx="161">
                  <c:v>172.758</c:v>
                </c:pt>
                <c:pt idx="162">
                  <c:v>172.758</c:v>
                </c:pt>
                <c:pt idx="163">
                  <c:v>172.758</c:v>
                </c:pt>
                <c:pt idx="164">
                  <c:v>172.758</c:v>
                </c:pt>
                <c:pt idx="165">
                  <c:v>172.758</c:v>
                </c:pt>
                <c:pt idx="166">
                  <c:v>172.758</c:v>
                </c:pt>
                <c:pt idx="167">
                  <c:v>172.758</c:v>
                </c:pt>
                <c:pt idx="168">
                  <c:v>172.758</c:v>
                </c:pt>
                <c:pt idx="169">
                  <c:v>172.758</c:v>
                </c:pt>
                <c:pt idx="170">
                  <c:v>172.758</c:v>
                </c:pt>
                <c:pt idx="171">
                  <c:v>172.758</c:v>
                </c:pt>
                <c:pt idx="172">
                  <c:v>172.758</c:v>
                </c:pt>
                <c:pt idx="173">
                  <c:v>172.758</c:v>
                </c:pt>
                <c:pt idx="174">
                  <c:v>172.758</c:v>
                </c:pt>
                <c:pt idx="175">
                  <c:v>172.758</c:v>
                </c:pt>
                <c:pt idx="176">
                  <c:v>172.758</c:v>
                </c:pt>
                <c:pt idx="177">
                  <c:v>172.758</c:v>
                </c:pt>
                <c:pt idx="178">
                  <c:v>172.758</c:v>
                </c:pt>
                <c:pt idx="179">
                  <c:v>172.758</c:v>
                </c:pt>
                <c:pt idx="180">
                  <c:v>172.758</c:v>
                </c:pt>
                <c:pt idx="181">
                  <c:v>180</c:v>
                </c:pt>
                <c:pt idx="182">
                  <c:v>180</c:v>
                </c:pt>
                <c:pt idx="183">
                  <c:v>180</c:v>
                </c:pt>
                <c:pt idx="184">
                  <c:v>180</c:v>
                </c:pt>
                <c:pt idx="185">
                  <c:v>180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180</c:v>
                </c:pt>
                <c:pt idx="190">
                  <c:v>180</c:v>
                </c:pt>
                <c:pt idx="191">
                  <c:v>180</c:v>
                </c:pt>
                <c:pt idx="192">
                  <c:v>180</c:v>
                </c:pt>
                <c:pt idx="193">
                  <c:v>180</c:v>
                </c:pt>
                <c:pt idx="194">
                  <c:v>180</c:v>
                </c:pt>
                <c:pt idx="195">
                  <c:v>180</c:v>
                </c:pt>
                <c:pt idx="196">
                  <c:v>180</c:v>
                </c:pt>
                <c:pt idx="197">
                  <c:v>180</c:v>
                </c:pt>
                <c:pt idx="198">
                  <c:v>180</c:v>
                </c:pt>
                <c:pt idx="199">
                  <c:v>180</c:v>
                </c:pt>
                <c:pt idx="200">
                  <c:v>180</c:v>
                </c:pt>
                <c:pt idx="201">
                  <c:v>180</c:v>
                </c:pt>
                <c:pt idx="202">
                  <c:v>180</c:v>
                </c:pt>
                <c:pt idx="203">
                  <c:v>180</c:v>
                </c:pt>
                <c:pt idx="204">
                  <c:v>180</c:v>
                </c:pt>
                <c:pt idx="205">
                  <c:v>180</c:v>
                </c:pt>
                <c:pt idx="206">
                  <c:v>180</c:v>
                </c:pt>
                <c:pt idx="207">
                  <c:v>179.919</c:v>
                </c:pt>
                <c:pt idx="208">
                  <c:v>179.915</c:v>
                </c:pt>
                <c:pt idx="209">
                  <c:v>179.911</c:v>
                </c:pt>
                <c:pt idx="210">
                  <c:v>179.908</c:v>
                </c:pt>
                <c:pt idx="211">
                  <c:v>179.904</c:v>
                </c:pt>
                <c:pt idx="212">
                  <c:v>179.9</c:v>
                </c:pt>
                <c:pt idx="213">
                  <c:v>179.896</c:v>
                </c:pt>
                <c:pt idx="214">
                  <c:v>179.891</c:v>
                </c:pt>
                <c:pt idx="215">
                  <c:v>179.887</c:v>
                </c:pt>
                <c:pt idx="216">
                  <c:v>179.883</c:v>
                </c:pt>
                <c:pt idx="217">
                  <c:v>179.878</c:v>
                </c:pt>
                <c:pt idx="218">
                  <c:v>179.874</c:v>
                </c:pt>
                <c:pt idx="219">
                  <c:v>179.869</c:v>
                </c:pt>
                <c:pt idx="220">
                  <c:v>179.864</c:v>
                </c:pt>
                <c:pt idx="221">
                  <c:v>179.859</c:v>
                </c:pt>
                <c:pt idx="222">
                  <c:v>179.854</c:v>
                </c:pt>
                <c:pt idx="223">
                  <c:v>179.849</c:v>
                </c:pt>
                <c:pt idx="224">
                  <c:v>179.843</c:v>
                </c:pt>
                <c:pt idx="225">
                  <c:v>179.838</c:v>
                </c:pt>
                <c:pt idx="226">
                  <c:v>179.832</c:v>
                </c:pt>
                <c:pt idx="227">
                  <c:v>179.826</c:v>
                </c:pt>
                <c:pt idx="228">
                  <c:v>179.82</c:v>
                </c:pt>
                <c:pt idx="229">
                  <c:v>179.813</c:v>
                </c:pt>
                <c:pt idx="230">
                  <c:v>179.807</c:v>
                </c:pt>
                <c:pt idx="231">
                  <c:v>179.8</c:v>
                </c:pt>
                <c:pt idx="232">
                  <c:v>179.792</c:v>
                </c:pt>
                <c:pt idx="233">
                  <c:v>179.785</c:v>
                </c:pt>
                <c:pt idx="234">
                  <c:v>179.777</c:v>
                </c:pt>
                <c:pt idx="235">
                  <c:v>179.769</c:v>
                </c:pt>
                <c:pt idx="236">
                  <c:v>179.76</c:v>
                </c:pt>
                <c:pt idx="237">
                  <c:v>179.751</c:v>
                </c:pt>
                <c:pt idx="238">
                  <c:v>179.741</c:v>
                </c:pt>
                <c:pt idx="239">
                  <c:v>179.731</c:v>
                </c:pt>
                <c:pt idx="240">
                  <c:v>179.721</c:v>
                </c:pt>
                <c:pt idx="241">
                  <c:v>179.71</c:v>
                </c:pt>
                <c:pt idx="242">
                  <c:v>179.698</c:v>
                </c:pt>
                <c:pt idx="243">
                  <c:v>179.685</c:v>
                </c:pt>
                <c:pt idx="244">
                  <c:v>179.671</c:v>
                </c:pt>
                <c:pt idx="245">
                  <c:v>179.657</c:v>
                </c:pt>
                <c:pt idx="246">
                  <c:v>179.641</c:v>
                </c:pt>
                <c:pt idx="247">
                  <c:v>179.625</c:v>
                </c:pt>
                <c:pt idx="248">
                  <c:v>179.607</c:v>
                </c:pt>
                <c:pt idx="249">
                  <c:v>179.587</c:v>
                </c:pt>
                <c:pt idx="250">
                  <c:v>179.566</c:v>
                </c:pt>
                <c:pt idx="251">
                  <c:v>179.542</c:v>
                </c:pt>
                <c:pt idx="252">
                  <c:v>179.517</c:v>
                </c:pt>
                <c:pt idx="253">
                  <c:v>179.489</c:v>
                </c:pt>
                <c:pt idx="254">
                  <c:v>179.457</c:v>
                </c:pt>
                <c:pt idx="255">
                  <c:v>179.422</c:v>
                </c:pt>
                <c:pt idx="256">
                  <c:v>179.382</c:v>
                </c:pt>
                <c:pt idx="257">
                  <c:v>179.337</c:v>
                </c:pt>
                <c:pt idx="258">
                  <c:v>179.285</c:v>
                </c:pt>
                <c:pt idx="259">
                  <c:v>179.224</c:v>
                </c:pt>
                <c:pt idx="260">
                  <c:v>179.153</c:v>
                </c:pt>
                <c:pt idx="261">
                  <c:v>179.067</c:v>
                </c:pt>
                <c:pt idx="262">
                  <c:v>178.961</c:v>
                </c:pt>
                <c:pt idx="263">
                  <c:v>178.827</c:v>
                </c:pt>
                <c:pt idx="264">
                  <c:v>178.65</c:v>
                </c:pt>
                <c:pt idx="265">
                  <c:v>178.403</c:v>
                </c:pt>
                <c:pt idx="266">
                  <c:v>178.02</c:v>
                </c:pt>
                <c:pt idx="267">
                  <c:v>177.265</c:v>
                </c:pt>
                <c:pt idx="268">
                  <c:v>177.265</c:v>
                </c:pt>
                <c:pt idx="269">
                  <c:v>177.265</c:v>
                </c:pt>
                <c:pt idx="270">
                  <c:v>177.265</c:v>
                </c:pt>
                <c:pt idx="271">
                  <c:v>177.265</c:v>
                </c:pt>
                <c:pt idx="272">
                  <c:v>177.265</c:v>
                </c:pt>
                <c:pt idx="273">
                  <c:v>177.265</c:v>
                </c:pt>
                <c:pt idx="274">
                  <c:v>177.265</c:v>
                </c:pt>
                <c:pt idx="275">
                  <c:v>177.265</c:v>
                </c:pt>
                <c:pt idx="276">
                  <c:v>177.265</c:v>
                </c:pt>
                <c:pt idx="277">
                  <c:v>177.265</c:v>
                </c:pt>
                <c:pt idx="278">
                  <c:v>177.265</c:v>
                </c:pt>
                <c:pt idx="279">
                  <c:v>177.265</c:v>
                </c:pt>
                <c:pt idx="280">
                  <c:v>177.265</c:v>
                </c:pt>
                <c:pt idx="281">
                  <c:v>177.265</c:v>
                </c:pt>
                <c:pt idx="282">
                  <c:v>177.265</c:v>
                </c:pt>
                <c:pt idx="283">
                  <c:v>177.265</c:v>
                </c:pt>
                <c:pt idx="284">
                  <c:v>177.265</c:v>
                </c:pt>
                <c:pt idx="285">
                  <c:v>177.265</c:v>
                </c:pt>
                <c:pt idx="286">
                  <c:v>177.265</c:v>
                </c:pt>
                <c:pt idx="287">
                  <c:v>177.265</c:v>
                </c:pt>
                <c:pt idx="288">
                  <c:v>177.265</c:v>
                </c:pt>
                <c:pt idx="289">
                  <c:v>177.265</c:v>
                </c:pt>
                <c:pt idx="290">
                  <c:v>177.265</c:v>
                </c:pt>
                <c:pt idx="291">
                  <c:v>177.265</c:v>
                </c:pt>
                <c:pt idx="292">
                  <c:v>177.265</c:v>
                </c:pt>
                <c:pt idx="293">
                  <c:v>177.265</c:v>
                </c:pt>
                <c:pt idx="294">
                  <c:v>177.265</c:v>
                </c:pt>
                <c:pt idx="295">
                  <c:v>177.265</c:v>
                </c:pt>
                <c:pt idx="296">
                  <c:v>177.265</c:v>
                </c:pt>
                <c:pt idx="297">
                  <c:v>177.265</c:v>
                </c:pt>
                <c:pt idx="298">
                  <c:v>177.265</c:v>
                </c:pt>
                <c:pt idx="299">
                  <c:v>177.265</c:v>
                </c:pt>
                <c:pt idx="300">
                  <c:v>177.265</c:v>
                </c:pt>
                <c:pt idx="301">
                  <c:v>177.265</c:v>
                </c:pt>
                <c:pt idx="302">
                  <c:v>177.265</c:v>
                </c:pt>
                <c:pt idx="303">
                  <c:v>177.265</c:v>
                </c:pt>
                <c:pt idx="304">
                  <c:v>177.265</c:v>
                </c:pt>
                <c:pt idx="305">
                  <c:v>177.265</c:v>
                </c:pt>
                <c:pt idx="306">
                  <c:v>177.265</c:v>
                </c:pt>
                <c:pt idx="307">
                  <c:v>177.265</c:v>
                </c:pt>
                <c:pt idx="308">
                  <c:v>177.265</c:v>
                </c:pt>
                <c:pt idx="309">
                  <c:v>177.265</c:v>
                </c:pt>
                <c:pt idx="310">
                  <c:v>177.265</c:v>
                </c:pt>
                <c:pt idx="311">
                  <c:v>177.265</c:v>
                </c:pt>
                <c:pt idx="312">
                  <c:v>177.265</c:v>
                </c:pt>
                <c:pt idx="313">
                  <c:v>177.265</c:v>
                </c:pt>
                <c:pt idx="314">
                  <c:v>177.265</c:v>
                </c:pt>
                <c:pt idx="315">
                  <c:v>177.265</c:v>
                </c:pt>
                <c:pt idx="316">
                  <c:v>177.265</c:v>
                </c:pt>
                <c:pt idx="317">
                  <c:v>177.265</c:v>
                </c:pt>
                <c:pt idx="318">
                  <c:v>177.265</c:v>
                </c:pt>
                <c:pt idx="319">
                  <c:v>177.265</c:v>
                </c:pt>
                <c:pt idx="320">
                  <c:v>177.265</c:v>
                </c:pt>
                <c:pt idx="321">
                  <c:v>177.265</c:v>
                </c:pt>
                <c:pt idx="322">
                  <c:v>177.265</c:v>
                </c:pt>
                <c:pt idx="323">
                  <c:v>177.265</c:v>
                </c:pt>
                <c:pt idx="324">
                  <c:v>177.265</c:v>
                </c:pt>
                <c:pt idx="325">
                  <c:v>177.265</c:v>
                </c:pt>
                <c:pt idx="326">
                  <c:v>177.265</c:v>
                </c:pt>
                <c:pt idx="327">
                  <c:v>177.265</c:v>
                </c:pt>
                <c:pt idx="328">
                  <c:v>177.265</c:v>
                </c:pt>
                <c:pt idx="329">
                  <c:v>177.265</c:v>
                </c:pt>
                <c:pt idx="330">
                  <c:v>177.265</c:v>
                </c:pt>
                <c:pt idx="331">
                  <c:v>177.265</c:v>
                </c:pt>
                <c:pt idx="332">
                  <c:v>177.265</c:v>
                </c:pt>
                <c:pt idx="333">
                  <c:v>177.265</c:v>
                </c:pt>
                <c:pt idx="334">
                  <c:v>177.265</c:v>
                </c:pt>
                <c:pt idx="335">
                  <c:v>177.265</c:v>
                </c:pt>
                <c:pt idx="336">
                  <c:v>177.265</c:v>
                </c:pt>
                <c:pt idx="337">
                  <c:v>177.265</c:v>
                </c:pt>
                <c:pt idx="338">
                  <c:v>177.265</c:v>
                </c:pt>
                <c:pt idx="339">
                  <c:v>177.265</c:v>
                </c:pt>
                <c:pt idx="340">
                  <c:v>177.265</c:v>
                </c:pt>
                <c:pt idx="341">
                  <c:v>177.265</c:v>
                </c:pt>
                <c:pt idx="342">
                  <c:v>177.265</c:v>
                </c:pt>
                <c:pt idx="343">
                  <c:v>177.265</c:v>
                </c:pt>
                <c:pt idx="344">
                  <c:v>177.265</c:v>
                </c:pt>
                <c:pt idx="345">
                  <c:v>177.265</c:v>
                </c:pt>
                <c:pt idx="346">
                  <c:v>177.265</c:v>
                </c:pt>
                <c:pt idx="347">
                  <c:v>177.265</c:v>
                </c:pt>
                <c:pt idx="348">
                  <c:v>177.265</c:v>
                </c:pt>
                <c:pt idx="349">
                  <c:v>177.265</c:v>
                </c:pt>
                <c:pt idx="350">
                  <c:v>177.265</c:v>
                </c:pt>
                <c:pt idx="351">
                  <c:v>177.265</c:v>
                </c:pt>
                <c:pt idx="352">
                  <c:v>177.265</c:v>
                </c:pt>
                <c:pt idx="353">
                  <c:v>177.265</c:v>
                </c:pt>
                <c:pt idx="354">
                  <c:v>177.265</c:v>
                </c:pt>
                <c:pt idx="355">
                  <c:v>177.265</c:v>
                </c:pt>
                <c:pt idx="356">
                  <c:v>177.265</c:v>
                </c:pt>
                <c:pt idx="357">
                  <c:v>177.265</c:v>
                </c:pt>
                <c:pt idx="358">
                  <c:v>177.265</c:v>
                </c:pt>
                <c:pt idx="359">
                  <c:v>177.265</c:v>
                </c:pt>
                <c:pt idx="360">
                  <c:v>177.265</c:v>
                </c:pt>
                <c:pt idx="361">
                  <c:v>177.265</c:v>
                </c:pt>
                <c:pt idx="362">
                  <c:v>177.265</c:v>
                </c:pt>
              </c:numCache>
            </c:numRef>
          </c:xVal>
          <c:yVal>
            <c:numRef>
              <c:f>'Plotting Sheet'!$E$6:$E$368</c:f>
              <c:numCache>
                <c:formatCode>General</c:formatCode>
                <c:ptCount val="363"/>
                <c:pt idx="0">
                  <c:v>0</c:v>
                </c:pt>
                <c:pt idx="1">
                  <c:v>1.15769606445903</c:v>
                </c:pt>
                <c:pt idx="2">
                  <c:v>2.31057047114142</c:v>
                </c:pt>
                <c:pt idx="3">
                  <c:v>3.45387167139322</c:v>
                </c:pt>
                <c:pt idx="4">
                  <c:v>4.58298581737764</c:v>
                </c:pt>
                <c:pt idx="5">
                  <c:v>5.69349948599639</c:v>
                </c:pt>
                <c:pt idx="6">
                  <c:v>6.78125550124549</c:v>
                </c:pt>
                <c:pt idx="7">
                  <c:v>7.84240025471724</c:v>
                </c:pt>
                <c:pt idx="8">
                  <c:v>8.87342143176175</c:v>
                </c:pt>
                <c:pt idx="9">
                  <c:v>9.87117558613755</c:v>
                </c:pt>
                <c:pt idx="10">
                  <c:v>10.8329055239524</c:v>
                </c:pt>
                <c:pt idx="11">
                  <c:v>11.7562479203319</c:v>
                </c:pt>
                <c:pt idx="12">
                  <c:v>12.6392319720688</c:v>
                </c:pt>
                <c:pt idx="13">
                  <c:v>13.4802701706473</c:v>
                </c:pt>
                <c:pt idx="14">
                  <c:v>14.2781424583719</c:v>
                </c:pt>
                <c:pt idx="15">
                  <c:v>15.031975111204</c:v>
                </c:pt>
                <c:pt idx="16">
                  <c:v>15.7412156880868</c:v>
                </c:pt>
                <c:pt idx="17">
                  <c:v>16.4056053148705</c:v>
                </c:pt>
                <c:pt idx="18">
                  <c:v>17.0251494501236</c:v>
                </c:pt>
                <c:pt idx="19">
                  <c:v>17.6000881281478</c:v>
                </c:pt>
                <c:pt idx="20">
                  <c:v>18.1308665075662</c:v>
                </c:pt>
                <c:pt idx="21">
                  <c:v>18.6181063849784</c:v>
                </c:pt>
                <c:pt idx="22">
                  <c:v>19.0625791723571</c:v>
                </c:pt>
                <c:pt idx="23">
                  <c:v>19.4651806908228</c:v>
                </c:pt>
                <c:pt idx="24">
                  <c:v>19.8269080061442</c:v>
                </c:pt>
                <c:pt idx="25">
                  <c:v>20.1488384244919</c:v>
                </c:pt>
                <c:pt idx="26">
                  <c:v>20.4321106805731</c:v>
                </c:pt>
                <c:pt idx="27">
                  <c:v>20.6779082830892</c:v>
                </c:pt>
                <c:pt idx="28">
                  <c:v>20.8874449325119</c:v>
                </c:pt>
                <c:pt idx="29">
                  <c:v>21.0619518911057</c:v>
                </c:pt>
                <c:pt idx="30">
                  <c:v>21.2026671624743</c:v>
                </c:pt>
                <c:pt idx="31">
                  <c:v>21.3108263252976</c:v>
                </c:pt>
                <c:pt idx="32">
                  <c:v>21.3876548611814</c:v>
                </c:pt>
                <c:pt idx="33">
                  <c:v>21.4343618176682</c:v>
                </c:pt>
                <c:pt idx="34">
                  <c:v>21.4521346529384</c:v>
                </c:pt>
                <c:pt idx="35">
                  <c:v>21.4421351171209</c:v>
                </c:pt>
                <c:pt idx="36">
                  <c:v>21.4054960353773</c:v>
                </c:pt>
                <c:pt idx="37">
                  <c:v>21.3433188692288</c:v>
                </c:pt>
                <c:pt idx="38">
                  <c:v>21.2566719442202</c:v>
                </c:pt>
                <c:pt idx="39">
                  <c:v>21.1465892436526</c:v>
                </c:pt>
                <c:pt idx="40">
                  <c:v>21.0140696791917</c:v>
                </c:pt>
                <c:pt idx="41">
                  <c:v>20.8600767597826</c:v>
                </c:pt>
                <c:pt idx="42">
                  <c:v>20.6855385899722</c:v>
                </c:pt>
                <c:pt idx="43">
                  <c:v>20.4913481377073</c:v>
                </c:pt>
                <c:pt idx="44">
                  <c:v>20.2783637196986</c:v>
                </c:pt>
                <c:pt idx="45">
                  <c:v>20.0474096596433</c:v>
                </c:pt>
                <c:pt idx="46">
                  <c:v>19.7992770809534</c:v>
                </c:pt>
                <c:pt idx="47">
                  <c:v>19.5347248012379</c:v>
                </c:pt>
                <c:pt idx="48">
                  <c:v>19.2544803006331</c:v>
                </c:pt>
                <c:pt idx="49">
                  <c:v>18.9592407402709</c:v>
                </c:pt>
                <c:pt idx="50">
                  <c:v>18.6496740107615</c:v>
                </c:pt>
                <c:pt idx="51">
                  <c:v>18.3264197935563</c:v>
                </c:pt>
                <c:pt idx="52">
                  <c:v>17.9900906205837</c:v>
                </c:pt>
                <c:pt idx="53">
                  <c:v>17.6412729195279</c:v>
                </c:pt>
                <c:pt idx="54">
                  <c:v>17.2805280337229</c:v>
                </c:pt>
                <c:pt idx="55">
                  <c:v>16.9083932067218</c:v>
                </c:pt>
                <c:pt idx="56">
                  <c:v>16.5253825223303</c:v>
                </c:pt>
                <c:pt idx="57">
                  <c:v>16.1319877910958</c:v>
                </c:pt>
                <c:pt idx="58">
                  <c:v>15.72867937402</c:v>
                </c:pt>
                <c:pt idx="59">
                  <c:v>15.315906933439</c:v>
                </c:pt>
                <c:pt idx="60">
                  <c:v>14.8941000995239</c:v>
                </c:pt>
                <c:pt idx="61">
                  <c:v>14.4636690385257</c:v>
                </c:pt>
                <c:pt idx="62">
                  <c:v>14.0250049054539</c:v>
                </c:pt>
                <c:pt idx="63">
                  <c:v>13.5784801589888</c:v>
                </c:pt>
                <c:pt idx="64">
                  <c:v>13.1244487094599</c:v>
                </c:pt>
                <c:pt idx="65">
                  <c:v>12.6632458609819</c:v>
                </c:pt>
                <c:pt idx="66">
                  <c:v>12.1951879949188</c:v>
                </c:pt>
                <c:pt idx="67">
                  <c:v>11.7205719219787</c:v>
                </c:pt>
                <c:pt idx="68">
                  <c:v>11.2396738013989</c:v>
                </c:pt>
                <c:pt idx="69">
                  <c:v>10.7527474832325</c:v>
                </c:pt>
                <c:pt idx="70">
                  <c:v>10.2600220661079</c:v>
                </c:pt>
                <c:pt idx="71">
                  <c:v>9.76169836554128</c:v>
                </c:pt>
                <c:pt idx="72">
                  <c:v>9.25794383571615</c:v>
                </c:pt>
                <c:pt idx="73">
                  <c:v>8.74888524341284</c:v>
                </c:pt>
                <c:pt idx="74">
                  <c:v>8.23459798931027</c:v>
                </c:pt>
                <c:pt idx="75">
                  <c:v>7.71509028263512</c:v>
                </c:pt>
                <c:pt idx="76">
                  <c:v>7.19027915167423</c:v>
                </c:pt>
                <c:pt idx="77">
                  <c:v>6.65995300083971</c:v>
                </c:pt>
                <c:pt idx="78">
                  <c:v>6.12371097546916</c:v>
                </c:pt>
                <c:pt idx="79">
                  <c:v>5.58086009968742</c:v>
                </c:pt>
                <c:pt idx="80">
                  <c:v>5.03023011907749</c:v>
                </c:pt>
                <c:pt idx="81">
                  <c:v>4.46981328424791</c:v>
                </c:pt>
                <c:pt idx="82">
                  <c:v>3.89598513331273</c:v>
                </c:pt>
                <c:pt idx="83">
                  <c:v>3.3015367138135</c:v>
                </c:pt>
                <c:pt idx="84">
                  <c:v>2.66927162020123</c:v>
                </c:pt>
                <c:pt idx="85">
                  <c:v>1.93609456039971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0.000811701725615445</c:v>
                </c:pt>
                <c:pt idx="184">
                  <c:v>0.00162390048069299</c:v>
                </c:pt>
                <c:pt idx="185">
                  <c:v>0.0024370945082042</c:v>
                </c:pt>
                <c:pt idx="186">
                  <c:v>0.0032517845237188</c:v>
                </c:pt>
                <c:pt idx="187">
                  <c:v>0.00406847487694972</c:v>
                </c:pt>
                <c:pt idx="188">
                  <c:v>0.00488767492797317</c:v>
                </c:pt>
                <c:pt idx="189">
                  <c:v>0.00570990025302459</c:v>
                </c:pt>
                <c:pt idx="190">
                  <c:v>0.00653567392563292</c:v>
                </c:pt>
                <c:pt idx="191">
                  <c:v>0.00736552803569326</c:v>
                </c:pt>
                <c:pt idx="192">
                  <c:v>0.00820000491384818</c:v>
                </c:pt>
                <c:pt idx="193">
                  <c:v>0.00903965864456681</c:v>
                </c:pt>
                <c:pt idx="194">
                  <c:v>0.00988505674944976</c:v>
                </c:pt>
                <c:pt idx="195">
                  <c:v>0.0107367815194373</c:v>
                </c:pt>
                <c:pt idx="196">
                  <c:v>0.0115954319290166</c:v>
                </c:pt>
                <c:pt idx="197">
                  <c:v>0.0124616253040738</c:v>
                </c:pt>
                <c:pt idx="198">
                  <c:v>0.0133359992819912</c:v>
                </c:pt>
                <c:pt idx="199">
                  <c:v>0.0142192138127076</c:v>
                </c:pt>
                <c:pt idx="200">
                  <c:v>0.0151119530154973</c:v>
                </c:pt>
                <c:pt idx="201">
                  <c:v>0.016014928121062</c:v>
                </c:pt>
                <c:pt idx="202">
                  <c:v>0.0169288791535575</c:v>
                </c:pt>
                <c:pt idx="203">
                  <c:v>0.0178545782372545</c:v>
                </c:pt>
                <c:pt idx="204">
                  <c:v>0.0187928319341268</c:v>
                </c:pt>
                <c:pt idx="205">
                  <c:v>0.0197444846066229</c:v>
                </c:pt>
                <c:pt idx="206">
                  <c:v>0.0207104218141539</c:v>
                </c:pt>
                <c:pt idx="207">
                  <c:v>0.0216915736650465</c:v>
                </c:pt>
                <c:pt idx="208">
                  <c:v>0.0226889188381549</c:v>
                </c:pt>
                <c:pt idx="209">
                  <c:v>0.0237034893434004</c:v>
                </c:pt>
                <c:pt idx="210">
                  <c:v>0.0247363742911337</c:v>
                </c:pt>
                <c:pt idx="211">
                  <c:v>0.0257887258148946</c:v>
                </c:pt>
                <c:pt idx="212">
                  <c:v>0.0268617644769548</c:v>
                </c:pt>
                <c:pt idx="213">
                  <c:v>0.0279567853875212</c:v>
                </c:pt>
                <c:pt idx="214">
                  <c:v>0.0290751650228968</c:v>
                </c:pt>
                <c:pt idx="215">
                  <c:v>0.0302183690422901</c:v>
                </c:pt>
                <c:pt idx="216">
                  <c:v>0.031387960248089</c:v>
                </c:pt>
                <c:pt idx="217">
                  <c:v>0.0325856077144715</c:v>
                </c:pt>
                <c:pt idx="218">
                  <c:v>0.0338130978523915</c:v>
                </c:pt>
                <c:pt idx="219">
                  <c:v>0.0350723451785743</c:v>
                </c:pt>
                <c:pt idx="220">
                  <c:v>0.0363654047079152</c:v>
                </c:pt>
                <c:pt idx="221">
                  <c:v>0.0376944872912186</c:v>
                </c:pt>
                <c:pt idx="222">
                  <c:v>0.0390619745237093</c:v>
                </c:pt>
                <c:pt idx="223">
                  <c:v>0.0404704371833488</c:v>
                </c:pt>
                <c:pt idx="224">
                  <c:v>0.0419226558013691</c:v>
                </c:pt>
                <c:pt idx="225">
                  <c:v>0.0434216424220224</c:v>
                </c:pt>
                <c:pt idx="226">
                  <c:v>0.0449706674002673</c:v>
                </c:pt>
                <c:pt idx="227">
                  <c:v>0.0465732881215047</c:v>
                </c:pt>
                <c:pt idx="228">
                  <c:v>0.0482333826107887</c:v>
                </c:pt>
                <c:pt idx="229">
                  <c:v>0.0499551875751839</c:v>
                </c:pt>
                <c:pt idx="230">
                  <c:v>0.0517433420684374</c:v>
                </c:pt>
                <c:pt idx="231">
                  <c:v>0.0536029369302793</c:v>
                </c:pt>
                <c:pt idx="232">
                  <c:v>0.0555395739046926</c:v>
                </c:pt>
                <c:pt idx="233">
                  <c:v>0.0575594310021513</c:v>
                </c:pt>
                <c:pt idx="234">
                  <c:v>0.0596693411709519</c:v>
                </c:pt>
                <c:pt idx="235">
                  <c:v>0.0618768822119605</c:v>
                </c:pt>
                <c:pt idx="236">
                  <c:v>0.0641904826962108</c:v>
                </c:pt>
                <c:pt idx="237">
                  <c:v>0.0666195466722438</c:v>
                </c:pt>
                <c:pt idx="238">
                  <c:v>0.0691746012789096</c:v>
                </c:pt>
                <c:pt idx="239">
                  <c:v>0.0718674705281529</c:v>
                </c:pt>
                <c:pt idx="240">
                  <c:v>0.0747114842181026</c:v>
                </c:pt>
                <c:pt idx="241">
                  <c:v>0.0777217284402515</c:v>
                </c:pt>
                <c:pt idx="242">
                  <c:v>0.0809153469915215</c:v>
                </c:pt>
                <c:pt idx="243">
                  <c:v>0.0843119086059435</c:v>
                </c:pt>
                <c:pt idx="244">
                  <c:v>0.0879338557031131</c:v>
                </c:pt>
                <c:pt idx="245">
                  <c:v>0.0918070570334792</c:v>
                </c:pt>
                <c:pt idx="246">
                  <c:v>0.0959614939693993</c:v>
                </c:pt>
                <c:pt idx="247">
                  <c:v>0.10043212075513</c:v>
                </c:pt>
                <c:pt idx="248">
                  <c:v>0.105259950213929</c:v>
                </c:pt>
                <c:pt idx="249">
                  <c:v>0.110493441430052</c:v>
                </c:pt>
                <c:pt idx="250">
                  <c:v>0.116190289251495</c:v>
                </c:pt>
                <c:pt idx="251">
                  <c:v>0.122419763692166</c:v>
                </c:pt>
                <c:pt idx="252">
                  <c:v>0.129265804746456</c:v>
                </c:pt>
                <c:pt idx="253">
                  <c:v>0.136831182372708</c:v>
                </c:pt>
                <c:pt idx="254">
                  <c:v>0.145243177545086</c:v>
                </c:pt>
                <c:pt idx="255">
                  <c:v>0.154661487842047</c:v>
                </c:pt>
                <c:pt idx="256">
                  <c:v>0.165289463931331</c:v>
                </c:pt>
                <c:pt idx="257">
                  <c:v>0.177390472224736</c:v>
                </c:pt>
                <c:pt idx="258">
                  <c:v>0.191312402014685</c:v>
                </c:pt>
                <c:pt idx="259">
                  <c:v>0.20752560832782</c:v>
                </c:pt>
                <c:pt idx="260">
                  <c:v>0.226684030477628</c:v>
                </c:pt>
                <c:pt idx="261">
                  <c:v>0.249728521686878</c:v>
                </c:pt>
                <c:pt idx="262">
                  <c:v>0.278072460276767</c:v>
                </c:pt>
                <c:pt idx="263">
                  <c:v>0.313962406481226</c:v>
                </c:pt>
                <c:pt idx="264">
                  <c:v>0.361257748900579</c:v>
                </c:pt>
                <c:pt idx="265">
                  <c:v>0.427398900671505</c:v>
                </c:pt>
                <c:pt idx="266">
                  <c:v>0.52981067067577</c:v>
                </c:pt>
                <c:pt idx="267">
                  <c:v>0.731814097193463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</c:numCache>
            </c:numRef>
          </c:yVal>
          <c:smooth val="0"/>
        </c:ser>
        <c:axId val="47362102"/>
        <c:axId val="80281214"/>
      </c:scatterChart>
      <c:valAx>
        <c:axId val="47362102"/>
        <c:scaling>
          <c:orientation val="minMax"/>
          <c:max val="18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centre of mass angle (degrees)</a:t>
                </a:r>
              </a:p>
            </c:rich>
          </c:tx>
          <c:layout>
            <c:manualLayout>
              <c:xMode val="edge"/>
              <c:yMode val="edge"/>
              <c:x val="0.379466323608748"/>
              <c:y val="0.942362782170276"/>
            </c:manualLayout>
          </c:layout>
          <c:overlay val="0"/>
          <c:spPr>
            <a:noFill/>
            <a:ln w="2556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0281214"/>
        <c:crosses val="autoZero"/>
        <c:crossBetween val="midCat"/>
      </c:valAx>
      <c:valAx>
        <c:axId val="80281214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lab angle (degrees)</a:t>
                </a:r>
              </a:p>
            </c:rich>
          </c:tx>
          <c:layout>
            <c:manualLayout>
              <c:xMode val="edge"/>
              <c:yMode val="edge"/>
              <c:x val="0.0114122089886708"/>
              <c:y val="0.399736450097399"/>
            </c:manualLayout>
          </c:layout>
          <c:overlay val="0"/>
          <c:spPr>
            <a:noFill/>
            <a:ln w="2556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7362102"/>
        <c:crosses val="autoZero"/>
        <c:crossBetween val="midCat"/>
      </c:valAx>
      <c:spPr>
        <a:solidFill>
          <a:srgbClr val="dae3f3"/>
        </a:solidFill>
        <a:ln w="25560">
          <a:solidFill>
            <a:srgbClr val="000080"/>
          </a:solidFill>
          <a:round/>
        </a:ln>
      </c:spPr>
    </c:plotArea>
    <c:legend>
      <c:legendPos val="r"/>
      <c:layout>
        <c:manualLayout>
          <c:xMode val="edge"/>
          <c:yMode val="edge"/>
          <c:x val="0.916235764718801"/>
          <c:y val="0.471186364624605"/>
          <c:w val="0.0796277284955848"/>
          <c:h val="0.0728814383233449"/>
        </c:manualLayout>
      </c:layout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845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noFill/>
    <a:ln w="6480">
      <a:noFill/>
    </a:ln>
  </c:sp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1200" spc="-1" strike="noStrike">
                <a:solidFill>
                  <a:srgbClr val="000000"/>
                </a:solidFill>
                <a:latin typeface="Arial"/>
                <a:ea typeface="Arial"/>
              </a:rPr>
              <a:t>Lab energy vs. centre of mass angle</a:t>
            </a:r>
          </a:p>
        </c:rich>
      </c:tx>
      <c:layout>
        <c:manualLayout>
          <c:xMode val="edge"/>
          <c:yMode val="edge"/>
          <c:x val="0.354774453251442"/>
          <c:y val="0.020339177265956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6739428144582"/>
          <c:y val="0.125415377563882"/>
          <c:w val="0.802340540316222"/>
          <c:h val="0.764237424086169"/>
        </c:manualLayout>
      </c:layout>
      <c:scatterChart>
        <c:scatterStyle val="line"/>
        <c:varyColors val="0"/>
        <c:ser>
          <c:idx val="0"/>
          <c:order val="0"/>
          <c:tx>
            <c:strRef>
              <c:f>'Plotting Sheet'!$J$5</c:f>
              <c:strCache>
                <c:ptCount val="1"/>
                <c:pt idx="0">
                  <c:v>ejectile</c:v>
                </c:pt>
              </c:strCache>
            </c:strRef>
          </c:tx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'Plotting Sheet'!$I$6:$I$368</c:f>
              <c:numCache>
                <c:formatCode>General</c:formatCode>
                <c:ptCount val="363"/>
                <c:pt idx="0">
                  <c:v>0</c:v>
                </c:pt>
                <c:pt idx="1">
                  <c:v>2.008</c:v>
                </c:pt>
                <c:pt idx="2">
                  <c:v>4.015</c:v>
                </c:pt>
                <c:pt idx="3">
                  <c:v>6.023</c:v>
                </c:pt>
                <c:pt idx="4">
                  <c:v>8.03</c:v>
                </c:pt>
                <c:pt idx="5">
                  <c:v>10.037</c:v>
                </c:pt>
                <c:pt idx="6">
                  <c:v>12.045</c:v>
                </c:pt>
                <c:pt idx="7">
                  <c:v>14.052</c:v>
                </c:pt>
                <c:pt idx="8">
                  <c:v>16.06</c:v>
                </c:pt>
                <c:pt idx="9">
                  <c:v>18.067</c:v>
                </c:pt>
                <c:pt idx="10">
                  <c:v>20.075</c:v>
                </c:pt>
                <c:pt idx="11">
                  <c:v>22.082</c:v>
                </c:pt>
                <c:pt idx="12">
                  <c:v>24.089</c:v>
                </c:pt>
                <c:pt idx="13">
                  <c:v>26.096</c:v>
                </c:pt>
                <c:pt idx="14">
                  <c:v>28.104</c:v>
                </c:pt>
                <c:pt idx="15">
                  <c:v>30.111</c:v>
                </c:pt>
                <c:pt idx="16">
                  <c:v>32.118</c:v>
                </c:pt>
                <c:pt idx="17">
                  <c:v>34.125</c:v>
                </c:pt>
                <c:pt idx="18">
                  <c:v>36.132</c:v>
                </c:pt>
                <c:pt idx="19">
                  <c:v>38.139</c:v>
                </c:pt>
                <c:pt idx="20">
                  <c:v>40.146</c:v>
                </c:pt>
                <c:pt idx="21">
                  <c:v>42.153</c:v>
                </c:pt>
                <c:pt idx="22">
                  <c:v>44.159</c:v>
                </c:pt>
                <c:pt idx="23">
                  <c:v>46.166</c:v>
                </c:pt>
                <c:pt idx="24">
                  <c:v>48.173</c:v>
                </c:pt>
                <c:pt idx="25">
                  <c:v>50.179</c:v>
                </c:pt>
                <c:pt idx="26">
                  <c:v>52.186</c:v>
                </c:pt>
                <c:pt idx="27">
                  <c:v>54.192</c:v>
                </c:pt>
                <c:pt idx="28">
                  <c:v>56.199</c:v>
                </c:pt>
                <c:pt idx="29">
                  <c:v>58.205</c:v>
                </c:pt>
                <c:pt idx="30">
                  <c:v>60.212</c:v>
                </c:pt>
                <c:pt idx="31">
                  <c:v>62.218</c:v>
                </c:pt>
                <c:pt idx="32">
                  <c:v>64.224</c:v>
                </c:pt>
                <c:pt idx="33">
                  <c:v>66.23</c:v>
                </c:pt>
                <c:pt idx="34">
                  <c:v>68.236</c:v>
                </c:pt>
                <c:pt idx="35">
                  <c:v>70.242</c:v>
                </c:pt>
                <c:pt idx="36">
                  <c:v>72.248</c:v>
                </c:pt>
                <c:pt idx="37">
                  <c:v>74.254</c:v>
                </c:pt>
                <c:pt idx="38">
                  <c:v>76.26</c:v>
                </c:pt>
                <c:pt idx="39">
                  <c:v>78.266</c:v>
                </c:pt>
                <c:pt idx="40">
                  <c:v>80.272</c:v>
                </c:pt>
                <c:pt idx="41">
                  <c:v>82.278</c:v>
                </c:pt>
                <c:pt idx="42">
                  <c:v>84.284</c:v>
                </c:pt>
                <c:pt idx="43">
                  <c:v>86.29</c:v>
                </c:pt>
                <c:pt idx="44">
                  <c:v>88.296</c:v>
                </c:pt>
                <c:pt idx="45">
                  <c:v>90.302</c:v>
                </c:pt>
                <c:pt idx="46">
                  <c:v>92.308</c:v>
                </c:pt>
                <c:pt idx="47">
                  <c:v>94.315</c:v>
                </c:pt>
                <c:pt idx="48">
                  <c:v>96.321</c:v>
                </c:pt>
                <c:pt idx="49">
                  <c:v>98.327</c:v>
                </c:pt>
                <c:pt idx="50">
                  <c:v>100.334</c:v>
                </c:pt>
                <c:pt idx="51">
                  <c:v>102.341</c:v>
                </c:pt>
                <c:pt idx="52">
                  <c:v>104.347</c:v>
                </c:pt>
                <c:pt idx="53">
                  <c:v>106.354</c:v>
                </c:pt>
                <c:pt idx="54">
                  <c:v>108.362</c:v>
                </c:pt>
                <c:pt idx="55">
                  <c:v>110.369</c:v>
                </c:pt>
                <c:pt idx="56">
                  <c:v>112.377</c:v>
                </c:pt>
                <c:pt idx="57">
                  <c:v>114.386</c:v>
                </c:pt>
                <c:pt idx="58">
                  <c:v>116.394</c:v>
                </c:pt>
                <c:pt idx="59">
                  <c:v>118.404</c:v>
                </c:pt>
                <c:pt idx="60">
                  <c:v>120.413</c:v>
                </c:pt>
                <c:pt idx="61">
                  <c:v>122.424</c:v>
                </c:pt>
                <c:pt idx="62">
                  <c:v>124.435</c:v>
                </c:pt>
                <c:pt idx="63">
                  <c:v>126.447</c:v>
                </c:pt>
                <c:pt idx="64">
                  <c:v>128.46</c:v>
                </c:pt>
                <c:pt idx="65">
                  <c:v>130.474</c:v>
                </c:pt>
                <c:pt idx="66">
                  <c:v>132.489</c:v>
                </c:pt>
                <c:pt idx="67">
                  <c:v>134.505</c:v>
                </c:pt>
                <c:pt idx="68">
                  <c:v>136.523</c:v>
                </c:pt>
                <c:pt idx="69">
                  <c:v>138.543</c:v>
                </c:pt>
                <c:pt idx="70">
                  <c:v>140.565</c:v>
                </c:pt>
                <c:pt idx="71">
                  <c:v>142.59</c:v>
                </c:pt>
                <c:pt idx="72">
                  <c:v>144.618</c:v>
                </c:pt>
                <c:pt idx="73">
                  <c:v>146.65</c:v>
                </c:pt>
                <c:pt idx="74">
                  <c:v>148.686</c:v>
                </c:pt>
                <c:pt idx="75">
                  <c:v>150.727</c:v>
                </c:pt>
                <c:pt idx="76">
                  <c:v>152.775</c:v>
                </c:pt>
                <c:pt idx="77">
                  <c:v>154.832</c:v>
                </c:pt>
                <c:pt idx="78">
                  <c:v>156.899</c:v>
                </c:pt>
                <c:pt idx="79">
                  <c:v>158.981</c:v>
                </c:pt>
                <c:pt idx="80">
                  <c:v>161.083</c:v>
                </c:pt>
                <c:pt idx="81">
                  <c:v>163.213</c:v>
                </c:pt>
                <c:pt idx="82">
                  <c:v>165.385</c:v>
                </c:pt>
                <c:pt idx="83">
                  <c:v>167.628</c:v>
                </c:pt>
                <c:pt idx="84">
                  <c:v>170.007</c:v>
                </c:pt>
                <c:pt idx="85">
                  <c:v>172.758</c:v>
                </c:pt>
                <c:pt idx="86">
                  <c:v>172.758</c:v>
                </c:pt>
                <c:pt idx="87">
                  <c:v>172.758</c:v>
                </c:pt>
                <c:pt idx="88">
                  <c:v>172.758</c:v>
                </c:pt>
                <c:pt idx="89">
                  <c:v>172.758</c:v>
                </c:pt>
                <c:pt idx="90">
                  <c:v>172.758</c:v>
                </c:pt>
                <c:pt idx="91">
                  <c:v>172.758</c:v>
                </c:pt>
                <c:pt idx="92">
                  <c:v>172.758</c:v>
                </c:pt>
                <c:pt idx="93">
                  <c:v>172.758</c:v>
                </c:pt>
                <c:pt idx="94">
                  <c:v>172.758</c:v>
                </c:pt>
                <c:pt idx="95">
                  <c:v>172.758</c:v>
                </c:pt>
                <c:pt idx="96">
                  <c:v>172.758</c:v>
                </c:pt>
                <c:pt idx="97">
                  <c:v>172.758</c:v>
                </c:pt>
                <c:pt idx="98">
                  <c:v>172.758</c:v>
                </c:pt>
                <c:pt idx="99">
                  <c:v>172.758</c:v>
                </c:pt>
                <c:pt idx="100">
                  <c:v>172.758</c:v>
                </c:pt>
                <c:pt idx="101">
                  <c:v>172.758</c:v>
                </c:pt>
                <c:pt idx="102">
                  <c:v>172.758</c:v>
                </c:pt>
                <c:pt idx="103">
                  <c:v>172.758</c:v>
                </c:pt>
                <c:pt idx="104">
                  <c:v>172.758</c:v>
                </c:pt>
                <c:pt idx="105">
                  <c:v>172.758</c:v>
                </c:pt>
                <c:pt idx="106">
                  <c:v>172.758</c:v>
                </c:pt>
                <c:pt idx="107">
                  <c:v>172.758</c:v>
                </c:pt>
                <c:pt idx="108">
                  <c:v>172.758</c:v>
                </c:pt>
                <c:pt idx="109">
                  <c:v>172.758</c:v>
                </c:pt>
                <c:pt idx="110">
                  <c:v>172.758</c:v>
                </c:pt>
                <c:pt idx="111">
                  <c:v>172.758</c:v>
                </c:pt>
                <c:pt idx="112">
                  <c:v>172.758</c:v>
                </c:pt>
                <c:pt idx="113">
                  <c:v>172.758</c:v>
                </c:pt>
                <c:pt idx="114">
                  <c:v>172.758</c:v>
                </c:pt>
                <c:pt idx="115">
                  <c:v>172.758</c:v>
                </c:pt>
                <c:pt idx="116">
                  <c:v>172.758</c:v>
                </c:pt>
                <c:pt idx="117">
                  <c:v>172.758</c:v>
                </c:pt>
                <c:pt idx="118">
                  <c:v>172.758</c:v>
                </c:pt>
                <c:pt idx="119">
                  <c:v>172.758</c:v>
                </c:pt>
                <c:pt idx="120">
                  <c:v>172.758</c:v>
                </c:pt>
                <c:pt idx="121">
                  <c:v>172.758</c:v>
                </c:pt>
                <c:pt idx="122">
                  <c:v>172.758</c:v>
                </c:pt>
                <c:pt idx="123">
                  <c:v>172.758</c:v>
                </c:pt>
                <c:pt idx="124">
                  <c:v>172.758</c:v>
                </c:pt>
                <c:pt idx="125">
                  <c:v>172.758</c:v>
                </c:pt>
                <c:pt idx="126">
                  <c:v>172.758</c:v>
                </c:pt>
                <c:pt idx="127">
                  <c:v>172.758</c:v>
                </c:pt>
                <c:pt idx="128">
                  <c:v>172.758</c:v>
                </c:pt>
                <c:pt idx="129">
                  <c:v>172.758</c:v>
                </c:pt>
                <c:pt idx="130">
                  <c:v>172.758</c:v>
                </c:pt>
                <c:pt idx="131">
                  <c:v>172.758</c:v>
                </c:pt>
                <c:pt idx="132">
                  <c:v>172.758</c:v>
                </c:pt>
                <c:pt idx="133">
                  <c:v>172.758</c:v>
                </c:pt>
                <c:pt idx="134">
                  <c:v>172.758</c:v>
                </c:pt>
                <c:pt idx="135">
                  <c:v>172.758</c:v>
                </c:pt>
                <c:pt idx="136">
                  <c:v>172.758</c:v>
                </c:pt>
                <c:pt idx="137">
                  <c:v>172.758</c:v>
                </c:pt>
                <c:pt idx="138">
                  <c:v>172.758</c:v>
                </c:pt>
                <c:pt idx="139">
                  <c:v>172.758</c:v>
                </c:pt>
                <c:pt idx="140">
                  <c:v>172.758</c:v>
                </c:pt>
                <c:pt idx="141">
                  <c:v>172.758</c:v>
                </c:pt>
                <c:pt idx="142">
                  <c:v>172.758</c:v>
                </c:pt>
                <c:pt idx="143">
                  <c:v>172.758</c:v>
                </c:pt>
                <c:pt idx="144">
                  <c:v>172.758</c:v>
                </c:pt>
                <c:pt idx="145">
                  <c:v>172.758</c:v>
                </c:pt>
                <c:pt idx="146">
                  <c:v>172.758</c:v>
                </c:pt>
                <c:pt idx="147">
                  <c:v>172.758</c:v>
                </c:pt>
                <c:pt idx="148">
                  <c:v>172.758</c:v>
                </c:pt>
                <c:pt idx="149">
                  <c:v>172.758</c:v>
                </c:pt>
                <c:pt idx="150">
                  <c:v>172.758</c:v>
                </c:pt>
                <c:pt idx="151">
                  <c:v>172.758</c:v>
                </c:pt>
                <c:pt idx="152">
                  <c:v>172.758</c:v>
                </c:pt>
                <c:pt idx="153">
                  <c:v>172.758</c:v>
                </c:pt>
                <c:pt idx="154">
                  <c:v>172.758</c:v>
                </c:pt>
                <c:pt idx="155">
                  <c:v>172.758</c:v>
                </c:pt>
                <c:pt idx="156">
                  <c:v>172.758</c:v>
                </c:pt>
                <c:pt idx="157">
                  <c:v>172.758</c:v>
                </c:pt>
                <c:pt idx="158">
                  <c:v>172.758</c:v>
                </c:pt>
                <c:pt idx="159">
                  <c:v>172.758</c:v>
                </c:pt>
                <c:pt idx="160">
                  <c:v>172.758</c:v>
                </c:pt>
                <c:pt idx="161">
                  <c:v>172.758</c:v>
                </c:pt>
                <c:pt idx="162">
                  <c:v>172.758</c:v>
                </c:pt>
                <c:pt idx="163">
                  <c:v>172.758</c:v>
                </c:pt>
                <c:pt idx="164">
                  <c:v>172.758</c:v>
                </c:pt>
                <c:pt idx="165">
                  <c:v>172.758</c:v>
                </c:pt>
                <c:pt idx="166">
                  <c:v>172.758</c:v>
                </c:pt>
                <c:pt idx="167">
                  <c:v>172.758</c:v>
                </c:pt>
                <c:pt idx="168">
                  <c:v>172.758</c:v>
                </c:pt>
                <c:pt idx="169">
                  <c:v>172.758</c:v>
                </c:pt>
                <c:pt idx="170">
                  <c:v>172.758</c:v>
                </c:pt>
                <c:pt idx="171">
                  <c:v>172.758</c:v>
                </c:pt>
                <c:pt idx="172">
                  <c:v>172.758</c:v>
                </c:pt>
                <c:pt idx="173">
                  <c:v>172.758</c:v>
                </c:pt>
                <c:pt idx="174">
                  <c:v>172.758</c:v>
                </c:pt>
                <c:pt idx="175">
                  <c:v>172.758</c:v>
                </c:pt>
                <c:pt idx="176">
                  <c:v>172.758</c:v>
                </c:pt>
                <c:pt idx="177">
                  <c:v>172.758</c:v>
                </c:pt>
                <c:pt idx="178">
                  <c:v>172.758</c:v>
                </c:pt>
                <c:pt idx="179">
                  <c:v>172.758</c:v>
                </c:pt>
                <c:pt idx="180">
                  <c:v>172.758</c:v>
                </c:pt>
                <c:pt idx="181">
                  <c:v>180</c:v>
                </c:pt>
                <c:pt idx="182">
                  <c:v>180</c:v>
                </c:pt>
                <c:pt idx="183">
                  <c:v>180</c:v>
                </c:pt>
                <c:pt idx="184">
                  <c:v>180</c:v>
                </c:pt>
                <c:pt idx="185">
                  <c:v>180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180</c:v>
                </c:pt>
                <c:pt idx="190">
                  <c:v>180</c:v>
                </c:pt>
                <c:pt idx="191">
                  <c:v>180</c:v>
                </c:pt>
                <c:pt idx="192">
                  <c:v>180</c:v>
                </c:pt>
                <c:pt idx="193">
                  <c:v>180</c:v>
                </c:pt>
                <c:pt idx="194">
                  <c:v>180</c:v>
                </c:pt>
                <c:pt idx="195">
                  <c:v>180</c:v>
                </c:pt>
                <c:pt idx="196">
                  <c:v>180</c:v>
                </c:pt>
                <c:pt idx="197">
                  <c:v>180</c:v>
                </c:pt>
                <c:pt idx="198">
                  <c:v>180</c:v>
                </c:pt>
                <c:pt idx="199">
                  <c:v>180</c:v>
                </c:pt>
                <c:pt idx="200">
                  <c:v>180</c:v>
                </c:pt>
                <c:pt idx="201">
                  <c:v>180</c:v>
                </c:pt>
                <c:pt idx="202">
                  <c:v>180</c:v>
                </c:pt>
                <c:pt idx="203">
                  <c:v>180</c:v>
                </c:pt>
                <c:pt idx="204">
                  <c:v>180</c:v>
                </c:pt>
                <c:pt idx="205">
                  <c:v>180</c:v>
                </c:pt>
                <c:pt idx="206">
                  <c:v>180</c:v>
                </c:pt>
                <c:pt idx="207">
                  <c:v>179.919</c:v>
                </c:pt>
                <c:pt idx="208">
                  <c:v>179.915</c:v>
                </c:pt>
                <c:pt idx="209">
                  <c:v>179.911</c:v>
                </c:pt>
                <c:pt idx="210">
                  <c:v>179.908</c:v>
                </c:pt>
                <c:pt idx="211">
                  <c:v>179.904</c:v>
                </c:pt>
                <c:pt idx="212">
                  <c:v>179.9</c:v>
                </c:pt>
                <c:pt idx="213">
                  <c:v>179.896</c:v>
                </c:pt>
                <c:pt idx="214">
                  <c:v>179.891</c:v>
                </c:pt>
                <c:pt idx="215">
                  <c:v>179.887</c:v>
                </c:pt>
                <c:pt idx="216">
                  <c:v>179.883</c:v>
                </c:pt>
                <c:pt idx="217">
                  <c:v>179.878</c:v>
                </c:pt>
                <c:pt idx="218">
                  <c:v>179.874</c:v>
                </c:pt>
                <c:pt idx="219">
                  <c:v>179.869</c:v>
                </c:pt>
                <c:pt idx="220">
                  <c:v>179.864</c:v>
                </c:pt>
                <c:pt idx="221">
                  <c:v>179.859</c:v>
                </c:pt>
                <c:pt idx="222">
                  <c:v>179.854</c:v>
                </c:pt>
                <c:pt idx="223">
                  <c:v>179.849</c:v>
                </c:pt>
                <c:pt idx="224">
                  <c:v>179.843</c:v>
                </c:pt>
                <c:pt idx="225">
                  <c:v>179.838</c:v>
                </c:pt>
                <c:pt idx="226">
                  <c:v>179.832</c:v>
                </c:pt>
                <c:pt idx="227">
                  <c:v>179.826</c:v>
                </c:pt>
                <c:pt idx="228">
                  <c:v>179.82</c:v>
                </c:pt>
                <c:pt idx="229">
                  <c:v>179.813</c:v>
                </c:pt>
                <c:pt idx="230">
                  <c:v>179.807</c:v>
                </c:pt>
                <c:pt idx="231">
                  <c:v>179.8</c:v>
                </c:pt>
                <c:pt idx="232">
                  <c:v>179.792</c:v>
                </c:pt>
                <c:pt idx="233">
                  <c:v>179.785</c:v>
                </c:pt>
                <c:pt idx="234">
                  <c:v>179.777</c:v>
                </c:pt>
                <c:pt idx="235">
                  <c:v>179.769</c:v>
                </c:pt>
                <c:pt idx="236">
                  <c:v>179.76</c:v>
                </c:pt>
                <c:pt idx="237">
                  <c:v>179.751</c:v>
                </c:pt>
                <c:pt idx="238">
                  <c:v>179.741</c:v>
                </c:pt>
                <c:pt idx="239">
                  <c:v>179.731</c:v>
                </c:pt>
                <c:pt idx="240">
                  <c:v>179.721</c:v>
                </c:pt>
                <c:pt idx="241">
                  <c:v>179.71</c:v>
                </c:pt>
                <c:pt idx="242">
                  <c:v>179.698</c:v>
                </c:pt>
                <c:pt idx="243">
                  <c:v>179.685</c:v>
                </c:pt>
                <c:pt idx="244">
                  <c:v>179.671</c:v>
                </c:pt>
                <c:pt idx="245">
                  <c:v>179.657</c:v>
                </c:pt>
                <c:pt idx="246">
                  <c:v>179.641</c:v>
                </c:pt>
                <c:pt idx="247">
                  <c:v>179.625</c:v>
                </c:pt>
                <c:pt idx="248">
                  <c:v>179.607</c:v>
                </c:pt>
                <c:pt idx="249">
                  <c:v>179.587</c:v>
                </c:pt>
                <c:pt idx="250">
                  <c:v>179.566</c:v>
                </c:pt>
                <c:pt idx="251">
                  <c:v>179.542</c:v>
                </c:pt>
                <c:pt idx="252">
                  <c:v>179.517</c:v>
                </c:pt>
                <c:pt idx="253">
                  <c:v>179.489</c:v>
                </c:pt>
                <c:pt idx="254">
                  <c:v>179.457</c:v>
                </c:pt>
                <c:pt idx="255">
                  <c:v>179.422</c:v>
                </c:pt>
                <c:pt idx="256">
                  <c:v>179.382</c:v>
                </c:pt>
                <c:pt idx="257">
                  <c:v>179.337</c:v>
                </c:pt>
                <c:pt idx="258">
                  <c:v>179.285</c:v>
                </c:pt>
                <c:pt idx="259">
                  <c:v>179.224</c:v>
                </c:pt>
                <c:pt idx="260">
                  <c:v>179.153</c:v>
                </c:pt>
                <c:pt idx="261">
                  <c:v>179.067</c:v>
                </c:pt>
                <c:pt idx="262">
                  <c:v>178.961</c:v>
                </c:pt>
                <c:pt idx="263">
                  <c:v>178.827</c:v>
                </c:pt>
                <c:pt idx="264">
                  <c:v>178.65</c:v>
                </c:pt>
                <c:pt idx="265">
                  <c:v>178.403</c:v>
                </c:pt>
                <c:pt idx="266">
                  <c:v>178.02</c:v>
                </c:pt>
                <c:pt idx="267">
                  <c:v>177.265</c:v>
                </c:pt>
                <c:pt idx="268">
                  <c:v>177.265</c:v>
                </c:pt>
                <c:pt idx="269">
                  <c:v>177.265</c:v>
                </c:pt>
                <c:pt idx="270">
                  <c:v>177.265</c:v>
                </c:pt>
                <c:pt idx="271">
                  <c:v>177.265</c:v>
                </c:pt>
                <c:pt idx="272">
                  <c:v>177.265</c:v>
                </c:pt>
                <c:pt idx="273">
                  <c:v>177.265</c:v>
                </c:pt>
                <c:pt idx="274">
                  <c:v>177.265</c:v>
                </c:pt>
                <c:pt idx="275">
                  <c:v>177.265</c:v>
                </c:pt>
                <c:pt idx="276">
                  <c:v>177.265</c:v>
                </c:pt>
                <c:pt idx="277">
                  <c:v>177.265</c:v>
                </c:pt>
                <c:pt idx="278">
                  <c:v>177.265</c:v>
                </c:pt>
                <c:pt idx="279">
                  <c:v>177.265</c:v>
                </c:pt>
                <c:pt idx="280">
                  <c:v>177.265</c:v>
                </c:pt>
                <c:pt idx="281">
                  <c:v>177.265</c:v>
                </c:pt>
                <c:pt idx="282">
                  <c:v>177.265</c:v>
                </c:pt>
                <c:pt idx="283">
                  <c:v>177.265</c:v>
                </c:pt>
                <c:pt idx="284">
                  <c:v>177.265</c:v>
                </c:pt>
                <c:pt idx="285">
                  <c:v>177.265</c:v>
                </c:pt>
                <c:pt idx="286">
                  <c:v>177.265</c:v>
                </c:pt>
                <c:pt idx="287">
                  <c:v>177.265</c:v>
                </c:pt>
                <c:pt idx="288">
                  <c:v>177.265</c:v>
                </c:pt>
                <c:pt idx="289">
                  <c:v>177.265</c:v>
                </c:pt>
                <c:pt idx="290">
                  <c:v>177.265</c:v>
                </c:pt>
                <c:pt idx="291">
                  <c:v>177.265</c:v>
                </c:pt>
                <c:pt idx="292">
                  <c:v>177.265</c:v>
                </c:pt>
                <c:pt idx="293">
                  <c:v>177.265</c:v>
                </c:pt>
                <c:pt idx="294">
                  <c:v>177.265</c:v>
                </c:pt>
                <c:pt idx="295">
                  <c:v>177.265</c:v>
                </c:pt>
                <c:pt idx="296">
                  <c:v>177.265</c:v>
                </c:pt>
                <c:pt idx="297">
                  <c:v>177.265</c:v>
                </c:pt>
                <c:pt idx="298">
                  <c:v>177.265</c:v>
                </c:pt>
                <c:pt idx="299">
                  <c:v>177.265</c:v>
                </c:pt>
                <c:pt idx="300">
                  <c:v>177.265</c:v>
                </c:pt>
                <c:pt idx="301">
                  <c:v>177.265</c:v>
                </c:pt>
                <c:pt idx="302">
                  <c:v>177.265</c:v>
                </c:pt>
                <c:pt idx="303">
                  <c:v>177.265</c:v>
                </c:pt>
                <c:pt idx="304">
                  <c:v>177.265</c:v>
                </c:pt>
                <c:pt idx="305">
                  <c:v>177.265</c:v>
                </c:pt>
                <c:pt idx="306">
                  <c:v>177.265</c:v>
                </c:pt>
                <c:pt idx="307">
                  <c:v>177.265</c:v>
                </c:pt>
                <c:pt idx="308">
                  <c:v>177.265</c:v>
                </c:pt>
                <c:pt idx="309">
                  <c:v>177.265</c:v>
                </c:pt>
                <c:pt idx="310">
                  <c:v>177.265</c:v>
                </c:pt>
                <c:pt idx="311">
                  <c:v>177.265</c:v>
                </c:pt>
                <c:pt idx="312">
                  <c:v>177.265</c:v>
                </c:pt>
                <c:pt idx="313">
                  <c:v>177.265</c:v>
                </c:pt>
                <c:pt idx="314">
                  <c:v>177.265</c:v>
                </c:pt>
                <c:pt idx="315">
                  <c:v>177.265</c:v>
                </c:pt>
                <c:pt idx="316">
                  <c:v>177.265</c:v>
                </c:pt>
                <c:pt idx="317">
                  <c:v>177.265</c:v>
                </c:pt>
                <c:pt idx="318">
                  <c:v>177.265</c:v>
                </c:pt>
                <c:pt idx="319">
                  <c:v>177.265</c:v>
                </c:pt>
                <c:pt idx="320">
                  <c:v>177.265</c:v>
                </c:pt>
                <c:pt idx="321">
                  <c:v>177.265</c:v>
                </c:pt>
                <c:pt idx="322">
                  <c:v>177.265</c:v>
                </c:pt>
                <c:pt idx="323">
                  <c:v>177.265</c:v>
                </c:pt>
                <c:pt idx="324">
                  <c:v>177.265</c:v>
                </c:pt>
                <c:pt idx="325">
                  <c:v>177.265</c:v>
                </c:pt>
                <c:pt idx="326">
                  <c:v>177.265</c:v>
                </c:pt>
                <c:pt idx="327">
                  <c:v>177.265</c:v>
                </c:pt>
                <c:pt idx="328">
                  <c:v>177.265</c:v>
                </c:pt>
                <c:pt idx="329">
                  <c:v>177.265</c:v>
                </c:pt>
                <c:pt idx="330">
                  <c:v>177.265</c:v>
                </c:pt>
                <c:pt idx="331">
                  <c:v>177.265</c:v>
                </c:pt>
                <c:pt idx="332">
                  <c:v>177.265</c:v>
                </c:pt>
                <c:pt idx="333">
                  <c:v>177.265</c:v>
                </c:pt>
                <c:pt idx="334">
                  <c:v>177.265</c:v>
                </c:pt>
                <c:pt idx="335">
                  <c:v>177.265</c:v>
                </c:pt>
                <c:pt idx="336">
                  <c:v>177.265</c:v>
                </c:pt>
                <c:pt idx="337">
                  <c:v>177.265</c:v>
                </c:pt>
                <c:pt idx="338">
                  <c:v>177.265</c:v>
                </c:pt>
                <c:pt idx="339">
                  <c:v>177.265</c:v>
                </c:pt>
                <c:pt idx="340">
                  <c:v>177.265</c:v>
                </c:pt>
                <c:pt idx="341">
                  <c:v>177.265</c:v>
                </c:pt>
                <c:pt idx="342">
                  <c:v>177.265</c:v>
                </c:pt>
                <c:pt idx="343">
                  <c:v>177.265</c:v>
                </c:pt>
                <c:pt idx="344">
                  <c:v>177.265</c:v>
                </c:pt>
                <c:pt idx="345">
                  <c:v>177.265</c:v>
                </c:pt>
                <c:pt idx="346">
                  <c:v>177.265</c:v>
                </c:pt>
                <c:pt idx="347">
                  <c:v>177.265</c:v>
                </c:pt>
                <c:pt idx="348">
                  <c:v>177.265</c:v>
                </c:pt>
                <c:pt idx="349">
                  <c:v>177.265</c:v>
                </c:pt>
                <c:pt idx="350">
                  <c:v>177.265</c:v>
                </c:pt>
                <c:pt idx="351">
                  <c:v>177.265</c:v>
                </c:pt>
                <c:pt idx="352">
                  <c:v>177.265</c:v>
                </c:pt>
                <c:pt idx="353">
                  <c:v>177.265</c:v>
                </c:pt>
                <c:pt idx="354">
                  <c:v>177.265</c:v>
                </c:pt>
                <c:pt idx="355">
                  <c:v>177.265</c:v>
                </c:pt>
                <c:pt idx="356">
                  <c:v>177.265</c:v>
                </c:pt>
                <c:pt idx="357">
                  <c:v>177.265</c:v>
                </c:pt>
                <c:pt idx="358">
                  <c:v>177.265</c:v>
                </c:pt>
                <c:pt idx="359">
                  <c:v>177.265</c:v>
                </c:pt>
                <c:pt idx="360">
                  <c:v>177.265</c:v>
                </c:pt>
                <c:pt idx="361">
                  <c:v>177.265</c:v>
                </c:pt>
                <c:pt idx="362">
                  <c:v>177.265</c:v>
                </c:pt>
              </c:numCache>
            </c:numRef>
          </c:xVal>
          <c:yVal>
            <c:numRef>
              <c:f>'Plotting Sheet'!$J$6:$J$368</c:f>
              <c:numCache>
                <c:formatCode>General</c:formatCode>
                <c:ptCount val="363"/>
                <c:pt idx="0">
                  <c:v>482.727135397596</c:v>
                </c:pt>
                <c:pt idx="1">
                  <c:v>482.578996856595</c:v>
                </c:pt>
                <c:pt idx="2">
                  <c:v>482.134764143555</c:v>
                </c:pt>
                <c:pt idx="3">
                  <c:v>481.394985753637</c:v>
                </c:pt>
                <c:pt idx="4">
                  <c:v>480.36057506316</c:v>
                </c:pt>
                <c:pt idx="5">
                  <c:v>479.032809157494</c:v>
                </c:pt>
                <c:pt idx="6">
                  <c:v>477.41332719241</c:v>
                </c:pt>
                <c:pt idx="7">
                  <c:v>475.504128291416</c:v>
                </c:pt>
                <c:pt idx="8">
                  <c:v>473.307568982175</c:v>
                </c:pt>
                <c:pt idx="9">
                  <c:v>470.826360175614</c:v>
                </c:pt>
                <c:pt idx="10">
                  <c:v>468.063563692396</c:v>
                </c:pt>
                <c:pt idx="11">
                  <c:v>465.022588341526</c:v>
                </c:pt>
                <c:pt idx="12">
                  <c:v>461.707185557145</c:v>
                </c:pt>
                <c:pt idx="13">
                  <c:v>458.121444599531</c:v>
                </c:pt>
                <c:pt idx="14">
                  <c:v>454.269787327589</c:v>
                </c:pt>
                <c:pt idx="15">
                  <c:v>450.1569625502</c:v>
                </c:pt>
                <c:pt idx="16">
                  <c:v>445.788039964698</c:v>
                </c:pt>
                <c:pt idx="17">
                  <c:v>441.168403691178</c:v>
                </c:pt>
                <c:pt idx="18">
                  <c:v>436.303745412018</c:v>
                </c:pt>
                <c:pt idx="19">
                  <c:v>431.200057126305</c:v>
                </c:pt>
                <c:pt idx="20">
                  <c:v>425.863623529702</c:v>
                </c:pt>
                <c:pt idx="21">
                  <c:v>420.301014030505</c:v>
                </c:pt>
                <c:pt idx="22">
                  <c:v>414.519074413223</c:v>
                </c:pt>
                <c:pt idx="23">
                  <c:v>408.524918161529</c:v>
                </c:pt>
                <c:pt idx="24">
                  <c:v>402.325917452765</c:v>
                </c:pt>
                <c:pt idx="25">
                  <c:v>395.929693836628</c:v>
                </c:pt>
                <c:pt idx="26">
                  <c:v>389.3441086111</c:v>
                </c:pt>
                <c:pt idx="27">
                  <c:v>382.577252908912</c:v>
                </c:pt>
                <c:pt idx="28">
                  <c:v>375.637437508345</c:v>
                </c:pt>
                <c:pt idx="29">
                  <c:v>368.533182382379</c:v>
                </c:pt>
                <c:pt idx="30">
                  <c:v>361.273206000469</c:v>
                </c:pt>
                <c:pt idx="31">
                  <c:v>353.866414397457</c:v>
                </c:pt>
                <c:pt idx="32">
                  <c:v>346.321890024663</c:v>
                </c:pt>
                <c:pt idx="33">
                  <c:v>338.648880397886</c:v>
                </c:pt>
                <c:pt idx="34">
                  <c:v>330.856786557677</c:v>
                </c:pt>
                <c:pt idx="35">
                  <c:v>322.955151357261</c:v>
                </c:pt>
                <c:pt idx="36">
                  <c:v>314.953647593471</c:v>
                </c:pt>
                <c:pt idx="37">
                  <c:v>306.862065996491</c:v>
                </c:pt>
                <c:pt idx="38">
                  <c:v>298.690303093762</c:v>
                </c:pt>
                <c:pt idx="39">
                  <c:v>290.448348964306</c:v>
                </c:pt>
                <c:pt idx="40">
                  <c:v>282.14627489856</c:v>
                </c:pt>
                <c:pt idx="41">
                  <c:v>273.794220980171</c:v>
                </c:pt>
                <c:pt idx="42">
                  <c:v>265.402383605</c:v>
                </c:pt>
                <c:pt idx="43">
                  <c:v>256.981002953326</c:v>
                </c:pt>
                <c:pt idx="44">
                  <c:v>248.540350430749</c:v>
                </c:pt>
                <c:pt idx="45">
                  <c:v>240.090716093474</c:v>
                </c:pt>
                <c:pt idx="46">
                  <c:v>231.642396073244</c:v>
                </c:pt>
                <c:pt idx="47">
                  <c:v>223.205680017398</c:v>
                </c:pt>
                <c:pt idx="48">
                  <c:v>214.790838559055</c:v>
                </c:pt>
                <c:pt idx="49">
                  <c:v>206.408110832333</c:v>
                </c:pt>
                <c:pt idx="50">
                  <c:v>198.067692047455</c:v>
                </c:pt>
                <c:pt idx="51">
                  <c:v>189.779721139985</c:v>
                </c:pt>
                <c:pt idx="52">
                  <c:v>181.554268508568</c:v>
                </c:pt>
                <c:pt idx="53">
                  <c:v>173.401323854773</c:v>
                </c:pt>
                <c:pt idx="54">
                  <c:v>165.3307841387</c:v>
                </c:pt>
                <c:pt idx="55">
                  <c:v>157.352441663167</c:v>
                </c:pt>
                <c:pt idx="56">
                  <c:v>149.475972299183</c:v>
                </c:pt>
                <c:pt idx="57">
                  <c:v>141.710923864434</c:v>
                </c:pt>
                <c:pt idx="58">
                  <c:v>134.066704666064</c:v>
                </c:pt>
                <c:pt idx="59">
                  <c:v>126.552572218122</c:v>
                </c:pt>
                <c:pt idx="60">
                  <c:v>119.177622142861</c:v>
                </c:pt>
                <c:pt idx="61">
                  <c:v>111.950777263771</c:v>
                </c:pt>
                <c:pt idx="62">
                  <c:v>104.880776896442</c:v>
                </c:pt>
                <c:pt idx="63">
                  <c:v>97.9761663411223</c:v>
                </c:pt>
                <c:pt idx="64">
                  <c:v>91.2452865772656</c:v>
                </c:pt>
                <c:pt idx="65">
                  <c:v>84.6962641564335</c:v>
                </c:pt>
                <c:pt idx="66">
                  <c:v>78.3370012832435</c:v>
                </c:pt>
                <c:pt idx="67">
                  <c:v>72.1751660651552</c:v>
                </c:pt>
                <c:pt idx="68">
                  <c:v>66.2181828984448</c:v>
                </c:pt>
                <c:pt idx="69">
                  <c:v>60.473222937605</c:v>
                </c:pt>
                <c:pt idx="70">
                  <c:v>54.9471945641343</c:v>
                </c:pt>
                <c:pt idx="71">
                  <c:v>49.6467337214394</c:v>
                </c:pt>
                <c:pt idx="72">
                  <c:v>44.5781939027923</c:v>
                </c:pt>
                <c:pt idx="73">
                  <c:v>39.7476354458762</c:v>
                </c:pt>
                <c:pt idx="74">
                  <c:v>35.1608135584225</c:v>
                </c:pt>
                <c:pt idx="75">
                  <c:v>30.8231640904224</c:v>
                </c:pt>
                <c:pt idx="76">
                  <c:v>26.7397853097159</c:v>
                </c:pt>
                <c:pt idx="77">
                  <c:v>22.9154124609682</c:v>
                </c:pt>
                <c:pt idx="78">
                  <c:v>19.3543788522567</c:v>
                </c:pt>
                <c:pt idx="79">
                  <c:v>16.0605505394631</c:v>
                </c:pt>
                <c:pt idx="80">
                  <c:v>13.0372057595001</c:v>
                </c:pt>
                <c:pt idx="81">
                  <c:v>10.286788110617</c:v>
                </c:pt>
                <c:pt idx="82">
                  <c:v>7.81033432675884</c:v>
                </c:pt>
                <c:pt idx="83">
                  <c:v>5.60590368319346</c:v>
                </c:pt>
                <c:pt idx="84">
                  <c:v>3.66294870751838</c:v>
                </c:pt>
                <c:pt idx="85">
                  <c:v>1.92676332206793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0.0011070078888641</c:v>
                </c:pt>
                <c:pt idx="183">
                  <c:v>0.00110734619436017</c:v>
                </c:pt>
                <c:pt idx="184">
                  <c:v>0.00110836194966195</c:v>
                </c:pt>
                <c:pt idx="185">
                  <c:v>0.00111005763526099</c:v>
                </c:pt>
                <c:pt idx="186">
                  <c:v>0.00111243743324209</c:v>
                </c:pt>
                <c:pt idx="187">
                  <c:v>0.00111550717935111</c:v>
                </c:pt>
                <c:pt idx="188">
                  <c:v>0.00111927448282542</c:v>
                </c:pt>
                <c:pt idx="189">
                  <c:v>0.00112374870242787</c:v>
                </c:pt>
                <c:pt idx="190">
                  <c:v>0.00112894099437894</c:v>
                </c:pt>
                <c:pt idx="191">
                  <c:v>0.00113486443218729</c:v>
                </c:pt>
                <c:pt idx="192">
                  <c:v>0.00114153400664973</c:v>
                </c:pt>
                <c:pt idx="193">
                  <c:v>0.00114896673369868</c:v>
                </c:pt>
                <c:pt idx="194">
                  <c:v>0.00115718178621577</c:v>
                </c:pt>
                <c:pt idx="195">
                  <c:v>0.00116620052998093</c:v>
                </c:pt>
                <c:pt idx="196">
                  <c:v>0.00117604670341823</c:v>
                </c:pt>
                <c:pt idx="197">
                  <c:v>0.00118674652544325</c:v>
                </c:pt>
                <c:pt idx="198">
                  <c:v>0.00119832886322589</c:v>
                </c:pt>
                <c:pt idx="199">
                  <c:v>0.00121082539995301</c:v>
                </c:pt>
                <c:pt idx="200">
                  <c:v>0.00122427077862507</c:v>
                </c:pt>
                <c:pt idx="201">
                  <c:v>0.00123870292559851</c:v>
                </c:pt>
                <c:pt idx="202">
                  <c:v>0.00125416315843322</c:v>
                </c:pt>
                <c:pt idx="203">
                  <c:v>0.00127069655736708</c:v>
                </c:pt>
                <c:pt idx="204">
                  <c:v>0.00128835218101093</c:v>
                </c:pt>
                <c:pt idx="205">
                  <c:v>0.0013071834378231</c:v>
                </c:pt>
                <c:pt idx="206">
                  <c:v>0.00132724845758405</c:v>
                </c:pt>
                <c:pt idx="207">
                  <c:v>0.00134861046287088</c:v>
                </c:pt>
                <c:pt idx="208">
                  <c:v>0.00137133823639639</c:v>
                </c:pt>
                <c:pt idx="209">
                  <c:v>0.00139550668421243</c:v>
                </c:pt>
                <c:pt idx="210">
                  <c:v>0.00142119729106586</c:v>
                </c:pt>
                <c:pt idx="211">
                  <c:v>0.00144849885136465</c:v>
                </c:pt>
                <c:pt idx="212">
                  <c:v>0.0014775081522118</c:v>
                </c:pt>
                <c:pt idx="213">
                  <c:v>0.00150833076428668</c:v>
                </c:pt>
                <c:pt idx="214">
                  <c:v>0.00154108194057389</c:v>
                </c:pt>
                <c:pt idx="215">
                  <c:v>0.0015758876588887</c:v>
                </c:pt>
                <c:pt idx="216">
                  <c:v>0.00161288572431768</c:v>
                </c:pt>
                <c:pt idx="217">
                  <c:v>0.00165222705140525</c:v>
                </c:pt>
                <c:pt idx="218">
                  <c:v>0.00169407720996719</c:v>
                </c:pt>
                <c:pt idx="219">
                  <c:v>0.00173861801883643</c:v>
                </c:pt>
                <c:pt idx="220">
                  <c:v>0.00178604940323602</c:v>
                </c:pt>
                <c:pt idx="221">
                  <c:v>0.00183659165957568</c:v>
                </c:pt>
                <c:pt idx="222">
                  <c:v>0.00189048781611292</c:v>
                </c:pt>
                <c:pt idx="223">
                  <c:v>0.00194800650888524</c:v>
                </c:pt>
                <c:pt idx="224">
                  <c:v>0.00200944526506613</c:v>
                </c:pt>
                <c:pt idx="225">
                  <c:v>0.00207513414581256</c:v>
                </c:pt>
                <c:pt idx="226">
                  <c:v>0.00214544016801081</c:v>
                </c:pt>
                <c:pt idx="227">
                  <c:v>0.00222077226525961</c:v>
                </c:pt>
                <c:pt idx="228">
                  <c:v>0.00230158714758202</c:v>
                </c:pt>
                <c:pt idx="229">
                  <c:v>0.00238839610779847</c:v>
                </c:pt>
                <c:pt idx="230">
                  <c:v>0.00248177300223871</c:v>
                </c:pt>
                <c:pt idx="231">
                  <c:v>0.00258236356157242</c:v>
                </c:pt>
                <c:pt idx="232">
                  <c:v>0.00269089658297888</c:v>
                </c:pt>
                <c:pt idx="233">
                  <c:v>0.00280819689580814</c:v>
                </c:pt>
                <c:pt idx="234">
                  <c:v>0.00293520105937786</c:v>
                </c:pt>
                <c:pt idx="235">
                  <c:v>0.00307297594868543</c:v>
                </c:pt>
                <c:pt idx="236">
                  <c:v>0.00322274113874722</c:v>
                </c:pt>
                <c:pt idx="237">
                  <c:v>0.00338589593836167</c:v>
                </c:pt>
                <c:pt idx="238">
                  <c:v>0.00356405222366908</c:v>
                </c:pt>
                <c:pt idx="239">
                  <c:v>0.00375907435369448</c:v>
                </c:pt>
                <c:pt idx="240">
                  <c:v>0.00397312832482288</c:v>
                </c:pt>
                <c:pt idx="241">
                  <c:v>0.00420874247693569</c:v>
                </c:pt>
                <c:pt idx="242">
                  <c:v>0.00446888289076765</c:v>
                </c:pt>
                <c:pt idx="243">
                  <c:v>0.0047570479581454</c:v>
                </c:pt>
                <c:pt idx="244">
                  <c:v>0.0050773877331755</c:v>
                </c:pt>
                <c:pt idx="245">
                  <c:v>0.0054348558413821</c:v>
                </c:pt>
                <c:pt idx="246">
                  <c:v>0.00583540459972649</c:v>
                </c:pt>
                <c:pt idx="247">
                  <c:v>0.00628623815855962</c:v>
                </c:pt>
                <c:pt idx="248">
                  <c:v>0.00679614404867745</c:v>
                </c:pt>
                <c:pt idx="249">
                  <c:v>0.00737593282747938</c:v>
                </c:pt>
                <c:pt idx="250">
                  <c:v>0.00803902786077278</c:v>
                </c:pt>
                <c:pt idx="251">
                  <c:v>0.00880226782769898</c:v>
                </c:pt>
                <c:pt idx="252">
                  <c:v>0.00968701451784991</c:v>
                </c:pt>
                <c:pt idx="253">
                  <c:v>0.0107207083031872</c:v>
                </c:pt>
                <c:pt idx="254">
                  <c:v>0.0119390923480892</c:v>
                </c:pt>
                <c:pt idx="255">
                  <c:v>0.0133894599083264</c:v>
                </c:pt>
                <c:pt idx="256">
                  <c:v>0.01513550789811</c:v>
                </c:pt>
                <c:pt idx="257">
                  <c:v>0.0172647882627683</c:v>
                </c:pt>
                <c:pt idx="258">
                  <c:v>0.0199005071138876</c:v>
                </c:pt>
                <c:pt idx="259">
                  <c:v>0.0232208979315901</c:v>
                </c:pt>
                <c:pt idx="260">
                  <c:v>0.0274924308768265</c:v>
                </c:pt>
                <c:pt idx="261">
                  <c:v>0.033129793030504</c:v>
                </c:pt>
                <c:pt idx="262">
                  <c:v>0.0408114945066144</c:v>
                </c:pt>
                <c:pt idx="263">
                  <c:v>0.0517221063076905</c:v>
                </c:pt>
                <c:pt idx="264">
                  <c:v>0.0681202878588735</c:v>
                </c:pt>
                <c:pt idx="265">
                  <c:v>0.0949055708194083</c:v>
                </c:pt>
                <c:pt idx="266">
                  <c:v>0.145244228855303</c:v>
                </c:pt>
                <c:pt idx="267">
                  <c:v>0.276118110470769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'Plotting Sheet'!$K$5</c:f>
              <c:strCache>
                <c:ptCount val="1"/>
                <c:pt idx="0">
                  <c:v>recoil</c:v>
                </c:pt>
              </c:strCache>
            </c:strRef>
          </c:tx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'Plotting Sheet'!$I$6:$I$368</c:f>
              <c:numCache>
                <c:formatCode>General</c:formatCode>
                <c:ptCount val="363"/>
                <c:pt idx="0">
                  <c:v>0</c:v>
                </c:pt>
                <c:pt idx="1">
                  <c:v>2.008</c:v>
                </c:pt>
                <c:pt idx="2">
                  <c:v>4.015</c:v>
                </c:pt>
                <c:pt idx="3">
                  <c:v>6.023</c:v>
                </c:pt>
                <c:pt idx="4">
                  <c:v>8.03</c:v>
                </c:pt>
                <c:pt idx="5">
                  <c:v>10.037</c:v>
                </c:pt>
                <c:pt idx="6">
                  <c:v>12.045</c:v>
                </c:pt>
                <c:pt idx="7">
                  <c:v>14.052</c:v>
                </c:pt>
                <c:pt idx="8">
                  <c:v>16.06</c:v>
                </c:pt>
                <c:pt idx="9">
                  <c:v>18.067</c:v>
                </c:pt>
                <c:pt idx="10">
                  <c:v>20.075</c:v>
                </c:pt>
                <c:pt idx="11">
                  <c:v>22.082</c:v>
                </c:pt>
                <c:pt idx="12">
                  <c:v>24.089</c:v>
                </c:pt>
                <c:pt idx="13">
                  <c:v>26.096</c:v>
                </c:pt>
                <c:pt idx="14">
                  <c:v>28.104</c:v>
                </c:pt>
                <c:pt idx="15">
                  <c:v>30.111</c:v>
                </c:pt>
                <c:pt idx="16">
                  <c:v>32.118</c:v>
                </c:pt>
                <c:pt idx="17">
                  <c:v>34.125</c:v>
                </c:pt>
                <c:pt idx="18">
                  <c:v>36.132</c:v>
                </c:pt>
                <c:pt idx="19">
                  <c:v>38.139</c:v>
                </c:pt>
                <c:pt idx="20">
                  <c:v>40.146</c:v>
                </c:pt>
                <c:pt idx="21">
                  <c:v>42.153</c:v>
                </c:pt>
                <c:pt idx="22">
                  <c:v>44.159</c:v>
                </c:pt>
                <c:pt idx="23">
                  <c:v>46.166</c:v>
                </c:pt>
                <c:pt idx="24">
                  <c:v>48.173</c:v>
                </c:pt>
                <c:pt idx="25">
                  <c:v>50.179</c:v>
                </c:pt>
                <c:pt idx="26">
                  <c:v>52.186</c:v>
                </c:pt>
                <c:pt idx="27">
                  <c:v>54.192</c:v>
                </c:pt>
                <c:pt idx="28">
                  <c:v>56.199</c:v>
                </c:pt>
                <c:pt idx="29">
                  <c:v>58.205</c:v>
                </c:pt>
                <c:pt idx="30">
                  <c:v>60.212</c:v>
                </c:pt>
                <c:pt idx="31">
                  <c:v>62.218</c:v>
                </c:pt>
                <c:pt idx="32">
                  <c:v>64.224</c:v>
                </c:pt>
                <c:pt idx="33">
                  <c:v>66.23</c:v>
                </c:pt>
                <c:pt idx="34">
                  <c:v>68.236</c:v>
                </c:pt>
                <c:pt idx="35">
                  <c:v>70.242</c:v>
                </c:pt>
                <c:pt idx="36">
                  <c:v>72.248</c:v>
                </c:pt>
                <c:pt idx="37">
                  <c:v>74.254</c:v>
                </c:pt>
                <c:pt idx="38">
                  <c:v>76.26</c:v>
                </c:pt>
                <c:pt idx="39">
                  <c:v>78.266</c:v>
                </c:pt>
                <c:pt idx="40">
                  <c:v>80.272</c:v>
                </c:pt>
                <c:pt idx="41">
                  <c:v>82.278</c:v>
                </c:pt>
                <c:pt idx="42">
                  <c:v>84.284</c:v>
                </c:pt>
                <c:pt idx="43">
                  <c:v>86.29</c:v>
                </c:pt>
                <c:pt idx="44">
                  <c:v>88.296</c:v>
                </c:pt>
                <c:pt idx="45">
                  <c:v>90.302</c:v>
                </c:pt>
                <c:pt idx="46">
                  <c:v>92.308</c:v>
                </c:pt>
                <c:pt idx="47">
                  <c:v>94.315</c:v>
                </c:pt>
                <c:pt idx="48">
                  <c:v>96.321</c:v>
                </c:pt>
                <c:pt idx="49">
                  <c:v>98.327</c:v>
                </c:pt>
                <c:pt idx="50">
                  <c:v>100.334</c:v>
                </c:pt>
                <c:pt idx="51">
                  <c:v>102.341</c:v>
                </c:pt>
                <c:pt idx="52">
                  <c:v>104.347</c:v>
                </c:pt>
                <c:pt idx="53">
                  <c:v>106.354</c:v>
                </c:pt>
                <c:pt idx="54">
                  <c:v>108.362</c:v>
                </c:pt>
                <c:pt idx="55">
                  <c:v>110.369</c:v>
                </c:pt>
                <c:pt idx="56">
                  <c:v>112.377</c:v>
                </c:pt>
                <c:pt idx="57">
                  <c:v>114.386</c:v>
                </c:pt>
                <c:pt idx="58">
                  <c:v>116.394</c:v>
                </c:pt>
                <c:pt idx="59">
                  <c:v>118.404</c:v>
                </c:pt>
                <c:pt idx="60">
                  <c:v>120.413</c:v>
                </c:pt>
                <c:pt idx="61">
                  <c:v>122.424</c:v>
                </c:pt>
                <c:pt idx="62">
                  <c:v>124.435</c:v>
                </c:pt>
                <c:pt idx="63">
                  <c:v>126.447</c:v>
                </c:pt>
                <c:pt idx="64">
                  <c:v>128.46</c:v>
                </c:pt>
                <c:pt idx="65">
                  <c:v>130.474</c:v>
                </c:pt>
                <c:pt idx="66">
                  <c:v>132.489</c:v>
                </c:pt>
                <c:pt idx="67">
                  <c:v>134.505</c:v>
                </c:pt>
                <c:pt idx="68">
                  <c:v>136.523</c:v>
                </c:pt>
                <c:pt idx="69">
                  <c:v>138.543</c:v>
                </c:pt>
                <c:pt idx="70">
                  <c:v>140.565</c:v>
                </c:pt>
                <c:pt idx="71">
                  <c:v>142.59</c:v>
                </c:pt>
                <c:pt idx="72">
                  <c:v>144.618</c:v>
                </c:pt>
                <c:pt idx="73">
                  <c:v>146.65</c:v>
                </c:pt>
                <c:pt idx="74">
                  <c:v>148.686</c:v>
                </c:pt>
                <c:pt idx="75">
                  <c:v>150.727</c:v>
                </c:pt>
                <c:pt idx="76">
                  <c:v>152.775</c:v>
                </c:pt>
                <c:pt idx="77">
                  <c:v>154.832</c:v>
                </c:pt>
                <c:pt idx="78">
                  <c:v>156.899</c:v>
                </c:pt>
                <c:pt idx="79">
                  <c:v>158.981</c:v>
                </c:pt>
                <c:pt idx="80">
                  <c:v>161.083</c:v>
                </c:pt>
                <c:pt idx="81">
                  <c:v>163.213</c:v>
                </c:pt>
                <c:pt idx="82">
                  <c:v>165.385</c:v>
                </c:pt>
                <c:pt idx="83">
                  <c:v>167.628</c:v>
                </c:pt>
                <c:pt idx="84">
                  <c:v>170.007</c:v>
                </c:pt>
                <c:pt idx="85">
                  <c:v>172.758</c:v>
                </c:pt>
                <c:pt idx="86">
                  <c:v>172.758</c:v>
                </c:pt>
                <c:pt idx="87">
                  <c:v>172.758</c:v>
                </c:pt>
                <c:pt idx="88">
                  <c:v>172.758</c:v>
                </c:pt>
                <c:pt idx="89">
                  <c:v>172.758</c:v>
                </c:pt>
                <c:pt idx="90">
                  <c:v>172.758</c:v>
                </c:pt>
                <c:pt idx="91">
                  <c:v>172.758</c:v>
                </c:pt>
                <c:pt idx="92">
                  <c:v>172.758</c:v>
                </c:pt>
                <c:pt idx="93">
                  <c:v>172.758</c:v>
                </c:pt>
                <c:pt idx="94">
                  <c:v>172.758</c:v>
                </c:pt>
                <c:pt idx="95">
                  <c:v>172.758</c:v>
                </c:pt>
                <c:pt idx="96">
                  <c:v>172.758</c:v>
                </c:pt>
                <c:pt idx="97">
                  <c:v>172.758</c:v>
                </c:pt>
                <c:pt idx="98">
                  <c:v>172.758</c:v>
                </c:pt>
                <c:pt idx="99">
                  <c:v>172.758</c:v>
                </c:pt>
                <c:pt idx="100">
                  <c:v>172.758</c:v>
                </c:pt>
                <c:pt idx="101">
                  <c:v>172.758</c:v>
                </c:pt>
                <c:pt idx="102">
                  <c:v>172.758</c:v>
                </c:pt>
                <c:pt idx="103">
                  <c:v>172.758</c:v>
                </c:pt>
                <c:pt idx="104">
                  <c:v>172.758</c:v>
                </c:pt>
                <c:pt idx="105">
                  <c:v>172.758</c:v>
                </c:pt>
                <c:pt idx="106">
                  <c:v>172.758</c:v>
                </c:pt>
                <c:pt idx="107">
                  <c:v>172.758</c:v>
                </c:pt>
                <c:pt idx="108">
                  <c:v>172.758</c:v>
                </c:pt>
                <c:pt idx="109">
                  <c:v>172.758</c:v>
                </c:pt>
                <c:pt idx="110">
                  <c:v>172.758</c:v>
                </c:pt>
                <c:pt idx="111">
                  <c:v>172.758</c:v>
                </c:pt>
                <c:pt idx="112">
                  <c:v>172.758</c:v>
                </c:pt>
                <c:pt idx="113">
                  <c:v>172.758</c:v>
                </c:pt>
                <c:pt idx="114">
                  <c:v>172.758</c:v>
                </c:pt>
                <c:pt idx="115">
                  <c:v>172.758</c:v>
                </c:pt>
                <c:pt idx="116">
                  <c:v>172.758</c:v>
                </c:pt>
                <c:pt idx="117">
                  <c:v>172.758</c:v>
                </c:pt>
                <c:pt idx="118">
                  <c:v>172.758</c:v>
                </c:pt>
                <c:pt idx="119">
                  <c:v>172.758</c:v>
                </c:pt>
                <c:pt idx="120">
                  <c:v>172.758</c:v>
                </c:pt>
                <c:pt idx="121">
                  <c:v>172.758</c:v>
                </c:pt>
                <c:pt idx="122">
                  <c:v>172.758</c:v>
                </c:pt>
                <c:pt idx="123">
                  <c:v>172.758</c:v>
                </c:pt>
                <c:pt idx="124">
                  <c:v>172.758</c:v>
                </c:pt>
                <c:pt idx="125">
                  <c:v>172.758</c:v>
                </c:pt>
                <c:pt idx="126">
                  <c:v>172.758</c:v>
                </c:pt>
                <c:pt idx="127">
                  <c:v>172.758</c:v>
                </c:pt>
                <c:pt idx="128">
                  <c:v>172.758</c:v>
                </c:pt>
                <c:pt idx="129">
                  <c:v>172.758</c:v>
                </c:pt>
                <c:pt idx="130">
                  <c:v>172.758</c:v>
                </c:pt>
                <c:pt idx="131">
                  <c:v>172.758</c:v>
                </c:pt>
                <c:pt idx="132">
                  <c:v>172.758</c:v>
                </c:pt>
                <c:pt idx="133">
                  <c:v>172.758</c:v>
                </c:pt>
                <c:pt idx="134">
                  <c:v>172.758</c:v>
                </c:pt>
                <c:pt idx="135">
                  <c:v>172.758</c:v>
                </c:pt>
                <c:pt idx="136">
                  <c:v>172.758</c:v>
                </c:pt>
                <c:pt idx="137">
                  <c:v>172.758</c:v>
                </c:pt>
                <c:pt idx="138">
                  <c:v>172.758</c:v>
                </c:pt>
                <c:pt idx="139">
                  <c:v>172.758</c:v>
                </c:pt>
                <c:pt idx="140">
                  <c:v>172.758</c:v>
                </c:pt>
                <c:pt idx="141">
                  <c:v>172.758</c:v>
                </c:pt>
                <c:pt idx="142">
                  <c:v>172.758</c:v>
                </c:pt>
                <c:pt idx="143">
                  <c:v>172.758</c:v>
                </c:pt>
                <c:pt idx="144">
                  <c:v>172.758</c:v>
                </c:pt>
                <c:pt idx="145">
                  <c:v>172.758</c:v>
                </c:pt>
                <c:pt idx="146">
                  <c:v>172.758</c:v>
                </c:pt>
                <c:pt idx="147">
                  <c:v>172.758</c:v>
                </c:pt>
                <c:pt idx="148">
                  <c:v>172.758</c:v>
                </c:pt>
                <c:pt idx="149">
                  <c:v>172.758</c:v>
                </c:pt>
                <c:pt idx="150">
                  <c:v>172.758</c:v>
                </c:pt>
                <c:pt idx="151">
                  <c:v>172.758</c:v>
                </c:pt>
                <c:pt idx="152">
                  <c:v>172.758</c:v>
                </c:pt>
                <c:pt idx="153">
                  <c:v>172.758</c:v>
                </c:pt>
                <c:pt idx="154">
                  <c:v>172.758</c:v>
                </c:pt>
                <c:pt idx="155">
                  <c:v>172.758</c:v>
                </c:pt>
                <c:pt idx="156">
                  <c:v>172.758</c:v>
                </c:pt>
                <c:pt idx="157">
                  <c:v>172.758</c:v>
                </c:pt>
                <c:pt idx="158">
                  <c:v>172.758</c:v>
                </c:pt>
                <c:pt idx="159">
                  <c:v>172.758</c:v>
                </c:pt>
                <c:pt idx="160">
                  <c:v>172.758</c:v>
                </c:pt>
                <c:pt idx="161">
                  <c:v>172.758</c:v>
                </c:pt>
                <c:pt idx="162">
                  <c:v>172.758</c:v>
                </c:pt>
                <c:pt idx="163">
                  <c:v>172.758</c:v>
                </c:pt>
                <c:pt idx="164">
                  <c:v>172.758</c:v>
                </c:pt>
                <c:pt idx="165">
                  <c:v>172.758</c:v>
                </c:pt>
                <c:pt idx="166">
                  <c:v>172.758</c:v>
                </c:pt>
                <c:pt idx="167">
                  <c:v>172.758</c:v>
                </c:pt>
                <c:pt idx="168">
                  <c:v>172.758</c:v>
                </c:pt>
                <c:pt idx="169">
                  <c:v>172.758</c:v>
                </c:pt>
                <c:pt idx="170">
                  <c:v>172.758</c:v>
                </c:pt>
                <c:pt idx="171">
                  <c:v>172.758</c:v>
                </c:pt>
                <c:pt idx="172">
                  <c:v>172.758</c:v>
                </c:pt>
                <c:pt idx="173">
                  <c:v>172.758</c:v>
                </c:pt>
                <c:pt idx="174">
                  <c:v>172.758</c:v>
                </c:pt>
                <c:pt idx="175">
                  <c:v>172.758</c:v>
                </c:pt>
                <c:pt idx="176">
                  <c:v>172.758</c:v>
                </c:pt>
                <c:pt idx="177">
                  <c:v>172.758</c:v>
                </c:pt>
                <c:pt idx="178">
                  <c:v>172.758</c:v>
                </c:pt>
                <c:pt idx="179">
                  <c:v>172.758</c:v>
                </c:pt>
                <c:pt idx="180">
                  <c:v>172.758</c:v>
                </c:pt>
                <c:pt idx="181">
                  <c:v>180</c:v>
                </c:pt>
                <c:pt idx="182">
                  <c:v>180</c:v>
                </c:pt>
                <c:pt idx="183">
                  <c:v>180</c:v>
                </c:pt>
                <c:pt idx="184">
                  <c:v>180</c:v>
                </c:pt>
                <c:pt idx="185">
                  <c:v>180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180</c:v>
                </c:pt>
                <c:pt idx="190">
                  <c:v>180</c:v>
                </c:pt>
                <c:pt idx="191">
                  <c:v>180</c:v>
                </c:pt>
                <c:pt idx="192">
                  <c:v>180</c:v>
                </c:pt>
                <c:pt idx="193">
                  <c:v>180</c:v>
                </c:pt>
                <c:pt idx="194">
                  <c:v>180</c:v>
                </c:pt>
                <c:pt idx="195">
                  <c:v>180</c:v>
                </c:pt>
                <c:pt idx="196">
                  <c:v>180</c:v>
                </c:pt>
                <c:pt idx="197">
                  <c:v>180</c:v>
                </c:pt>
                <c:pt idx="198">
                  <c:v>180</c:v>
                </c:pt>
                <c:pt idx="199">
                  <c:v>180</c:v>
                </c:pt>
                <c:pt idx="200">
                  <c:v>180</c:v>
                </c:pt>
                <c:pt idx="201">
                  <c:v>180</c:v>
                </c:pt>
                <c:pt idx="202">
                  <c:v>180</c:v>
                </c:pt>
                <c:pt idx="203">
                  <c:v>180</c:v>
                </c:pt>
                <c:pt idx="204">
                  <c:v>180</c:v>
                </c:pt>
                <c:pt idx="205">
                  <c:v>180</c:v>
                </c:pt>
                <c:pt idx="206">
                  <c:v>180</c:v>
                </c:pt>
                <c:pt idx="207">
                  <c:v>179.919</c:v>
                </c:pt>
                <c:pt idx="208">
                  <c:v>179.915</c:v>
                </c:pt>
                <c:pt idx="209">
                  <c:v>179.911</c:v>
                </c:pt>
                <c:pt idx="210">
                  <c:v>179.908</c:v>
                </c:pt>
                <c:pt idx="211">
                  <c:v>179.904</c:v>
                </c:pt>
                <c:pt idx="212">
                  <c:v>179.9</c:v>
                </c:pt>
                <c:pt idx="213">
                  <c:v>179.896</c:v>
                </c:pt>
                <c:pt idx="214">
                  <c:v>179.891</c:v>
                </c:pt>
                <c:pt idx="215">
                  <c:v>179.887</c:v>
                </c:pt>
                <c:pt idx="216">
                  <c:v>179.883</c:v>
                </c:pt>
                <c:pt idx="217">
                  <c:v>179.878</c:v>
                </c:pt>
                <c:pt idx="218">
                  <c:v>179.874</c:v>
                </c:pt>
                <c:pt idx="219">
                  <c:v>179.869</c:v>
                </c:pt>
                <c:pt idx="220">
                  <c:v>179.864</c:v>
                </c:pt>
                <c:pt idx="221">
                  <c:v>179.859</c:v>
                </c:pt>
                <c:pt idx="222">
                  <c:v>179.854</c:v>
                </c:pt>
                <c:pt idx="223">
                  <c:v>179.849</c:v>
                </c:pt>
                <c:pt idx="224">
                  <c:v>179.843</c:v>
                </c:pt>
                <c:pt idx="225">
                  <c:v>179.838</c:v>
                </c:pt>
                <c:pt idx="226">
                  <c:v>179.832</c:v>
                </c:pt>
                <c:pt idx="227">
                  <c:v>179.826</c:v>
                </c:pt>
                <c:pt idx="228">
                  <c:v>179.82</c:v>
                </c:pt>
                <c:pt idx="229">
                  <c:v>179.813</c:v>
                </c:pt>
                <c:pt idx="230">
                  <c:v>179.807</c:v>
                </c:pt>
                <c:pt idx="231">
                  <c:v>179.8</c:v>
                </c:pt>
                <c:pt idx="232">
                  <c:v>179.792</c:v>
                </c:pt>
                <c:pt idx="233">
                  <c:v>179.785</c:v>
                </c:pt>
                <c:pt idx="234">
                  <c:v>179.777</c:v>
                </c:pt>
                <c:pt idx="235">
                  <c:v>179.769</c:v>
                </c:pt>
                <c:pt idx="236">
                  <c:v>179.76</c:v>
                </c:pt>
                <c:pt idx="237">
                  <c:v>179.751</c:v>
                </c:pt>
                <c:pt idx="238">
                  <c:v>179.741</c:v>
                </c:pt>
                <c:pt idx="239">
                  <c:v>179.731</c:v>
                </c:pt>
                <c:pt idx="240">
                  <c:v>179.721</c:v>
                </c:pt>
                <c:pt idx="241">
                  <c:v>179.71</c:v>
                </c:pt>
                <c:pt idx="242">
                  <c:v>179.698</c:v>
                </c:pt>
                <c:pt idx="243">
                  <c:v>179.685</c:v>
                </c:pt>
                <c:pt idx="244">
                  <c:v>179.671</c:v>
                </c:pt>
                <c:pt idx="245">
                  <c:v>179.657</c:v>
                </c:pt>
                <c:pt idx="246">
                  <c:v>179.641</c:v>
                </c:pt>
                <c:pt idx="247">
                  <c:v>179.625</c:v>
                </c:pt>
                <c:pt idx="248">
                  <c:v>179.607</c:v>
                </c:pt>
                <c:pt idx="249">
                  <c:v>179.587</c:v>
                </c:pt>
                <c:pt idx="250">
                  <c:v>179.566</c:v>
                </c:pt>
                <c:pt idx="251">
                  <c:v>179.542</c:v>
                </c:pt>
                <c:pt idx="252">
                  <c:v>179.517</c:v>
                </c:pt>
                <c:pt idx="253">
                  <c:v>179.489</c:v>
                </c:pt>
                <c:pt idx="254">
                  <c:v>179.457</c:v>
                </c:pt>
                <c:pt idx="255">
                  <c:v>179.422</c:v>
                </c:pt>
                <c:pt idx="256">
                  <c:v>179.382</c:v>
                </c:pt>
                <c:pt idx="257">
                  <c:v>179.337</c:v>
                </c:pt>
                <c:pt idx="258">
                  <c:v>179.285</c:v>
                </c:pt>
                <c:pt idx="259">
                  <c:v>179.224</c:v>
                </c:pt>
                <c:pt idx="260">
                  <c:v>179.153</c:v>
                </c:pt>
                <c:pt idx="261">
                  <c:v>179.067</c:v>
                </c:pt>
                <c:pt idx="262">
                  <c:v>178.961</c:v>
                </c:pt>
                <c:pt idx="263">
                  <c:v>178.827</c:v>
                </c:pt>
                <c:pt idx="264">
                  <c:v>178.65</c:v>
                </c:pt>
                <c:pt idx="265">
                  <c:v>178.403</c:v>
                </c:pt>
                <c:pt idx="266">
                  <c:v>178.02</c:v>
                </c:pt>
                <c:pt idx="267">
                  <c:v>177.265</c:v>
                </c:pt>
                <c:pt idx="268">
                  <c:v>177.265</c:v>
                </c:pt>
                <c:pt idx="269">
                  <c:v>177.265</c:v>
                </c:pt>
                <c:pt idx="270">
                  <c:v>177.265</c:v>
                </c:pt>
                <c:pt idx="271">
                  <c:v>177.265</c:v>
                </c:pt>
                <c:pt idx="272">
                  <c:v>177.265</c:v>
                </c:pt>
                <c:pt idx="273">
                  <c:v>177.265</c:v>
                </c:pt>
                <c:pt idx="274">
                  <c:v>177.265</c:v>
                </c:pt>
                <c:pt idx="275">
                  <c:v>177.265</c:v>
                </c:pt>
                <c:pt idx="276">
                  <c:v>177.265</c:v>
                </c:pt>
                <c:pt idx="277">
                  <c:v>177.265</c:v>
                </c:pt>
                <c:pt idx="278">
                  <c:v>177.265</c:v>
                </c:pt>
                <c:pt idx="279">
                  <c:v>177.265</c:v>
                </c:pt>
                <c:pt idx="280">
                  <c:v>177.265</c:v>
                </c:pt>
                <c:pt idx="281">
                  <c:v>177.265</c:v>
                </c:pt>
                <c:pt idx="282">
                  <c:v>177.265</c:v>
                </c:pt>
                <c:pt idx="283">
                  <c:v>177.265</c:v>
                </c:pt>
                <c:pt idx="284">
                  <c:v>177.265</c:v>
                </c:pt>
                <c:pt idx="285">
                  <c:v>177.265</c:v>
                </c:pt>
                <c:pt idx="286">
                  <c:v>177.265</c:v>
                </c:pt>
                <c:pt idx="287">
                  <c:v>177.265</c:v>
                </c:pt>
                <c:pt idx="288">
                  <c:v>177.265</c:v>
                </c:pt>
                <c:pt idx="289">
                  <c:v>177.265</c:v>
                </c:pt>
                <c:pt idx="290">
                  <c:v>177.265</c:v>
                </c:pt>
                <c:pt idx="291">
                  <c:v>177.265</c:v>
                </c:pt>
                <c:pt idx="292">
                  <c:v>177.265</c:v>
                </c:pt>
                <c:pt idx="293">
                  <c:v>177.265</c:v>
                </c:pt>
                <c:pt idx="294">
                  <c:v>177.265</c:v>
                </c:pt>
                <c:pt idx="295">
                  <c:v>177.265</c:v>
                </c:pt>
                <c:pt idx="296">
                  <c:v>177.265</c:v>
                </c:pt>
                <c:pt idx="297">
                  <c:v>177.265</c:v>
                </c:pt>
                <c:pt idx="298">
                  <c:v>177.265</c:v>
                </c:pt>
                <c:pt idx="299">
                  <c:v>177.265</c:v>
                </c:pt>
                <c:pt idx="300">
                  <c:v>177.265</c:v>
                </c:pt>
                <c:pt idx="301">
                  <c:v>177.265</c:v>
                </c:pt>
                <c:pt idx="302">
                  <c:v>177.265</c:v>
                </c:pt>
                <c:pt idx="303">
                  <c:v>177.265</c:v>
                </c:pt>
                <c:pt idx="304">
                  <c:v>177.265</c:v>
                </c:pt>
                <c:pt idx="305">
                  <c:v>177.265</c:v>
                </c:pt>
                <c:pt idx="306">
                  <c:v>177.265</c:v>
                </c:pt>
                <c:pt idx="307">
                  <c:v>177.265</c:v>
                </c:pt>
                <c:pt idx="308">
                  <c:v>177.265</c:v>
                </c:pt>
                <c:pt idx="309">
                  <c:v>177.265</c:v>
                </c:pt>
                <c:pt idx="310">
                  <c:v>177.265</c:v>
                </c:pt>
                <c:pt idx="311">
                  <c:v>177.265</c:v>
                </c:pt>
                <c:pt idx="312">
                  <c:v>177.265</c:v>
                </c:pt>
                <c:pt idx="313">
                  <c:v>177.265</c:v>
                </c:pt>
                <c:pt idx="314">
                  <c:v>177.265</c:v>
                </c:pt>
                <c:pt idx="315">
                  <c:v>177.265</c:v>
                </c:pt>
                <c:pt idx="316">
                  <c:v>177.265</c:v>
                </c:pt>
                <c:pt idx="317">
                  <c:v>177.265</c:v>
                </c:pt>
                <c:pt idx="318">
                  <c:v>177.265</c:v>
                </c:pt>
                <c:pt idx="319">
                  <c:v>177.265</c:v>
                </c:pt>
                <c:pt idx="320">
                  <c:v>177.265</c:v>
                </c:pt>
                <c:pt idx="321">
                  <c:v>177.265</c:v>
                </c:pt>
                <c:pt idx="322">
                  <c:v>177.265</c:v>
                </c:pt>
                <c:pt idx="323">
                  <c:v>177.265</c:v>
                </c:pt>
                <c:pt idx="324">
                  <c:v>177.265</c:v>
                </c:pt>
                <c:pt idx="325">
                  <c:v>177.265</c:v>
                </c:pt>
                <c:pt idx="326">
                  <c:v>177.265</c:v>
                </c:pt>
                <c:pt idx="327">
                  <c:v>177.265</c:v>
                </c:pt>
                <c:pt idx="328">
                  <c:v>177.265</c:v>
                </c:pt>
                <c:pt idx="329">
                  <c:v>177.265</c:v>
                </c:pt>
                <c:pt idx="330">
                  <c:v>177.265</c:v>
                </c:pt>
                <c:pt idx="331">
                  <c:v>177.265</c:v>
                </c:pt>
                <c:pt idx="332">
                  <c:v>177.265</c:v>
                </c:pt>
                <c:pt idx="333">
                  <c:v>177.265</c:v>
                </c:pt>
                <c:pt idx="334">
                  <c:v>177.265</c:v>
                </c:pt>
                <c:pt idx="335">
                  <c:v>177.265</c:v>
                </c:pt>
                <c:pt idx="336">
                  <c:v>177.265</c:v>
                </c:pt>
                <c:pt idx="337">
                  <c:v>177.265</c:v>
                </c:pt>
                <c:pt idx="338">
                  <c:v>177.265</c:v>
                </c:pt>
                <c:pt idx="339">
                  <c:v>177.265</c:v>
                </c:pt>
                <c:pt idx="340">
                  <c:v>177.265</c:v>
                </c:pt>
                <c:pt idx="341">
                  <c:v>177.265</c:v>
                </c:pt>
                <c:pt idx="342">
                  <c:v>177.265</c:v>
                </c:pt>
                <c:pt idx="343">
                  <c:v>177.265</c:v>
                </c:pt>
                <c:pt idx="344">
                  <c:v>177.265</c:v>
                </c:pt>
                <c:pt idx="345">
                  <c:v>177.265</c:v>
                </c:pt>
                <c:pt idx="346">
                  <c:v>177.265</c:v>
                </c:pt>
                <c:pt idx="347">
                  <c:v>177.265</c:v>
                </c:pt>
                <c:pt idx="348">
                  <c:v>177.265</c:v>
                </c:pt>
                <c:pt idx="349">
                  <c:v>177.265</c:v>
                </c:pt>
                <c:pt idx="350">
                  <c:v>177.265</c:v>
                </c:pt>
                <c:pt idx="351">
                  <c:v>177.265</c:v>
                </c:pt>
                <c:pt idx="352">
                  <c:v>177.265</c:v>
                </c:pt>
                <c:pt idx="353">
                  <c:v>177.265</c:v>
                </c:pt>
                <c:pt idx="354">
                  <c:v>177.265</c:v>
                </c:pt>
                <c:pt idx="355">
                  <c:v>177.265</c:v>
                </c:pt>
                <c:pt idx="356">
                  <c:v>177.265</c:v>
                </c:pt>
                <c:pt idx="357">
                  <c:v>177.265</c:v>
                </c:pt>
                <c:pt idx="358">
                  <c:v>177.265</c:v>
                </c:pt>
                <c:pt idx="359">
                  <c:v>177.265</c:v>
                </c:pt>
                <c:pt idx="360">
                  <c:v>177.265</c:v>
                </c:pt>
                <c:pt idx="361">
                  <c:v>177.265</c:v>
                </c:pt>
                <c:pt idx="362">
                  <c:v>177.265</c:v>
                </c:pt>
              </c:numCache>
            </c:numRef>
          </c:xVal>
          <c:yVal>
            <c:numRef>
              <c:f>'Plotting Sheet'!$K$6:$K$368</c:f>
              <c:numCache>
                <c:formatCode>General</c:formatCode>
                <c:ptCount val="363"/>
                <c:pt idx="0">
                  <c:v>132.472864602404</c:v>
                </c:pt>
                <c:pt idx="1">
                  <c:v>132.621003143405</c:v>
                </c:pt>
                <c:pt idx="2">
                  <c:v>133.065235856445</c:v>
                </c:pt>
                <c:pt idx="3">
                  <c:v>133.805014246363</c:v>
                </c:pt>
                <c:pt idx="4">
                  <c:v>134.83942493684</c:v>
                </c:pt>
                <c:pt idx="5">
                  <c:v>136.167190842506</c:v>
                </c:pt>
                <c:pt idx="6">
                  <c:v>137.786672807591</c:v>
                </c:pt>
                <c:pt idx="7">
                  <c:v>139.695871708585</c:v>
                </c:pt>
                <c:pt idx="8">
                  <c:v>141.892431017825</c:v>
                </c:pt>
                <c:pt idx="9">
                  <c:v>144.373639824386</c:v>
                </c:pt>
                <c:pt idx="10">
                  <c:v>147.136436307604</c:v>
                </c:pt>
                <c:pt idx="11">
                  <c:v>150.177411658474</c:v>
                </c:pt>
                <c:pt idx="12">
                  <c:v>153.492814442855</c:v>
                </c:pt>
                <c:pt idx="13">
                  <c:v>157.078555400469</c:v>
                </c:pt>
                <c:pt idx="14">
                  <c:v>160.930212672411</c:v>
                </c:pt>
                <c:pt idx="15">
                  <c:v>165.0430374498</c:v>
                </c:pt>
                <c:pt idx="16">
                  <c:v>169.411960035302</c:v>
                </c:pt>
                <c:pt idx="17">
                  <c:v>174.031596308822</c:v>
                </c:pt>
                <c:pt idx="18">
                  <c:v>178.896254587982</c:v>
                </c:pt>
                <c:pt idx="19">
                  <c:v>183.999942873695</c:v>
                </c:pt>
                <c:pt idx="20">
                  <c:v>189.336376470298</c:v>
                </c:pt>
                <c:pt idx="21">
                  <c:v>194.898985969495</c:v>
                </c:pt>
                <c:pt idx="22">
                  <c:v>200.680925586778</c:v>
                </c:pt>
                <c:pt idx="23">
                  <c:v>206.675081838471</c:v>
                </c:pt>
                <c:pt idx="24">
                  <c:v>212.874082547236</c:v>
                </c:pt>
                <c:pt idx="25">
                  <c:v>219.270306163372</c:v>
                </c:pt>
                <c:pt idx="26">
                  <c:v>225.8558913889</c:v>
                </c:pt>
                <c:pt idx="27">
                  <c:v>232.622747091088</c:v>
                </c:pt>
                <c:pt idx="28">
                  <c:v>239.562562491656</c:v>
                </c:pt>
                <c:pt idx="29">
                  <c:v>246.666817617621</c:v>
                </c:pt>
                <c:pt idx="30">
                  <c:v>253.926793999531</c:v>
                </c:pt>
                <c:pt idx="31">
                  <c:v>261.333585602543</c:v>
                </c:pt>
                <c:pt idx="32">
                  <c:v>268.878109975337</c:v>
                </c:pt>
                <c:pt idx="33">
                  <c:v>276.551119602114</c:v>
                </c:pt>
                <c:pt idx="34">
                  <c:v>284.343213442324</c:v>
                </c:pt>
                <c:pt idx="35">
                  <c:v>292.244848642739</c:v>
                </c:pt>
                <c:pt idx="36">
                  <c:v>300.246352406529</c:v>
                </c:pt>
                <c:pt idx="37">
                  <c:v>308.337934003509</c:v>
                </c:pt>
                <c:pt idx="38">
                  <c:v>316.509696906238</c:v>
                </c:pt>
                <c:pt idx="39">
                  <c:v>324.751651035694</c:v>
                </c:pt>
                <c:pt idx="40">
                  <c:v>333.05372510144</c:v>
                </c:pt>
                <c:pt idx="41">
                  <c:v>341.405779019829</c:v>
                </c:pt>
                <c:pt idx="42">
                  <c:v>349.797616395</c:v>
                </c:pt>
                <c:pt idx="43">
                  <c:v>358.218997046675</c:v>
                </c:pt>
                <c:pt idx="44">
                  <c:v>366.659649569251</c:v>
                </c:pt>
                <c:pt idx="45">
                  <c:v>375.109283906526</c:v>
                </c:pt>
                <c:pt idx="46">
                  <c:v>383.557603926757</c:v>
                </c:pt>
                <c:pt idx="47">
                  <c:v>391.994319982602</c:v>
                </c:pt>
                <c:pt idx="48">
                  <c:v>400.409161440945</c:v>
                </c:pt>
                <c:pt idx="49">
                  <c:v>408.791889167667</c:v>
                </c:pt>
                <c:pt idx="50">
                  <c:v>417.132307952545</c:v>
                </c:pt>
                <c:pt idx="51">
                  <c:v>425.420278860015</c:v>
                </c:pt>
                <c:pt idx="52">
                  <c:v>433.645731491432</c:v>
                </c:pt>
                <c:pt idx="53">
                  <c:v>441.798676145227</c:v>
                </c:pt>
                <c:pt idx="54">
                  <c:v>449.8692158613</c:v>
                </c:pt>
                <c:pt idx="55">
                  <c:v>457.847558336833</c:v>
                </c:pt>
                <c:pt idx="56">
                  <c:v>465.724027700817</c:v>
                </c:pt>
                <c:pt idx="57">
                  <c:v>473.489076135566</c:v>
                </c:pt>
                <c:pt idx="58">
                  <c:v>481.133295333936</c:v>
                </c:pt>
                <c:pt idx="59">
                  <c:v>488.647427781878</c:v>
                </c:pt>
                <c:pt idx="60">
                  <c:v>496.022377857139</c:v>
                </c:pt>
                <c:pt idx="61">
                  <c:v>503.249222736229</c:v>
                </c:pt>
                <c:pt idx="62">
                  <c:v>510.319223103558</c:v>
                </c:pt>
                <c:pt idx="63">
                  <c:v>517.223833658878</c:v>
                </c:pt>
                <c:pt idx="64">
                  <c:v>523.954713422735</c:v>
                </c:pt>
                <c:pt idx="65">
                  <c:v>530.503735843567</c:v>
                </c:pt>
                <c:pt idx="66">
                  <c:v>536.862998716757</c:v>
                </c:pt>
                <c:pt idx="67">
                  <c:v>543.024833934845</c:v>
                </c:pt>
                <c:pt idx="68">
                  <c:v>548.981817101555</c:v>
                </c:pt>
                <c:pt idx="69">
                  <c:v>554.726777062395</c:v>
                </c:pt>
                <c:pt idx="70">
                  <c:v>560.252805435866</c:v>
                </c:pt>
                <c:pt idx="71">
                  <c:v>565.553266278561</c:v>
                </c:pt>
                <c:pt idx="72">
                  <c:v>570.621806097208</c:v>
                </c:pt>
                <c:pt idx="73">
                  <c:v>575.452364554124</c:v>
                </c:pt>
                <c:pt idx="74">
                  <c:v>580.039186441578</c:v>
                </c:pt>
                <c:pt idx="75">
                  <c:v>584.376835909578</c:v>
                </c:pt>
                <c:pt idx="76">
                  <c:v>588.460214690284</c:v>
                </c:pt>
                <c:pt idx="77">
                  <c:v>592.284587539032</c:v>
                </c:pt>
                <c:pt idx="78">
                  <c:v>595.845621147743</c:v>
                </c:pt>
                <c:pt idx="79">
                  <c:v>599.139449460537</c:v>
                </c:pt>
                <c:pt idx="80">
                  <c:v>602.1627942405</c:v>
                </c:pt>
                <c:pt idx="81">
                  <c:v>604.913211889383</c:v>
                </c:pt>
                <c:pt idx="82">
                  <c:v>607.389665673241</c:v>
                </c:pt>
                <c:pt idx="83">
                  <c:v>609.594096316807</c:v>
                </c:pt>
                <c:pt idx="84">
                  <c:v>611.537051292482</c:v>
                </c:pt>
                <c:pt idx="85">
                  <c:v>613.273236677932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615.198892992111</c:v>
                </c:pt>
                <c:pt idx="183">
                  <c:v>615.198892653806</c:v>
                </c:pt>
                <c:pt idx="184">
                  <c:v>615.19889163805</c:v>
                </c:pt>
                <c:pt idx="185">
                  <c:v>615.198889942365</c:v>
                </c:pt>
                <c:pt idx="186">
                  <c:v>615.198887562567</c:v>
                </c:pt>
                <c:pt idx="187">
                  <c:v>615.198884492821</c:v>
                </c:pt>
                <c:pt idx="188">
                  <c:v>615.198880725517</c:v>
                </c:pt>
                <c:pt idx="189">
                  <c:v>615.198876251298</c:v>
                </c:pt>
                <c:pt idx="190">
                  <c:v>615.198871059006</c:v>
                </c:pt>
                <c:pt idx="191">
                  <c:v>615.198865135568</c:v>
                </c:pt>
                <c:pt idx="192">
                  <c:v>615.198858465993</c:v>
                </c:pt>
                <c:pt idx="193">
                  <c:v>615.198851033266</c:v>
                </c:pt>
                <c:pt idx="194">
                  <c:v>615.198842818214</c:v>
                </c:pt>
                <c:pt idx="195">
                  <c:v>615.19883379947</c:v>
                </c:pt>
                <c:pt idx="196">
                  <c:v>615.198823953297</c:v>
                </c:pt>
                <c:pt idx="197">
                  <c:v>615.198813253475</c:v>
                </c:pt>
                <c:pt idx="198">
                  <c:v>615.198801671137</c:v>
                </c:pt>
                <c:pt idx="199">
                  <c:v>615.1987891746</c:v>
                </c:pt>
                <c:pt idx="200">
                  <c:v>615.198775729221</c:v>
                </c:pt>
                <c:pt idx="201">
                  <c:v>615.198761297075</c:v>
                </c:pt>
                <c:pt idx="202">
                  <c:v>615.198745836842</c:v>
                </c:pt>
                <c:pt idx="203">
                  <c:v>615.198729303443</c:v>
                </c:pt>
                <c:pt idx="204">
                  <c:v>615.198711647819</c:v>
                </c:pt>
                <c:pt idx="205">
                  <c:v>615.198692816562</c:v>
                </c:pt>
                <c:pt idx="206">
                  <c:v>615.198672751543</c:v>
                </c:pt>
                <c:pt idx="207">
                  <c:v>615.198651389537</c:v>
                </c:pt>
                <c:pt idx="208">
                  <c:v>615.198628661764</c:v>
                </c:pt>
                <c:pt idx="209">
                  <c:v>615.198604493316</c:v>
                </c:pt>
                <c:pt idx="210">
                  <c:v>615.198578802709</c:v>
                </c:pt>
                <c:pt idx="211">
                  <c:v>615.198551501149</c:v>
                </c:pt>
                <c:pt idx="212">
                  <c:v>615.198522491848</c:v>
                </c:pt>
                <c:pt idx="213">
                  <c:v>615.198491669236</c:v>
                </c:pt>
                <c:pt idx="214">
                  <c:v>615.19845891806</c:v>
                </c:pt>
                <c:pt idx="215">
                  <c:v>615.198424112341</c:v>
                </c:pt>
                <c:pt idx="216">
                  <c:v>615.198387114276</c:v>
                </c:pt>
                <c:pt idx="217">
                  <c:v>615.198347772949</c:v>
                </c:pt>
                <c:pt idx="218">
                  <c:v>615.19830592279</c:v>
                </c:pt>
                <c:pt idx="219">
                  <c:v>615.198261381981</c:v>
                </c:pt>
                <c:pt idx="220">
                  <c:v>615.198213950597</c:v>
                </c:pt>
                <c:pt idx="221">
                  <c:v>615.198163408341</c:v>
                </c:pt>
                <c:pt idx="222">
                  <c:v>615.198109512184</c:v>
                </c:pt>
                <c:pt idx="223">
                  <c:v>615.198051993491</c:v>
                </c:pt>
                <c:pt idx="224">
                  <c:v>615.197990554735</c:v>
                </c:pt>
                <c:pt idx="225">
                  <c:v>615.197924865854</c:v>
                </c:pt>
                <c:pt idx="226">
                  <c:v>615.197854559832</c:v>
                </c:pt>
                <c:pt idx="227">
                  <c:v>615.197779227735</c:v>
                </c:pt>
                <c:pt idx="228">
                  <c:v>615.197698412852</c:v>
                </c:pt>
                <c:pt idx="229">
                  <c:v>615.197611603892</c:v>
                </c:pt>
                <c:pt idx="230">
                  <c:v>615.197518226998</c:v>
                </c:pt>
                <c:pt idx="231">
                  <c:v>615.197417636438</c:v>
                </c:pt>
                <c:pt idx="232">
                  <c:v>615.197309103417</c:v>
                </c:pt>
                <c:pt idx="233">
                  <c:v>615.197191803104</c:v>
                </c:pt>
                <c:pt idx="234">
                  <c:v>615.197064798941</c:v>
                </c:pt>
                <c:pt idx="235">
                  <c:v>615.196927024051</c:v>
                </c:pt>
                <c:pt idx="236">
                  <c:v>615.196777258861</c:v>
                </c:pt>
                <c:pt idx="237">
                  <c:v>615.196614104062</c:v>
                </c:pt>
                <c:pt idx="238">
                  <c:v>615.196435947776</c:v>
                </c:pt>
                <c:pt idx="239">
                  <c:v>615.196240925646</c:v>
                </c:pt>
                <c:pt idx="240">
                  <c:v>615.196026871675</c:v>
                </c:pt>
                <c:pt idx="241">
                  <c:v>615.195791257523</c:v>
                </c:pt>
                <c:pt idx="242">
                  <c:v>615.195531117109</c:v>
                </c:pt>
                <c:pt idx="243">
                  <c:v>615.195242952042</c:v>
                </c:pt>
                <c:pt idx="244">
                  <c:v>615.194922612267</c:v>
                </c:pt>
                <c:pt idx="245">
                  <c:v>615.194565144159</c:v>
                </c:pt>
                <c:pt idx="246">
                  <c:v>615.1941645954</c:v>
                </c:pt>
                <c:pt idx="247">
                  <c:v>615.193713761842</c:v>
                </c:pt>
                <c:pt idx="248">
                  <c:v>615.193203855951</c:v>
                </c:pt>
                <c:pt idx="249">
                  <c:v>615.192624067173</c:v>
                </c:pt>
                <c:pt idx="250">
                  <c:v>615.191960972139</c:v>
                </c:pt>
                <c:pt idx="251">
                  <c:v>615.191197732172</c:v>
                </c:pt>
                <c:pt idx="252">
                  <c:v>615.190312985482</c:v>
                </c:pt>
                <c:pt idx="253">
                  <c:v>615.189279291697</c:v>
                </c:pt>
                <c:pt idx="254">
                  <c:v>615.188060907652</c:v>
                </c:pt>
                <c:pt idx="255">
                  <c:v>615.186610540092</c:v>
                </c:pt>
                <c:pt idx="256">
                  <c:v>615.184864492102</c:v>
                </c:pt>
                <c:pt idx="257">
                  <c:v>615.182735211737</c:v>
                </c:pt>
                <c:pt idx="258">
                  <c:v>615.180099492886</c:v>
                </c:pt>
                <c:pt idx="259">
                  <c:v>615.176779102069</c:v>
                </c:pt>
                <c:pt idx="260">
                  <c:v>615.172507569123</c:v>
                </c:pt>
                <c:pt idx="261">
                  <c:v>615.16687020697</c:v>
                </c:pt>
                <c:pt idx="262">
                  <c:v>615.159188505493</c:v>
                </c:pt>
                <c:pt idx="263">
                  <c:v>615.148277893692</c:v>
                </c:pt>
                <c:pt idx="264">
                  <c:v>615.131879712141</c:v>
                </c:pt>
                <c:pt idx="265">
                  <c:v>615.105094429181</c:v>
                </c:pt>
                <c:pt idx="266">
                  <c:v>615.054755771145</c:v>
                </c:pt>
                <c:pt idx="267">
                  <c:v>614.923881889529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</c:numCache>
            </c:numRef>
          </c:yVal>
          <c:smooth val="0"/>
        </c:ser>
        <c:axId val="49008322"/>
        <c:axId val="22495359"/>
      </c:scatterChart>
      <c:valAx>
        <c:axId val="49008322"/>
        <c:scaling>
          <c:orientation val="minMax"/>
          <c:max val="18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centre of mass angle (degrees)</a:t>
                </a:r>
              </a:p>
            </c:rich>
          </c:tx>
          <c:layout>
            <c:manualLayout>
              <c:xMode val="edge"/>
              <c:yMode val="edge"/>
              <c:x val="0.379466323608748"/>
              <c:y val="0.942362782170276"/>
            </c:manualLayout>
          </c:layout>
          <c:overlay val="0"/>
          <c:spPr>
            <a:noFill/>
            <a:ln w="2556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2495359"/>
        <c:crosses val="autoZero"/>
        <c:crossBetween val="midCat"/>
      </c:valAx>
      <c:valAx>
        <c:axId val="22495359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lab energy (MeV)</a:t>
                </a:r>
              </a:p>
            </c:rich>
          </c:tx>
          <c:layout>
            <c:manualLayout>
              <c:xMode val="edge"/>
              <c:yMode val="edge"/>
              <c:x val="0.0114122089886708"/>
              <c:y val="0.411596195714449"/>
            </c:manualLayout>
          </c:layout>
          <c:overlay val="0"/>
          <c:spPr>
            <a:noFill/>
            <a:ln w="2556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9008322"/>
        <c:crosses val="autoZero"/>
        <c:crossBetween val="midCat"/>
      </c:valAx>
      <c:spPr>
        <a:solidFill>
          <a:srgbClr val="cc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916235764718801"/>
          <c:y val="0.471186364624605"/>
          <c:w val="0.0796277284955848"/>
          <c:h val="0.0728814383233449"/>
        </c:manualLayout>
      </c:layout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845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noFill/>
    <a:ln w="6480">
      <a:noFill/>
    </a:ln>
  </c:spPr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n-GB" sz="1200" spc="-1" strike="noStrike">
                <a:solidFill>
                  <a:srgbClr val="000000"/>
                </a:solidFill>
                <a:latin typeface="Arial"/>
                <a:ea typeface="Arial"/>
              </a:rPr>
              <a:t>plectrum plots</a:t>
            </a:r>
          </a:p>
        </c:rich>
      </c:tx>
      <c:layout>
        <c:manualLayout>
          <c:xMode val="edge"/>
          <c:yMode val="edge"/>
          <c:x val="0.440594264846246"/>
          <c:y val="0.0203391772659562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6739428144582"/>
          <c:y val="0.125415377563882"/>
          <c:w val="0.784786487944557"/>
          <c:h val="0.764237424086169"/>
        </c:manualLayout>
      </c:layout>
      <c:scatterChart>
        <c:scatterStyle val="line"/>
        <c:varyColors val="0"/>
        <c:ser>
          <c:idx val="0"/>
          <c:order val="0"/>
          <c:tx>
            <c:strRef>
              <c:f>'Plotting Sheet'!$N$5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'Plotting Sheet'!$M$6:$M$368</c:f>
              <c:numCache>
                <c:formatCode>General</c:formatCode>
                <c:ptCount val="3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85</c:v>
                </c:pt>
                <c:pt idx="87">
                  <c:v>85</c:v>
                </c:pt>
                <c:pt idx="88">
                  <c:v>85</c:v>
                </c:pt>
                <c:pt idx="89">
                  <c:v>85</c:v>
                </c:pt>
                <c:pt idx="90">
                  <c:v>85</c:v>
                </c:pt>
                <c:pt idx="91">
                  <c:v>85</c:v>
                </c:pt>
                <c:pt idx="92">
                  <c:v>85</c:v>
                </c:pt>
                <c:pt idx="93">
                  <c:v>85</c:v>
                </c:pt>
                <c:pt idx="94">
                  <c:v>85</c:v>
                </c:pt>
                <c:pt idx="95">
                  <c:v>85</c:v>
                </c:pt>
                <c:pt idx="96">
                  <c:v>85</c:v>
                </c:pt>
                <c:pt idx="97">
                  <c:v>85</c:v>
                </c:pt>
                <c:pt idx="98">
                  <c:v>85</c:v>
                </c:pt>
                <c:pt idx="99">
                  <c:v>85</c:v>
                </c:pt>
                <c:pt idx="100">
                  <c:v>85</c:v>
                </c:pt>
                <c:pt idx="101">
                  <c:v>85</c:v>
                </c:pt>
                <c:pt idx="102">
                  <c:v>85</c:v>
                </c:pt>
                <c:pt idx="103">
                  <c:v>85</c:v>
                </c:pt>
                <c:pt idx="104">
                  <c:v>85</c:v>
                </c:pt>
                <c:pt idx="105">
                  <c:v>85</c:v>
                </c:pt>
                <c:pt idx="106">
                  <c:v>85</c:v>
                </c:pt>
                <c:pt idx="107">
                  <c:v>85</c:v>
                </c:pt>
                <c:pt idx="108">
                  <c:v>85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85</c:v>
                </c:pt>
                <c:pt idx="117">
                  <c:v>85</c:v>
                </c:pt>
                <c:pt idx="118">
                  <c:v>85</c:v>
                </c:pt>
                <c:pt idx="119">
                  <c:v>85</c:v>
                </c:pt>
                <c:pt idx="120">
                  <c:v>85</c:v>
                </c:pt>
                <c:pt idx="121">
                  <c:v>85</c:v>
                </c:pt>
                <c:pt idx="122">
                  <c:v>85</c:v>
                </c:pt>
                <c:pt idx="123">
                  <c:v>85</c:v>
                </c:pt>
                <c:pt idx="124">
                  <c:v>85</c:v>
                </c:pt>
                <c:pt idx="125">
                  <c:v>85</c:v>
                </c:pt>
                <c:pt idx="126">
                  <c:v>85</c:v>
                </c:pt>
                <c:pt idx="127">
                  <c:v>85</c:v>
                </c:pt>
                <c:pt idx="128">
                  <c:v>85</c:v>
                </c:pt>
                <c:pt idx="129">
                  <c:v>85</c:v>
                </c:pt>
                <c:pt idx="130">
                  <c:v>85</c:v>
                </c:pt>
                <c:pt idx="131">
                  <c:v>85</c:v>
                </c:pt>
                <c:pt idx="132">
                  <c:v>85</c:v>
                </c:pt>
                <c:pt idx="133">
                  <c:v>85</c:v>
                </c:pt>
                <c:pt idx="134">
                  <c:v>85</c:v>
                </c:pt>
                <c:pt idx="135">
                  <c:v>85</c:v>
                </c:pt>
                <c:pt idx="136">
                  <c:v>85</c:v>
                </c:pt>
                <c:pt idx="137">
                  <c:v>85</c:v>
                </c:pt>
                <c:pt idx="138">
                  <c:v>85</c:v>
                </c:pt>
                <c:pt idx="139">
                  <c:v>85</c:v>
                </c:pt>
                <c:pt idx="140">
                  <c:v>85</c:v>
                </c:pt>
                <c:pt idx="141">
                  <c:v>85</c:v>
                </c:pt>
                <c:pt idx="142">
                  <c:v>85</c:v>
                </c:pt>
                <c:pt idx="143">
                  <c:v>85</c:v>
                </c:pt>
                <c:pt idx="144">
                  <c:v>85</c:v>
                </c:pt>
                <c:pt idx="145">
                  <c:v>85</c:v>
                </c:pt>
                <c:pt idx="146">
                  <c:v>85</c:v>
                </c:pt>
                <c:pt idx="147">
                  <c:v>85</c:v>
                </c:pt>
                <c:pt idx="148">
                  <c:v>85</c:v>
                </c:pt>
                <c:pt idx="149">
                  <c:v>85</c:v>
                </c:pt>
                <c:pt idx="150">
                  <c:v>85</c:v>
                </c:pt>
                <c:pt idx="151">
                  <c:v>85</c:v>
                </c:pt>
                <c:pt idx="152">
                  <c:v>85</c:v>
                </c:pt>
                <c:pt idx="153">
                  <c:v>85</c:v>
                </c:pt>
                <c:pt idx="154">
                  <c:v>85</c:v>
                </c:pt>
                <c:pt idx="155">
                  <c:v>85</c:v>
                </c:pt>
                <c:pt idx="156">
                  <c:v>85</c:v>
                </c:pt>
                <c:pt idx="157">
                  <c:v>85</c:v>
                </c:pt>
                <c:pt idx="158">
                  <c:v>85</c:v>
                </c:pt>
                <c:pt idx="159">
                  <c:v>85</c:v>
                </c:pt>
                <c:pt idx="160">
                  <c:v>85</c:v>
                </c:pt>
                <c:pt idx="161">
                  <c:v>85</c:v>
                </c:pt>
                <c:pt idx="162">
                  <c:v>85</c:v>
                </c:pt>
                <c:pt idx="163">
                  <c:v>85</c:v>
                </c:pt>
                <c:pt idx="164">
                  <c:v>85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85</c:v>
                </c:pt>
                <c:pt idx="170">
                  <c:v>85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</c:v>
                </c:pt>
                <c:pt idx="176">
                  <c:v>85</c:v>
                </c:pt>
                <c:pt idx="177">
                  <c:v>85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2</c:v>
                </c:pt>
                <c:pt idx="185">
                  <c:v>3</c:v>
                </c:pt>
                <c:pt idx="186">
                  <c:v>4</c:v>
                </c:pt>
                <c:pt idx="187">
                  <c:v>5</c:v>
                </c:pt>
                <c:pt idx="188">
                  <c:v>6</c:v>
                </c:pt>
                <c:pt idx="189">
                  <c:v>7</c:v>
                </c:pt>
                <c:pt idx="190">
                  <c:v>8</c:v>
                </c:pt>
                <c:pt idx="191">
                  <c:v>9</c:v>
                </c:pt>
                <c:pt idx="192">
                  <c:v>10</c:v>
                </c:pt>
                <c:pt idx="193">
                  <c:v>11</c:v>
                </c:pt>
                <c:pt idx="194">
                  <c:v>12</c:v>
                </c:pt>
                <c:pt idx="195">
                  <c:v>13</c:v>
                </c:pt>
                <c:pt idx="196">
                  <c:v>14</c:v>
                </c:pt>
                <c:pt idx="197">
                  <c:v>15</c:v>
                </c:pt>
                <c:pt idx="198">
                  <c:v>16</c:v>
                </c:pt>
                <c:pt idx="199">
                  <c:v>17</c:v>
                </c:pt>
                <c:pt idx="200">
                  <c:v>18</c:v>
                </c:pt>
                <c:pt idx="201">
                  <c:v>19</c:v>
                </c:pt>
                <c:pt idx="202">
                  <c:v>20</c:v>
                </c:pt>
                <c:pt idx="203">
                  <c:v>21</c:v>
                </c:pt>
                <c:pt idx="204">
                  <c:v>22</c:v>
                </c:pt>
                <c:pt idx="205">
                  <c:v>23</c:v>
                </c:pt>
                <c:pt idx="206">
                  <c:v>24</c:v>
                </c:pt>
                <c:pt idx="207">
                  <c:v>25</c:v>
                </c:pt>
                <c:pt idx="208">
                  <c:v>26</c:v>
                </c:pt>
                <c:pt idx="209">
                  <c:v>27</c:v>
                </c:pt>
                <c:pt idx="210">
                  <c:v>28</c:v>
                </c:pt>
                <c:pt idx="211">
                  <c:v>29</c:v>
                </c:pt>
                <c:pt idx="212">
                  <c:v>30</c:v>
                </c:pt>
                <c:pt idx="213">
                  <c:v>31</c:v>
                </c:pt>
                <c:pt idx="214">
                  <c:v>32</c:v>
                </c:pt>
                <c:pt idx="215">
                  <c:v>33</c:v>
                </c:pt>
                <c:pt idx="216">
                  <c:v>34</c:v>
                </c:pt>
                <c:pt idx="217">
                  <c:v>35</c:v>
                </c:pt>
                <c:pt idx="218">
                  <c:v>36</c:v>
                </c:pt>
                <c:pt idx="219">
                  <c:v>37</c:v>
                </c:pt>
                <c:pt idx="220">
                  <c:v>38</c:v>
                </c:pt>
                <c:pt idx="221">
                  <c:v>39</c:v>
                </c:pt>
                <c:pt idx="222">
                  <c:v>40</c:v>
                </c:pt>
                <c:pt idx="223">
                  <c:v>41</c:v>
                </c:pt>
                <c:pt idx="224">
                  <c:v>42</c:v>
                </c:pt>
                <c:pt idx="225">
                  <c:v>43</c:v>
                </c:pt>
                <c:pt idx="226">
                  <c:v>44</c:v>
                </c:pt>
                <c:pt idx="227">
                  <c:v>45</c:v>
                </c:pt>
                <c:pt idx="228">
                  <c:v>46</c:v>
                </c:pt>
                <c:pt idx="229">
                  <c:v>47</c:v>
                </c:pt>
                <c:pt idx="230">
                  <c:v>48</c:v>
                </c:pt>
                <c:pt idx="231">
                  <c:v>49</c:v>
                </c:pt>
                <c:pt idx="232">
                  <c:v>50</c:v>
                </c:pt>
                <c:pt idx="233">
                  <c:v>51</c:v>
                </c:pt>
                <c:pt idx="234">
                  <c:v>52</c:v>
                </c:pt>
                <c:pt idx="235">
                  <c:v>53</c:v>
                </c:pt>
                <c:pt idx="236">
                  <c:v>54</c:v>
                </c:pt>
                <c:pt idx="237">
                  <c:v>55</c:v>
                </c:pt>
                <c:pt idx="238">
                  <c:v>56</c:v>
                </c:pt>
                <c:pt idx="239">
                  <c:v>57</c:v>
                </c:pt>
                <c:pt idx="240">
                  <c:v>58</c:v>
                </c:pt>
                <c:pt idx="241">
                  <c:v>59</c:v>
                </c:pt>
                <c:pt idx="242">
                  <c:v>60</c:v>
                </c:pt>
                <c:pt idx="243">
                  <c:v>61</c:v>
                </c:pt>
                <c:pt idx="244">
                  <c:v>62</c:v>
                </c:pt>
                <c:pt idx="245">
                  <c:v>63</c:v>
                </c:pt>
                <c:pt idx="246">
                  <c:v>64</c:v>
                </c:pt>
                <c:pt idx="247">
                  <c:v>65</c:v>
                </c:pt>
                <c:pt idx="248">
                  <c:v>66</c:v>
                </c:pt>
                <c:pt idx="249">
                  <c:v>67</c:v>
                </c:pt>
                <c:pt idx="250">
                  <c:v>68</c:v>
                </c:pt>
                <c:pt idx="251">
                  <c:v>69</c:v>
                </c:pt>
                <c:pt idx="252">
                  <c:v>70</c:v>
                </c:pt>
                <c:pt idx="253">
                  <c:v>71</c:v>
                </c:pt>
                <c:pt idx="254">
                  <c:v>72</c:v>
                </c:pt>
                <c:pt idx="255">
                  <c:v>73</c:v>
                </c:pt>
                <c:pt idx="256">
                  <c:v>74</c:v>
                </c:pt>
                <c:pt idx="257">
                  <c:v>75</c:v>
                </c:pt>
                <c:pt idx="258">
                  <c:v>76</c:v>
                </c:pt>
                <c:pt idx="259">
                  <c:v>77</c:v>
                </c:pt>
                <c:pt idx="260">
                  <c:v>78</c:v>
                </c:pt>
                <c:pt idx="261">
                  <c:v>79</c:v>
                </c:pt>
                <c:pt idx="262">
                  <c:v>80</c:v>
                </c:pt>
                <c:pt idx="263">
                  <c:v>81</c:v>
                </c:pt>
                <c:pt idx="264">
                  <c:v>82</c:v>
                </c:pt>
                <c:pt idx="265">
                  <c:v>83</c:v>
                </c:pt>
                <c:pt idx="266">
                  <c:v>84</c:v>
                </c:pt>
                <c:pt idx="267">
                  <c:v>85</c:v>
                </c:pt>
                <c:pt idx="268">
                  <c:v>85</c:v>
                </c:pt>
                <c:pt idx="269">
                  <c:v>85</c:v>
                </c:pt>
                <c:pt idx="270">
                  <c:v>85</c:v>
                </c:pt>
                <c:pt idx="271">
                  <c:v>85</c:v>
                </c:pt>
                <c:pt idx="272">
                  <c:v>85</c:v>
                </c:pt>
                <c:pt idx="273">
                  <c:v>85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85</c:v>
                </c:pt>
                <c:pt idx="278">
                  <c:v>85</c:v>
                </c:pt>
                <c:pt idx="279">
                  <c:v>85</c:v>
                </c:pt>
                <c:pt idx="280">
                  <c:v>85</c:v>
                </c:pt>
                <c:pt idx="281">
                  <c:v>85</c:v>
                </c:pt>
                <c:pt idx="282">
                  <c:v>85</c:v>
                </c:pt>
                <c:pt idx="283">
                  <c:v>85</c:v>
                </c:pt>
                <c:pt idx="284">
                  <c:v>85</c:v>
                </c:pt>
                <c:pt idx="285">
                  <c:v>85</c:v>
                </c:pt>
                <c:pt idx="286">
                  <c:v>85</c:v>
                </c:pt>
                <c:pt idx="287">
                  <c:v>85</c:v>
                </c:pt>
                <c:pt idx="288">
                  <c:v>85</c:v>
                </c:pt>
                <c:pt idx="289">
                  <c:v>85</c:v>
                </c:pt>
                <c:pt idx="290">
                  <c:v>85</c:v>
                </c:pt>
                <c:pt idx="291">
                  <c:v>85</c:v>
                </c:pt>
                <c:pt idx="292">
                  <c:v>85</c:v>
                </c:pt>
                <c:pt idx="293">
                  <c:v>85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85</c:v>
                </c:pt>
                <c:pt idx="299">
                  <c:v>85</c:v>
                </c:pt>
                <c:pt idx="300">
                  <c:v>85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85</c:v>
                </c:pt>
                <c:pt idx="313">
                  <c:v>85</c:v>
                </c:pt>
                <c:pt idx="314">
                  <c:v>85</c:v>
                </c:pt>
                <c:pt idx="315">
                  <c:v>85</c:v>
                </c:pt>
                <c:pt idx="316">
                  <c:v>85</c:v>
                </c:pt>
                <c:pt idx="317">
                  <c:v>85</c:v>
                </c:pt>
                <c:pt idx="318">
                  <c:v>85</c:v>
                </c:pt>
                <c:pt idx="319">
                  <c:v>85</c:v>
                </c:pt>
                <c:pt idx="320">
                  <c:v>85</c:v>
                </c:pt>
                <c:pt idx="321">
                  <c:v>85</c:v>
                </c:pt>
                <c:pt idx="322">
                  <c:v>85</c:v>
                </c:pt>
                <c:pt idx="323">
                  <c:v>85</c:v>
                </c:pt>
                <c:pt idx="324">
                  <c:v>85</c:v>
                </c:pt>
                <c:pt idx="325">
                  <c:v>85</c:v>
                </c:pt>
                <c:pt idx="326">
                  <c:v>85</c:v>
                </c:pt>
                <c:pt idx="327">
                  <c:v>85</c:v>
                </c:pt>
                <c:pt idx="328">
                  <c:v>85</c:v>
                </c:pt>
                <c:pt idx="329">
                  <c:v>85</c:v>
                </c:pt>
                <c:pt idx="330">
                  <c:v>85</c:v>
                </c:pt>
                <c:pt idx="331">
                  <c:v>85</c:v>
                </c:pt>
                <c:pt idx="332">
                  <c:v>85</c:v>
                </c:pt>
                <c:pt idx="333">
                  <c:v>85</c:v>
                </c:pt>
                <c:pt idx="334">
                  <c:v>85</c:v>
                </c:pt>
                <c:pt idx="335">
                  <c:v>85</c:v>
                </c:pt>
                <c:pt idx="336">
                  <c:v>85</c:v>
                </c:pt>
                <c:pt idx="337">
                  <c:v>85</c:v>
                </c:pt>
                <c:pt idx="338">
                  <c:v>85</c:v>
                </c:pt>
                <c:pt idx="339">
                  <c:v>85</c:v>
                </c:pt>
                <c:pt idx="340">
                  <c:v>85</c:v>
                </c:pt>
                <c:pt idx="341">
                  <c:v>85</c:v>
                </c:pt>
                <c:pt idx="342">
                  <c:v>85</c:v>
                </c:pt>
                <c:pt idx="343">
                  <c:v>85</c:v>
                </c:pt>
                <c:pt idx="344">
                  <c:v>85</c:v>
                </c:pt>
                <c:pt idx="345">
                  <c:v>85</c:v>
                </c:pt>
                <c:pt idx="346">
                  <c:v>85</c:v>
                </c:pt>
                <c:pt idx="347">
                  <c:v>85</c:v>
                </c:pt>
                <c:pt idx="348">
                  <c:v>85</c:v>
                </c:pt>
                <c:pt idx="349">
                  <c:v>85</c:v>
                </c:pt>
                <c:pt idx="350">
                  <c:v>85</c:v>
                </c:pt>
                <c:pt idx="351">
                  <c:v>85</c:v>
                </c:pt>
                <c:pt idx="352">
                  <c:v>85</c:v>
                </c:pt>
                <c:pt idx="353">
                  <c:v>85</c:v>
                </c:pt>
                <c:pt idx="354">
                  <c:v>85</c:v>
                </c:pt>
                <c:pt idx="355">
                  <c:v>85</c:v>
                </c:pt>
                <c:pt idx="356">
                  <c:v>85</c:v>
                </c:pt>
                <c:pt idx="357">
                  <c:v>85</c:v>
                </c:pt>
                <c:pt idx="358">
                  <c:v>85</c:v>
                </c:pt>
                <c:pt idx="359">
                  <c:v>85</c:v>
                </c:pt>
                <c:pt idx="360">
                  <c:v>85</c:v>
                </c:pt>
                <c:pt idx="361">
                  <c:v>85</c:v>
                </c:pt>
                <c:pt idx="362">
                  <c:v>85</c:v>
                </c:pt>
              </c:numCache>
            </c:numRef>
          </c:xVal>
          <c:yVal>
            <c:numRef>
              <c:f>'Plotting Sheet'!$N$6:$N$368</c:f>
              <c:numCache>
                <c:formatCode>General</c:formatCode>
                <c:ptCount val="363"/>
                <c:pt idx="0">
                  <c:v>482.727135397596</c:v>
                </c:pt>
                <c:pt idx="1">
                  <c:v>482.578996856595</c:v>
                </c:pt>
                <c:pt idx="2">
                  <c:v>482.134764143555</c:v>
                </c:pt>
                <c:pt idx="3">
                  <c:v>481.394985753637</c:v>
                </c:pt>
                <c:pt idx="4">
                  <c:v>480.36057506316</c:v>
                </c:pt>
                <c:pt idx="5">
                  <c:v>479.032809157494</c:v>
                </c:pt>
                <c:pt idx="6">
                  <c:v>477.41332719241</c:v>
                </c:pt>
                <c:pt idx="7">
                  <c:v>475.504128291416</c:v>
                </c:pt>
                <c:pt idx="8">
                  <c:v>473.307568982175</c:v>
                </c:pt>
                <c:pt idx="9">
                  <c:v>470.826360175614</c:v>
                </c:pt>
                <c:pt idx="10">
                  <c:v>468.063563692396</c:v>
                </c:pt>
                <c:pt idx="11">
                  <c:v>465.022588341526</c:v>
                </c:pt>
                <c:pt idx="12">
                  <c:v>461.707185557145</c:v>
                </c:pt>
                <c:pt idx="13">
                  <c:v>458.121444599531</c:v>
                </c:pt>
                <c:pt idx="14">
                  <c:v>454.269787327589</c:v>
                </c:pt>
                <c:pt idx="15">
                  <c:v>450.1569625502</c:v>
                </c:pt>
                <c:pt idx="16">
                  <c:v>445.788039964698</c:v>
                </c:pt>
                <c:pt idx="17">
                  <c:v>441.168403691178</c:v>
                </c:pt>
                <c:pt idx="18">
                  <c:v>436.303745412018</c:v>
                </c:pt>
                <c:pt idx="19">
                  <c:v>431.200057126305</c:v>
                </c:pt>
                <c:pt idx="20">
                  <c:v>425.863623529702</c:v>
                </c:pt>
                <c:pt idx="21">
                  <c:v>420.301014030505</c:v>
                </c:pt>
                <c:pt idx="22">
                  <c:v>414.519074413223</c:v>
                </c:pt>
                <c:pt idx="23">
                  <c:v>408.524918161529</c:v>
                </c:pt>
                <c:pt idx="24">
                  <c:v>402.325917452765</c:v>
                </c:pt>
                <c:pt idx="25">
                  <c:v>395.929693836628</c:v>
                </c:pt>
                <c:pt idx="26">
                  <c:v>389.3441086111</c:v>
                </c:pt>
                <c:pt idx="27">
                  <c:v>382.577252908912</c:v>
                </c:pt>
                <c:pt idx="28">
                  <c:v>375.637437508345</c:v>
                </c:pt>
                <c:pt idx="29">
                  <c:v>368.533182382379</c:v>
                </c:pt>
                <c:pt idx="30">
                  <c:v>361.273206000469</c:v>
                </c:pt>
                <c:pt idx="31">
                  <c:v>353.866414397457</c:v>
                </c:pt>
                <c:pt idx="32">
                  <c:v>346.321890024663</c:v>
                </c:pt>
                <c:pt idx="33">
                  <c:v>338.648880397886</c:v>
                </c:pt>
                <c:pt idx="34">
                  <c:v>330.856786557677</c:v>
                </c:pt>
                <c:pt idx="35">
                  <c:v>322.955151357261</c:v>
                </c:pt>
                <c:pt idx="36">
                  <c:v>314.953647593471</c:v>
                </c:pt>
                <c:pt idx="37">
                  <c:v>306.862065996491</c:v>
                </c:pt>
                <c:pt idx="38">
                  <c:v>298.690303093762</c:v>
                </c:pt>
                <c:pt idx="39">
                  <c:v>290.448348964306</c:v>
                </c:pt>
                <c:pt idx="40">
                  <c:v>282.14627489856</c:v>
                </c:pt>
                <c:pt idx="41">
                  <c:v>273.794220980171</c:v>
                </c:pt>
                <c:pt idx="42">
                  <c:v>265.402383605</c:v>
                </c:pt>
                <c:pt idx="43">
                  <c:v>256.981002953326</c:v>
                </c:pt>
                <c:pt idx="44">
                  <c:v>248.540350430749</c:v>
                </c:pt>
                <c:pt idx="45">
                  <c:v>240.090716093474</c:v>
                </c:pt>
                <c:pt idx="46">
                  <c:v>231.642396073244</c:v>
                </c:pt>
                <c:pt idx="47">
                  <c:v>223.205680017398</c:v>
                </c:pt>
                <c:pt idx="48">
                  <c:v>214.790838559055</c:v>
                </c:pt>
                <c:pt idx="49">
                  <c:v>206.408110832333</c:v>
                </c:pt>
                <c:pt idx="50">
                  <c:v>198.067692047455</c:v>
                </c:pt>
                <c:pt idx="51">
                  <c:v>189.779721139985</c:v>
                </c:pt>
                <c:pt idx="52">
                  <c:v>181.554268508568</c:v>
                </c:pt>
                <c:pt idx="53">
                  <c:v>173.401323854773</c:v>
                </c:pt>
                <c:pt idx="54">
                  <c:v>165.3307841387</c:v>
                </c:pt>
                <c:pt idx="55">
                  <c:v>157.352441663167</c:v>
                </c:pt>
                <c:pt idx="56">
                  <c:v>149.475972299183</c:v>
                </c:pt>
                <c:pt idx="57">
                  <c:v>141.710923864434</c:v>
                </c:pt>
                <c:pt idx="58">
                  <c:v>134.066704666064</c:v>
                </c:pt>
                <c:pt idx="59">
                  <c:v>126.552572218122</c:v>
                </c:pt>
                <c:pt idx="60">
                  <c:v>119.177622142861</c:v>
                </c:pt>
                <c:pt idx="61">
                  <c:v>111.950777263771</c:v>
                </c:pt>
                <c:pt idx="62">
                  <c:v>104.880776896442</c:v>
                </c:pt>
                <c:pt idx="63">
                  <c:v>97.9761663411223</c:v>
                </c:pt>
                <c:pt idx="64">
                  <c:v>91.2452865772656</c:v>
                </c:pt>
                <c:pt idx="65">
                  <c:v>84.6962641564335</c:v>
                </c:pt>
                <c:pt idx="66">
                  <c:v>78.3370012832435</c:v>
                </c:pt>
                <c:pt idx="67">
                  <c:v>72.1751660651552</c:v>
                </c:pt>
                <c:pt idx="68">
                  <c:v>66.2181828984448</c:v>
                </c:pt>
                <c:pt idx="69">
                  <c:v>60.473222937605</c:v>
                </c:pt>
                <c:pt idx="70">
                  <c:v>54.9471945641343</c:v>
                </c:pt>
                <c:pt idx="71">
                  <c:v>49.6467337214394</c:v>
                </c:pt>
                <c:pt idx="72">
                  <c:v>44.5781939027923</c:v>
                </c:pt>
                <c:pt idx="73">
                  <c:v>39.7476354458762</c:v>
                </c:pt>
                <c:pt idx="74">
                  <c:v>35.1608135584225</c:v>
                </c:pt>
                <c:pt idx="75">
                  <c:v>30.8231640904224</c:v>
                </c:pt>
                <c:pt idx="76">
                  <c:v>26.7397853097159</c:v>
                </c:pt>
                <c:pt idx="77">
                  <c:v>22.9154124609682</c:v>
                </c:pt>
                <c:pt idx="78">
                  <c:v>19.3543788522567</c:v>
                </c:pt>
                <c:pt idx="79">
                  <c:v>16.0605505394631</c:v>
                </c:pt>
                <c:pt idx="80">
                  <c:v>13.0372057595001</c:v>
                </c:pt>
                <c:pt idx="81">
                  <c:v>10.286788110617</c:v>
                </c:pt>
                <c:pt idx="82">
                  <c:v>7.81033432675884</c:v>
                </c:pt>
                <c:pt idx="83">
                  <c:v>5.60590368319346</c:v>
                </c:pt>
                <c:pt idx="84">
                  <c:v>3.66294870751838</c:v>
                </c:pt>
                <c:pt idx="85">
                  <c:v>1.92676332206793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0.0011070078888641</c:v>
                </c:pt>
                <c:pt idx="183">
                  <c:v>0.00110734619436017</c:v>
                </c:pt>
                <c:pt idx="184">
                  <c:v>0.00110836194966195</c:v>
                </c:pt>
                <c:pt idx="185">
                  <c:v>0.00111005763526099</c:v>
                </c:pt>
                <c:pt idx="186">
                  <c:v>0.00111243743324209</c:v>
                </c:pt>
                <c:pt idx="187">
                  <c:v>0.00111550717935111</c:v>
                </c:pt>
                <c:pt idx="188">
                  <c:v>0.00111927448282542</c:v>
                </c:pt>
                <c:pt idx="189">
                  <c:v>0.00112374870242787</c:v>
                </c:pt>
                <c:pt idx="190">
                  <c:v>0.00112894099437894</c:v>
                </c:pt>
                <c:pt idx="191">
                  <c:v>0.00113486443218729</c:v>
                </c:pt>
                <c:pt idx="192">
                  <c:v>0.00114153400664973</c:v>
                </c:pt>
                <c:pt idx="193">
                  <c:v>0.00114896673369868</c:v>
                </c:pt>
                <c:pt idx="194">
                  <c:v>0.00115718178621577</c:v>
                </c:pt>
                <c:pt idx="195">
                  <c:v>0.00116620052998093</c:v>
                </c:pt>
                <c:pt idx="196">
                  <c:v>0.00117604670341823</c:v>
                </c:pt>
                <c:pt idx="197">
                  <c:v>0.00118674652544325</c:v>
                </c:pt>
                <c:pt idx="198">
                  <c:v>0.00119832886322589</c:v>
                </c:pt>
                <c:pt idx="199">
                  <c:v>0.00121082539995301</c:v>
                </c:pt>
                <c:pt idx="200">
                  <c:v>0.00122427077862507</c:v>
                </c:pt>
                <c:pt idx="201">
                  <c:v>0.00123870292559851</c:v>
                </c:pt>
                <c:pt idx="202">
                  <c:v>0.00125416315843322</c:v>
                </c:pt>
                <c:pt idx="203">
                  <c:v>0.00127069655736708</c:v>
                </c:pt>
                <c:pt idx="204">
                  <c:v>0.00128835218101093</c:v>
                </c:pt>
                <c:pt idx="205">
                  <c:v>0.0013071834378231</c:v>
                </c:pt>
                <c:pt idx="206">
                  <c:v>0.00132724845758405</c:v>
                </c:pt>
                <c:pt idx="207">
                  <c:v>0.00134861046287088</c:v>
                </c:pt>
                <c:pt idx="208">
                  <c:v>0.00137133823639639</c:v>
                </c:pt>
                <c:pt idx="209">
                  <c:v>0.00139550668421243</c:v>
                </c:pt>
                <c:pt idx="210">
                  <c:v>0.00142119729106586</c:v>
                </c:pt>
                <c:pt idx="211">
                  <c:v>0.00144849885136465</c:v>
                </c:pt>
                <c:pt idx="212">
                  <c:v>0.0014775081522118</c:v>
                </c:pt>
                <c:pt idx="213">
                  <c:v>0.00150833076428668</c:v>
                </c:pt>
                <c:pt idx="214">
                  <c:v>0.00154108194057389</c:v>
                </c:pt>
                <c:pt idx="215">
                  <c:v>0.0015758876588887</c:v>
                </c:pt>
                <c:pt idx="216">
                  <c:v>0.00161288572431768</c:v>
                </c:pt>
                <c:pt idx="217">
                  <c:v>0.00165222705140525</c:v>
                </c:pt>
                <c:pt idx="218">
                  <c:v>0.00169407720996719</c:v>
                </c:pt>
                <c:pt idx="219">
                  <c:v>0.00173861801883643</c:v>
                </c:pt>
                <c:pt idx="220">
                  <c:v>0.00178604940323602</c:v>
                </c:pt>
                <c:pt idx="221">
                  <c:v>0.00183659165957568</c:v>
                </c:pt>
                <c:pt idx="222">
                  <c:v>0.00189048781611292</c:v>
                </c:pt>
                <c:pt idx="223">
                  <c:v>0.00194800650888524</c:v>
                </c:pt>
                <c:pt idx="224">
                  <c:v>0.00200944526506613</c:v>
                </c:pt>
                <c:pt idx="225">
                  <c:v>0.00207513414581256</c:v>
                </c:pt>
                <c:pt idx="226">
                  <c:v>0.00214544016801081</c:v>
                </c:pt>
                <c:pt idx="227">
                  <c:v>0.00222077226525961</c:v>
                </c:pt>
                <c:pt idx="228">
                  <c:v>0.00230158714758202</c:v>
                </c:pt>
                <c:pt idx="229">
                  <c:v>0.00238839610779847</c:v>
                </c:pt>
                <c:pt idx="230">
                  <c:v>0.00248177300223871</c:v>
                </c:pt>
                <c:pt idx="231">
                  <c:v>0.00258236356157242</c:v>
                </c:pt>
                <c:pt idx="232">
                  <c:v>0.00269089658297888</c:v>
                </c:pt>
                <c:pt idx="233">
                  <c:v>0.00280819689580814</c:v>
                </c:pt>
                <c:pt idx="234">
                  <c:v>0.00293520105937786</c:v>
                </c:pt>
                <c:pt idx="235">
                  <c:v>0.00307297594868543</c:v>
                </c:pt>
                <c:pt idx="236">
                  <c:v>0.00322274113874722</c:v>
                </c:pt>
                <c:pt idx="237">
                  <c:v>0.00338589593836167</c:v>
                </c:pt>
                <c:pt idx="238">
                  <c:v>0.00356405222366908</c:v>
                </c:pt>
                <c:pt idx="239">
                  <c:v>0.00375907435369448</c:v>
                </c:pt>
                <c:pt idx="240">
                  <c:v>0.00397312832482288</c:v>
                </c:pt>
                <c:pt idx="241">
                  <c:v>0.00420874247693569</c:v>
                </c:pt>
                <c:pt idx="242">
                  <c:v>0.00446888289076765</c:v>
                </c:pt>
                <c:pt idx="243">
                  <c:v>0.0047570479581454</c:v>
                </c:pt>
                <c:pt idx="244">
                  <c:v>0.0050773877331755</c:v>
                </c:pt>
                <c:pt idx="245">
                  <c:v>0.0054348558413821</c:v>
                </c:pt>
                <c:pt idx="246">
                  <c:v>0.00583540459972649</c:v>
                </c:pt>
                <c:pt idx="247">
                  <c:v>0.00628623815855962</c:v>
                </c:pt>
                <c:pt idx="248">
                  <c:v>0.00679614404867745</c:v>
                </c:pt>
                <c:pt idx="249">
                  <c:v>0.00737593282747938</c:v>
                </c:pt>
                <c:pt idx="250">
                  <c:v>0.00803902786077278</c:v>
                </c:pt>
                <c:pt idx="251">
                  <c:v>0.00880226782769898</c:v>
                </c:pt>
                <c:pt idx="252">
                  <c:v>0.00968701451784991</c:v>
                </c:pt>
                <c:pt idx="253">
                  <c:v>0.0107207083031872</c:v>
                </c:pt>
                <c:pt idx="254">
                  <c:v>0.0119390923480892</c:v>
                </c:pt>
                <c:pt idx="255">
                  <c:v>0.0133894599083264</c:v>
                </c:pt>
                <c:pt idx="256">
                  <c:v>0.01513550789811</c:v>
                </c:pt>
                <c:pt idx="257">
                  <c:v>0.0172647882627683</c:v>
                </c:pt>
                <c:pt idx="258">
                  <c:v>0.0199005071138876</c:v>
                </c:pt>
                <c:pt idx="259">
                  <c:v>0.0232208979315901</c:v>
                </c:pt>
                <c:pt idx="260">
                  <c:v>0.0274924308768265</c:v>
                </c:pt>
                <c:pt idx="261">
                  <c:v>0.033129793030504</c:v>
                </c:pt>
                <c:pt idx="262">
                  <c:v>0.0408114945066144</c:v>
                </c:pt>
                <c:pt idx="263">
                  <c:v>0.0517221063076905</c:v>
                </c:pt>
                <c:pt idx="264">
                  <c:v>0.0681202878588735</c:v>
                </c:pt>
                <c:pt idx="265">
                  <c:v>0.0949055708194083</c:v>
                </c:pt>
                <c:pt idx="266">
                  <c:v>0.145244228855303</c:v>
                </c:pt>
                <c:pt idx="267">
                  <c:v>0.276118110470769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'Plotting Sheet'!$P$5</c:f>
              <c:strCache>
                <c:ptCount val="1"/>
                <c:pt idx="0">
                  <c:v>rec energy</c:v>
                </c:pt>
              </c:strCache>
            </c:strRef>
          </c:tx>
          <c:spPr>
            <a:solidFill>
              <a:srgbClr val="ff00ff"/>
            </a:solidFill>
            <a:ln w="1908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'Plotting Sheet'!$O$6:$O$368</c:f>
              <c:numCache>
                <c:formatCode>General</c:formatCode>
                <c:ptCount val="363"/>
                <c:pt idx="0">
                  <c:v>0</c:v>
                </c:pt>
                <c:pt idx="1">
                  <c:v>1.15769606445903</c:v>
                </c:pt>
                <c:pt idx="2">
                  <c:v>2.31057047114142</c:v>
                </c:pt>
                <c:pt idx="3">
                  <c:v>3.45387167139322</c:v>
                </c:pt>
                <c:pt idx="4">
                  <c:v>4.58298581737764</c:v>
                </c:pt>
                <c:pt idx="5">
                  <c:v>5.69349948599639</c:v>
                </c:pt>
                <c:pt idx="6">
                  <c:v>6.78125550124549</c:v>
                </c:pt>
                <c:pt idx="7">
                  <c:v>7.84240025471724</c:v>
                </c:pt>
                <c:pt idx="8">
                  <c:v>8.87342143176175</c:v>
                </c:pt>
                <c:pt idx="9">
                  <c:v>9.87117558613755</c:v>
                </c:pt>
                <c:pt idx="10">
                  <c:v>10.8329055239524</c:v>
                </c:pt>
                <c:pt idx="11">
                  <c:v>11.7562479203319</c:v>
                </c:pt>
                <c:pt idx="12">
                  <c:v>12.6392319720688</c:v>
                </c:pt>
                <c:pt idx="13">
                  <c:v>13.4802701706473</c:v>
                </c:pt>
                <c:pt idx="14">
                  <c:v>14.2781424583719</c:v>
                </c:pt>
                <c:pt idx="15">
                  <c:v>15.031975111204</c:v>
                </c:pt>
                <c:pt idx="16">
                  <c:v>15.7412156880868</c:v>
                </c:pt>
                <c:pt idx="17">
                  <c:v>16.4056053148705</c:v>
                </c:pt>
                <c:pt idx="18">
                  <c:v>17.0251494501236</c:v>
                </c:pt>
                <c:pt idx="19">
                  <c:v>17.6000881281478</c:v>
                </c:pt>
                <c:pt idx="20">
                  <c:v>18.1308665075662</c:v>
                </c:pt>
                <c:pt idx="21">
                  <c:v>18.6181063849784</c:v>
                </c:pt>
                <c:pt idx="22">
                  <c:v>19.0625791723571</c:v>
                </c:pt>
                <c:pt idx="23">
                  <c:v>19.4651806908228</c:v>
                </c:pt>
                <c:pt idx="24">
                  <c:v>19.8269080061442</c:v>
                </c:pt>
                <c:pt idx="25">
                  <c:v>20.1488384244919</c:v>
                </c:pt>
                <c:pt idx="26">
                  <c:v>20.4321106805731</c:v>
                </c:pt>
                <c:pt idx="27">
                  <c:v>20.6779082830892</c:v>
                </c:pt>
                <c:pt idx="28">
                  <c:v>20.8874449325119</c:v>
                </c:pt>
                <c:pt idx="29">
                  <c:v>21.0619518911057</c:v>
                </c:pt>
                <c:pt idx="30">
                  <c:v>21.2026671624743</c:v>
                </c:pt>
                <c:pt idx="31">
                  <c:v>21.3108263252976</c:v>
                </c:pt>
                <c:pt idx="32">
                  <c:v>21.3876548611814</c:v>
                </c:pt>
                <c:pt idx="33">
                  <c:v>21.4343618176682</c:v>
                </c:pt>
                <c:pt idx="34">
                  <c:v>21.4521346529384</c:v>
                </c:pt>
                <c:pt idx="35">
                  <c:v>21.4421351171209</c:v>
                </c:pt>
                <c:pt idx="36">
                  <c:v>21.4054960353773</c:v>
                </c:pt>
                <c:pt idx="37">
                  <c:v>21.3433188692288</c:v>
                </c:pt>
                <c:pt idx="38">
                  <c:v>21.2566719442202</c:v>
                </c:pt>
                <c:pt idx="39">
                  <c:v>21.1465892436526</c:v>
                </c:pt>
                <c:pt idx="40">
                  <c:v>21.0140696791917</c:v>
                </c:pt>
                <c:pt idx="41">
                  <c:v>20.8600767597826</c:v>
                </c:pt>
                <c:pt idx="42">
                  <c:v>20.6855385899722</c:v>
                </c:pt>
                <c:pt idx="43">
                  <c:v>20.4913481377073</c:v>
                </c:pt>
                <c:pt idx="44">
                  <c:v>20.2783637196986</c:v>
                </c:pt>
                <c:pt idx="45">
                  <c:v>20.0474096596433</c:v>
                </c:pt>
                <c:pt idx="46">
                  <c:v>19.7992770809534</c:v>
                </c:pt>
                <c:pt idx="47">
                  <c:v>19.5347248012379</c:v>
                </c:pt>
                <c:pt idx="48">
                  <c:v>19.2544803006331</c:v>
                </c:pt>
                <c:pt idx="49">
                  <c:v>18.9592407402709</c:v>
                </c:pt>
                <c:pt idx="50">
                  <c:v>18.6496740107615</c:v>
                </c:pt>
                <c:pt idx="51">
                  <c:v>18.3264197935563</c:v>
                </c:pt>
                <c:pt idx="52">
                  <c:v>17.9900906205837</c:v>
                </c:pt>
                <c:pt idx="53">
                  <c:v>17.6412729195279</c:v>
                </c:pt>
                <c:pt idx="54">
                  <c:v>17.2805280337229</c:v>
                </c:pt>
                <c:pt idx="55">
                  <c:v>16.9083932067218</c:v>
                </c:pt>
                <c:pt idx="56">
                  <c:v>16.5253825223303</c:v>
                </c:pt>
                <c:pt idx="57">
                  <c:v>16.1319877910958</c:v>
                </c:pt>
                <c:pt idx="58">
                  <c:v>15.72867937402</c:v>
                </c:pt>
                <c:pt idx="59">
                  <c:v>15.315906933439</c:v>
                </c:pt>
                <c:pt idx="60">
                  <c:v>14.8941000995239</c:v>
                </c:pt>
                <c:pt idx="61">
                  <c:v>14.4636690385257</c:v>
                </c:pt>
                <c:pt idx="62">
                  <c:v>14.0250049054539</c:v>
                </c:pt>
                <c:pt idx="63">
                  <c:v>13.5784801589888</c:v>
                </c:pt>
                <c:pt idx="64">
                  <c:v>13.1244487094599</c:v>
                </c:pt>
                <c:pt idx="65">
                  <c:v>12.6632458609819</c:v>
                </c:pt>
                <c:pt idx="66">
                  <c:v>12.1951879949188</c:v>
                </c:pt>
                <c:pt idx="67">
                  <c:v>11.7205719219787</c:v>
                </c:pt>
                <c:pt idx="68">
                  <c:v>11.2396738013989</c:v>
                </c:pt>
                <c:pt idx="69">
                  <c:v>10.7527474832325</c:v>
                </c:pt>
                <c:pt idx="70">
                  <c:v>10.2600220661079</c:v>
                </c:pt>
                <c:pt idx="71">
                  <c:v>9.76169836554128</c:v>
                </c:pt>
                <c:pt idx="72">
                  <c:v>9.25794383571615</c:v>
                </c:pt>
                <c:pt idx="73">
                  <c:v>8.74888524341284</c:v>
                </c:pt>
                <c:pt idx="74">
                  <c:v>8.23459798931027</c:v>
                </c:pt>
                <c:pt idx="75">
                  <c:v>7.71509028263512</c:v>
                </c:pt>
                <c:pt idx="76">
                  <c:v>7.19027915167423</c:v>
                </c:pt>
                <c:pt idx="77">
                  <c:v>6.65995300083971</c:v>
                </c:pt>
                <c:pt idx="78">
                  <c:v>6.12371097546916</c:v>
                </c:pt>
                <c:pt idx="79">
                  <c:v>5.58086009968742</c:v>
                </c:pt>
                <c:pt idx="80">
                  <c:v>5.03023011907749</c:v>
                </c:pt>
                <c:pt idx="81">
                  <c:v>4.46981328424791</c:v>
                </c:pt>
                <c:pt idx="82">
                  <c:v>3.89598513331273</c:v>
                </c:pt>
                <c:pt idx="83">
                  <c:v>3.3015367138135</c:v>
                </c:pt>
                <c:pt idx="84">
                  <c:v>2.66927162020123</c:v>
                </c:pt>
                <c:pt idx="85">
                  <c:v>1.93609456039971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0.000811701725615445</c:v>
                </c:pt>
                <c:pt idx="184">
                  <c:v>0.00162390048069299</c:v>
                </c:pt>
                <c:pt idx="185">
                  <c:v>0.0024370945082042</c:v>
                </c:pt>
                <c:pt idx="186">
                  <c:v>0.0032517845237188</c:v>
                </c:pt>
                <c:pt idx="187">
                  <c:v>0.00406847487694972</c:v>
                </c:pt>
                <c:pt idx="188">
                  <c:v>0.00488767492797317</c:v>
                </c:pt>
                <c:pt idx="189">
                  <c:v>0.00570990025302459</c:v>
                </c:pt>
                <c:pt idx="190">
                  <c:v>0.00653567392563292</c:v>
                </c:pt>
                <c:pt idx="191">
                  <c:v>0.00736552803569326</c:v>
                </c:pt>
                <c:pt idx="192">
                  <c:v>0.00820000491384818</c:v>
                </c:pt>
                <c:pt idx="193">
                  <c:v>0.00903965864456681</c:v>
                </c:pt>
                <c:pt idx="194">
                  <c:v>0.00988505674944976</c:v>
                </c:pt>
                <c:pt idx="195">
                  <c:v>0.0107367815194373</c:v>
                </c:pt>
                <c:pt idx="196">
                  <c:v>0.0115954319290166</c:v>
                </c:pt>
                <c:pt idx="197">
                  <c:v>0.0124616253040738</c:v>
                </c:pt>
                <c:pt idx="198">
                  <c:v>0.0133359992819912</c:v>
                </c:pt>
                <c:pt idx="199">
                  <c:v>0.0142192138127076</c:v>
                </c:pt>
                <c:pt idx="200">
                  <c:v>0.0151119530154973</c:v>
                </c:pt>
                <c:pt idx="201">
                  <c:v>0.016014928121062</c:v>
                </c:pt>
                <c:pt idx="202">
                  <c:v>0.0169288791535575</c:v>
                </c:pt>
                <c:pt idx="203">
                  <c:v>0.0178545782372545</c:v>
                </c:pt>
                <c:pt idx="204">
                  <c:v>0.0187928319341268</c:v>
                </c:pt>
                <c:pt idx="205">
                  <c:v>0.0197444846066229</c:v>
                </c:pt>
                <c:pt idx="206">
                  <c:v>0.0207104218141539</c:v>
                </c:pt>
                <c:pt idx="207">
                  <c:v>0.0216915736650465</c:v>
                </c:pt>
                <c:pt idx="208">
                  <c:v>0.0226889188381549</c:v>
                </c:pt>
                <c:pt idx="209">
                  <c:v>0.0237034893434004</c:v>
                </c:pt>
                <c:pt idx="210">
                  <c:v>0.0247363742911337</c:v>
                </c:pt>
                <c:pt idx="211">
                  <c:v>0.0257887258148946</c:v>
                </c:pt>
                <c:pt idx="212">
                  <c:v>0.0268617644769548</c:v>
                </c:pt>
                <c:pt idx="213">
                  <c:v>0.0279567853875212</c:v>
                </c:pt>
                <c:pt idx="214">
                  <c:v>0.0290751650228968</c:v>
                </c:pt>
                <c:pt idx="215">
                  <c:v>0.0302183690422901</c:v>
                </c:pt>
                <c:pt idx="216">
                  <c:v>0.031387960248089</c:v>
                </c:pt>
                <c:pt idx="217">
                  <c:v>0.0325856077144715</c:v>
                </c:pt>
                <c:pt idx="218">
                  <c:v>0.0338130978523915</c:v>
                </c:pt>
                <c:pt idx="219">
                  <c:v>0.0350723451785743</c:v>
                </c:pt>
                <c:pt idx="220">
                  <c:v>0.0363654047079152</c:v>
                </c:pt>
                <c:pt idx="221">
                  <c:v>0.0376944872912186</c:v>
                </c:pt>
                <c:pt idx="222">
                  <c:v>0.0390619745237093</c:v>
                </c:pt>
                <c:pt idx="223">
                  <c:v>0.0404704371833488</c:v>
                </c:pt>
                <c:pt idx="224">
                  <c:v>0.0419226558013691</c:v>
                </c:pt>
                <c:pt idx="225">
                  <c:v>0.0434216424220224</c:v>
                </c:pt>
                <c:pt idx="226">
                  <c:v>0.0449706674002673</c:v>
                </c:pt>
                <c:pt idx="227">
                  <c:v>0.0465732881215047</c:v>
                </c:pt>
                <c:pt idx="228">
                  <c:v>0.0482333826107887</c:v>
                </c:pt>
                <c:pt idx="229">
                  <c:v>0.0499551875751839</c:v>
                </c:pt>
                <c:pt idx="230">
                  <c:v>0.0517433420684374</c:v>
                </c:pt>
                <c:pt idx="231">
                  <c:v>0.0536029369302793</c:v>
                </c:pt>
                <c:pt idx="232">
                  <c:v>0.0555395739046926</c:v>
                </c:pt>
                <c:pt idx="233">
                  <c:v>0.0575594310021513</c:v>
                </c:pt>
                <c:pt idx="234">
                  <c:v>0.0596693411709519</c:v>
                </c:pt>
                <c:pt idx="235">
                  <c:v>0.0618768822119605</c:v>
                </c:pt>
                <c:pt idx="236">
                  <c:v>0.0641904826962108</c:v>
                </c:pt>
                <c:pt idx="237">
                  <c:v>0.0666195466722438</c:v>
                </c:pt>
                <c:pt idx="238">
                  <c:v>0.0691746012789096</c:v>
                </c:pt>
                <c:pt idx="239">
                  <c:v>0.0718674705281529</c:v>
                </c:pt>
                <c:pt idx="240">
                  <c:v>0.0747114842181026</c:v>
                </c:pt>
                <c:pt idx="241">
                  <c:v>0.0777217284402515</c:v>
                </c:pt>
                <c:pt idx="242">
                  <c:v>0.0809153469915215</c:v>
                </c:pt>
                <c:pt idx="243">
                  <c:v>0.0843119086059435</c:v>
                </c:pt>
                <c:pt idx="244">
                  <c:v>0.0879338557031131</c:v>
                </c:pt>
                <c:pt idx="245">
                  <c:v>0.0918070570334792</c:v>
                </c:pt>
                <c:pt idx="246">
                  <c:v>0.0959614939693993</c:v>
                </c:pt>
                <c:pt idx="247">
                  <c:v>0.10043212075513</c:v>
                </c:pt>
                <c:pt idx="248">
                  <c:v>0.105259950213929</c:v>
                </c:pt>
                <c:pt idx="249">
                  <c:v>0.110493441430052</c:v>
                </c:pt>
                <c:pt idx="250">
                  <c:v>0.116190289251495</c:v>
                </c:pt>
                <c:pt idx="251">
                  <c:v>0.122419763692166</c:v>
                </c:pt>
                <c:pt idx="252">
                  <c:v>0.129265804746456</c:v>
                </c:pt>
                <c:pt idx="253">
                  <c:v>0.136831182372708</c:v>
                </c:pt>
                <c:pt idx="254">
                  <c:v>0.145243177545086</c:v>
                </c:pt>
                <c:pt idx="255">
                  <c:v>0.154661487842047</c:v>
                </c:pt>
                <c:pt idx="256">
                  <c:v>0.165289463931331</c:v>
                </c:pt>
                <c:pt idx="257">
                  <c:v>0.177390472224736</c:v>
                </c:pt>
                <c:pt idx="258">
                  <c:v>0.191312402014685</c:v>
                </c:pt>
                <c:pt idx="259">
                  <c:v>0.20752560832782</c:v>
                </c:pt>
                <c:pt idx="260">
                  <c:v>0.226684030477628</c:v>
                </c:pt>
                <c:pt idx="261">
                  <c:v>0.249728521686878</c:v>
                </c:pt>
                <c:pt idx="262">
                  <c:v>0.278072460276767</c:v>
                </c:pt>
                <c:pt idx="263">
                  <c:v>0.313962406481226</c:v>
                </c:pt>
                <c:pt idx="264">
                  <c:v>0.361257748900579</c:v>
                </c:pt>
                <c:pt idx="265">
                  <c:v>0.427398900671505</c:v>
                </c:pt>
                <c:pt idx="266">
                  <c:v>0.52981067067577</c:v>
                </c:pt>
                <c:pt idx="267">
                  <c:v>0.731814097193463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</c:numCache>
            </c:numRef>
          </c:xVal>
          <c:yVal>
            <c:numRef>
              <c:f>'Plotting Sheet'!$P$6:$P$368</c:f>
              <c:numCache>
                <c:formatCode>General</c:formatCode>
                <c:ptCount val="363"/>
                <c:pt idx="0">
                  <c:v>132.472864602404</c:v>
                </c:pt>
                <c:pt idx="1">
                  <c:v>132.621003143405</c:v>
                </c:pt>
                <c:pt idx="2">
                  <c:v>133.065235856445</c:v>
                </c:pt>
                <c:pt idx="3">
                  <c:v>133.805014246363</c:v>
                </c:pt>
                <c:pt idx="4">
                  <c:v>134.83942493684</c:v>
                </c:pt>
                <c:pt idx="5">
                  <c:v>136.167190842506</c:v>
                </c:pt>
                <c:pt idx="6">
                  <c:v>137.786672807591</c:v>
                </c:pt>
                <c:pt idx="7">
                  <c:v>139.695871708585</c:v>
                </c:pt>
                <c:pt idx="8">
                  <c:v>141.892431017825</c:v>
                </c:pt>
                <c:pt idx="9">
                  <c:v>144.373639824386</c:v>
                </c:pt>
                <c:pt idx="10">
                  <c:v>147.136436307604</c:v>
                </c:pt>
                <c:pt idx="11">
                  <c:v>150.177411658474</c:v>
                </c:pt>
                <c:pt idx="12">
                  <c:v>153.492814442855</c:v>
                </c:pt>
                <c:pt idx="13">
                  <c:v>157.078555400469</c:v>
                </c:pt>
                <c:pt idx="14">
                  <c:v>160.930212672411</c:v>
                </c:pt>
                <c:pt idx="15">
                  <c:v>165.0430374498</c:v>
                </c:pt>
                <c:pt idx="16">
                  <c:v>169.411960035302</c:v>
                </c:pt>
                <c:pt idx="17">
                  <c:v>174.031596308822</c:v>
                </c:pt>
                <c:pt idx="18">
                  <c:v>178.896254587982</c:v>
                </c:pt>
                <c:pt idx="19">
                  <c:v>183.999942873695</c:v>
                </c:pt>
                <c:pt idx="20">
                  <c:v>189.336376470298</c:v>
                </c:pt>
                <c:pt idx="21">
                  <c:v>194.898985969495</c:v>
                </c:pt>
                <c:pt idx="22">
                  <c:v>200.680925586778</c:v>
                </c:pt>
                <c:pt idx="23">
                  <c:v>206.675081838471</c:v>
                </c:pt>
                <c:pt idx="24">
                  <c:v>212.874082547236</c:v>
                </c:pt>
                <c:pt idx="25">
                  <c:v>219.270306163372</c:v>
                </c:pt>
                <c:pt idx="26">
                  <c:v>225.8558913889</c:v>
                </c:pt>
                <c:pt idx="27">
                  <c:v>232.622747091088</c:v>
                </c:pt>
                <c:pt idx="28">
                  <c:v>239.562562491656</c:v>
                </c:pt>
                <c:pt idx="29">
                  <c:v>246.666817617621</c:v>
                </c:pt>
                <c:pt idx="30">
                  <c:v>253.926793999531</c:v>
                </c:pt>
                <c:pt idx="31">
                  <c:v>261.333585602543</c:v>
                </c:pt>
                <c:pt idx="32">
                  <c:v>268.878109975337</c:v>
                </c:pt>
                <c:pt idx="33">
                  <c:v>276.551119602114</c:v>
                </c:pt>
                <c:pt idx="34">
                  <c:v>284.343213442324</c:v>
                </c:pt>
                <c:pt idx="35">
                  <c:v>292.244848642739</c:v>
                </c:pt>
                <c:pt idx="36">
                  <c:v>300.246352406529</c:v>
                </c:pt>
                <c:pt idx="37">
                  <c:v>308.337934003509</c:v>
                </c:pt>
                <c:pt idx="38">
                  <c:v>316.509696906238</c:v>
                </c:pt>
                <c:pt idx="39">
                  <c:v>324.751651035694</c:v>
                </c:pt>
                <c:pt idx="40">
                  <c:v>333.05372510144</c:v>
                </c:pt>
                <c:pt idx="41">
                  <c:v>341.405779019829</c:v>
                </c:pt>
                <c:pt idx="42">
                  <c:v>349.797616395</c:v>
                </c:pt>
                <c:pt idx="43">
                  <c:v>358.218997046675</c:v>
                </c:pt>
                <c:pt idx="44">
                  <c:v>366.659649569251</c:v>
                </c:pt>
                <c:pt idx="45">
                  <c:v>375.109283906526</c:v>
                </c:pt>
                <c:pt idx="46">
                  <c:v>383.557603926757</c:v>
                </c:pt>
                <c:pt idx="47">
                  <c:v>391.994319982602</c:v>
                </c:pt>
                <c:pt idx="48">
                  <c:v>400.409161440945</c:v>
                </c:pt>
                <c:pt idx="49">
                  <c:v>408.791889167667</c:v>
                </c:pt>
                <c:pt idx="50">
                  <c:v>417.132307952545</c:v>
                </c:pt>
                <c:pt idx="51">
                  <c:v>425.420278860015</c:v>
                </c:pt>
                <c:pt idx="52">
                  <c:v>433.645731491432</c:v>
                </c:pt>
                <c:pt idx="53">
                  <c:v>441.798676145227</c:v>
                </c:pt>
                <c:pt idx="54">
                  <c:v>449.8692158613</c:v>
                </c:pt>
                <c:pt idx="55">
                  <c:v>457.847558336833</c:v>
                </c:pt>
                <c:pt idx="56">
                  <c:v>465.724027700817</c:v>
                </c:pt>
                <c:pt idx="57">
                  <c:v>473.489076135566</c:v>
                </c:pt>
                <c:pt idx="58">
                  <c:v>481.133295333936</c:v>
                </c:pt>
                <c:pt idx="59">
                  <c:v>488.647427781878</c:v>
                </c:pt>
                <c:pt idx="60">
                  <c:v>496.022377857139</c:v>
                </c:pt>
                <c:pt idx="61">
                  <c:v>503.249222736229</c:v>
                </c:pt>
                <c:pt idx="62">
                  <c:v>510.319223103558</c:v>
                </c:pt>
                <c:pt idx="63">
                  <c:v>517.223833658878</c:v>
                </c:pt>
                <c:pt idx="64">
                  <c:v>523.954713422735</c:v>
                </c:pt>
                <c:pt idx="65">
                  <c:v>530.503735843567</c:v>
                </c:pt>
                <c:pt idx="66">
                  <c:v>536.862998716757</c:v>
                </c:pt>
                <c:pt idx="67">
                  <c:v>543.024833934845</c:v>
                </c:pt>
                <c:pt idx="68">
                  <c:v>548.981817101555</c:v>
                </c:pt>
                <c:pt idx="69">
                  <c:v>554.726777062395</c:v>
                </c:pt>
                <c:pt idx="70">
                  <c:v>560.252805435866</c:v>
                </c:pt>
                <c:pt idx="71">
                  <c:v>565.553266278561</c:v>
                </c:pt>
                <c:pt idx="72">
                  <c:v>570.621806097208</c:v>
                </c:pt>
                <c:pt idx="73">
                  <c:v>575.452364554124</c:v>
                </c:pt>
                <c:pt idx="74">
                  <c:v>580.039186441578</c:v>
                </c:pt>
                <c:pt idx="75">
                  <c:v>584.376835909578</c:v>
                </c:pt>
                <c:pt idx="76">
                  <c:v>588.460214690284</c:v>
                </c:pt>
                <c:pt idx="77">
                  <c:v>592.284587539032</c:v>
                </c:pt>
                <c:pt idx="78">
                  <c:v>595.845621147743</c:v>
                </c:pt>
                <c:pt idx="79">
                  <c:v>599.139449460537</c:v>
                </c:pt>
                <c:pt idx="80">
                  <c:v>602.1627942405</c:v>
                </c:pt>
                <c:pt idx="81">
                  <c:v>604.913211889383</c:v>
                </c:pt>
                <c:pt idx="82">
                  <c:v>607.389665673241</c:v>
                </c:pt>
                <c:pt idx="83">
                  <c:v>609.594096316807</c:v>
                </c:pt>
                <c:pt idx="84">
                  <c:v>611.537051292482</c:v>
                </c:pt>
                <c:pt idx="85">
                  <c:v>613.273236677932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615.198892992111</c:v>
                </c:pt>
                <c:pt idx="183">
                  <c:v>615.198892653806</c:v>
                </c:pt>
                <c:pt idx="184">
                  <c:v>615.19889163805</c:v>
                </c:pt>
                <c:pt idx="185">
                  <c:v>615.198889942365</c:v>
                </c:pt>
                <c:pt idx="186">
                  <c:v>615.198887562567</c:v>
                </c:pt>
                <c:pt idx="187">
                  <c:v>615.198884492821</c:v>
                </c:pt>
                <c:pt idx="188">
                  <c:v>615.198880725517</c:v>
                </c:pt>
                <c:pt idx="189">
                  <c:v>615.198876251298</c:v>
                </c:pt>
                <c:pt idx="190">
                  <c:v>615.198871059006</c:v>
                </c:pt>
                <c:pt idx="191">
                  <c:v>615.198865135568</c:v>
                </c:pt>
                <c:pt idx="192">
                  <c:v>615.198858465993</c:v>
                </c:pt>
                <c:pt idx="193">
                  <c:v>615.198851033266</c:v>
                </c:pt>
                <c:pt idx="194">
                  <c:v>615.198842818214</c:v>
                </c:pt>
                <c:pt idx="195">
                  <c:v>615.19883379947</c:v>
                </c:pt>
                <c:pt idx="196">
                  <c:v>615.198823953297</c:v>
                </c:pt>
                <c:pt idx="197">
                  <c:v>615.198813253475</c:v>
                </c:pt>
                <c:pt idx="198">
                  <c:v>615.198801671137</c:v>
                </c:pt>
                <c:pt idx="199">
                  <c:v>615.1987891746</c:v>
                </c:pt>
                <c:pt idx="200">
                  <c:v>615.198775729221</c:v>
                </c:pt>
                <c:pt idx="201">
                  <c:v>615.198761297075</c:v>
                </c:pt>
                <c:pt idx="202">
                  <c:v>615.198745836842</c:v>
                </c:pt>
                <c:pt idx="203">
                  <c:v>615.198729303443</c:v>
                </c:pt>
                <c:pt idx="204">
                  <c:v>615.198711647819</c:v>
                </c:pt>
                <c:pt idx="205">
                  <c:v>615.198692816562</c:v>
                </c:pt>
                <c:pt idx="206">
                  <c:v>615.198672751543</c:v>
                </c:pt>
                <c:pt idx="207">
                  <c:v>615.198651389537</c:v>
                </c:pt>
                <c:pt idx="208">
                  <c:v>615.198628661764</c:v>
                </c:pt>
                <c:pt idx="209">
                  <c:v>615.198604493316</c:v>
                </c:pt>
                <c:pt idx="210">
                  <c:v>615.198578802709</c:v>
                </c:pt>
                <c:pt idx="211">
                  <c:v>615.198551501149</c:v>
                </c:pt>
                <c:pt idx="212">
                  <c:v>615.198522491848</c:v>
                </c:pt>
                <c:pt idx="213">
                  <c:v>615.198491669236</c:v>
                </c:pt>
                <c:pt idx="214">
                  <c:v>615.19845891806</c:v>
                </c:pt>
                <c:pt idx="215">
                  <c:v>615.198424112341</c:v>
                </c:pt>
                <c:pt idx="216">
                  <c:v>615.198387114276</c:v>
                </c:pt>
                <c:pt idx="217">
                  <c:v>615.198347772949</c:v>
                </c:pt>
                <c:pt idx="218">
                  <c:v>615.19830592279</c:v>
                </c:pt>
                <c:pt idx="219">
                  <c:v>615.198261381981</c:v>
                </c:pt>
                <c:pt idx="220">
                  <c:v>615.198213950597</c:v>
                </c:pt>
                <c:pt idx="221">
                  <c:v>615.198163408341</c:v>
                </c:pt>
                <c:pt idx="222">
                  <c:v>615.198109512184</c:v>
                </c:pt>
                <c:pt idx="223">
                  <c:v>615.198051993491</c:v>
                </c:pt>
                <c:pt idx="224">
                  <c:v>615.197990554735</c:v>
                </c:pt>
                <c:pt idx="225">
                  <c:v>615.197924865854</c:v>
                </c:pt>
                <c:pt idx="226">
                  <c:v>615.197854559832</c:v>
                </c:pt>
                <c:pt idx="227">
                  <c:v>615.197779227735</c:v>
                </c:pt>
                <c:pt idx="228">
                  <c:v>615.197698412852</c:v>
                </c:pt>
                <c:pt idx="229">
                  <c:v>615.197611603892</c:v>
                </c:pt>
                <c:pt idx="230">
                  <c:v>615.197518226998</c:v>
                </c:pt>
                <c:pt idx="231">
                  <c:v>615.197417636438</c:v>
                </c:pt>
                <c:pt idx="232">
                  <c:v>615.197309103417</c:v>
                </c:pt>
                <c:pt idx="233">
                  <c:v>615.197191803104</c:v>
                </c:pt>
                <c:pt idx="234">
                  <c:v>615.197064798941</c:v>
                </c:pt>
                <c:pt idx="235">
                  <c:v>615.196927024051</c:v>
                </c:pt>
                <c:pt idx="236">
                  <c:v>615.196777258861</c:v>
                </c:pt>
                <c:pt idx="237">
                  <c:v>615.196614104062</c:v>
                </c:pt>
                <c:pt idx="238">
                  <c:v>615.196435947776</c:v>
                </c:pt>
                <c:pt idx="239">
                  <c:v>615.196240925646</c:v>
                </c:pt>
                <c:pt idx="240">
                  <c:v>615.196026871675</c:v>
                </c:pt>
                <c:pt idx="241">
                  <c:v>615.195791257523</c:v>
                </c:pt>
                <c:pt idx="242">
                  <c:v>615.195531117109</c:v>
                </c:pt>
                <c:pt idx="243">
                  <c:v>615.195242952042</c:v>
                </c:pt>
                <c:pt idx="244">
                  <c:v>615.194922612267</c:v>
                </c:pt>
                <c:pt idx="245">
                  <c:v>615.194565144159</c:v>
                </c:pt>
                <c:pt idx="246">
                  <c:v>615.1941645954</c:v>
                </c:pt>
                <c:pt idx="247">
                  <c:v>615.193713761842</c:v>
                </c:pt>
                <c:pt idx="248">
                  <c:v>615.193203855951</c:v>
                </c:pt>
                <c:pt idx="249">
                  <c:v>615.192624067173</c:v>
                </c:pt>
                <c:pt idx="250">
                  <c:v>615.191960972139</c:v>
                </c:pt>
                <c:pt idx="251">
                  <c:v>615.191197732172</c:v>
                </c:pt>
                <c:pt idx="252">
                  <c:v>615.190312985482</c:v>
                </c:pt>
                <c:pt idx="253">
                  <c:v>615.189279291697</c:v>
                </c:pt>
                <c:pt idx="254">
                  <c:v>615.188060907652</c:v>
                </c:pt>
                <c:pt idx="255">
                  <c:v>615.186610540092</c:v>
                </c:pt>
                <c:pt idx="256">
                  <c:v>615.184864492102</c:v>
                </c:pt>
                <c:pt idx="257">
                  <c:v>615.182735211737</c:v>
                </c:pt>
                <c:pt idx="258">
                  <c:v>615.180099492886</c:v>
                </c:pt>
                <c:pt idx="259">
                  <c:v>615.176779102069</c:v>
                </c:pt>
                <c:pt idx="260">
                  <c:v>615.172507569123</c:v>
                </c:pt>
                <c:pt idx="261">
                  <c:v>615.16687020697</c:v>
                </c:pt>
                <c:pt idx="262">
                  <c:v>615.159188505493</c:v>
                </c:pt>
                <c:pt idx="263">
                  <c:v>615.148277893692</c:v>
                </c:pt>
                <c:pt idx="264">
                  <c:v>615.131879712141</c:v>
                </c:pt>
                <c:pt idx="265">
                  <c:v>615.105094429181</c:v>
                </c:pt>
                <c:pt idx="266">
                  <c:v>615.054755771145</c:v>
                </c:pt>
                <c:pt idx="267">
                  <c:v>614.923881889529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</c:numCache>
            </c:numRef>
          </c:yVal>
          <c:smooth val="0"/>
        </c:ser>
        <c:axId val="41345092"/>
        <c:axId val="64482201"/>
      </c:scatterChart>
      <c:valAx>
        <c:axId val="413450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lab angle</a:t>
                </a:r>
              </a:p>
            </c:rich>
          </c:tx>
          <c:layout>
            <c:manualLayout>
              <c:xMode val="edge"/>
              <c:yMode val="edge"/>
              <c:x val="0.439556791301822"/>
              <c:y val="0.942362782170276"/>
            </c:manualLayout>
          </c:layout>
          <c:overlay val="0"/>
          <c:spPr>
            <a:noFill/>
            <a:ln w="2556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4482201"/>
        <c:crosses val="autoZero"/>
        <c:crossBetween val="midCat"/>
      </c:valAx>
      <c:valAx>
        <c:axId val="64482201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lab energy</a:t>
                </a:r>
              </a:p>
            </c:rich>
          </c:tx>
          <c:layout>
            <c:manualLayout>
              <c:xMode val="edge"/>
              <c:yMode val="edge"/>
              <c:x val="0.0114122089886708"/>
              <c:y val="0.445513922310072"/>
            </c:manualLayout>
          </c:layout>
          <c:overlay val="0"/>
          <c:spPr>
            <a:noFill/>
            <a:ln w="2556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1345092"/>
        <c:crosses val="autoZero"/>
        <c:crossBetween val="midCat"/>
      </c:valAx>
      <c:spPr>
        <a:solidFill>
          <a:srgbClr val="f2f2f2"/>
        </a:solidFill>
        <a:ln w="12600">
          <a:solidFill>
            <a:srgbClr val="a6a6a6"/>
          </a:solidFill>
          <a:round/>
        </a:ln>
      </c:spPr>
    </c:plotArea>
    <c:legend>
      <c:legendPos val="r"/>
      <c:layout>
        <c:manualLayout>
          <c:xMode val="edge"/>
          <c:yMode val="edge"/>
          <c:x val="0.895553230790732"/>
          <c:y val="0.471186364624605"/>
          <c:w val="0.100310262423654"/>
          <c:h val="0.0728814383233449"/>
        </c:manualLayout>
      </c:layout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845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noFill/>
    <a:ln w="648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chart" Target="../charts/chart52.xml"/><Relationship Id="rId3" Type="http://schemas.openxmlformats.org/officeDocument/2006/relationships/chart" Target="../charts/chart53.xml"/><Relationship Id="rId4" Type="http://schemas.openxmlformats.org/officeDocument/2006/relationships/chart" Target="../charts/chart54.xml"/><Relationship Id="rId5" Type="http://schemas.openxmlformats.org/officeDocument/2006/relationships/chart" Target="../charts/chart55.xml"/><Relationship Id="rId6" Type="http://schemas.openxmlformats.org/officeDocument/2006/relationships/chart" Target="../charts/chart56.xml"/><Relationship Id="rId7" Type="http://schemas.openxmlformats.org/officeDocument/2006/relationships/chart" Target="../charts/chart57.xml"/><Relationship Id="rId8" Type="http://schemas.openxmlformats.org/officeDocument/2006/relationships/chart" Target="../charts/chart5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76320</xdr:colOff>
      <xdr:row>2</xdr:row>
      <xdr:rowOff>0</xdr:rowOff>
    </xdr:from>
    <xdr:to>
      <xdr:col>8</xdr:col>
      <xdr:colOff>494280</xdr:colOff>
      <xdr:row>15</xdr:row>
      <xdr:rowOff>160920</xdr:rowOff>
    </xdr:to>
    <xdr:graphicFrame>
      <xdr:nvGraphicFramePr>
        <xdr:cNvPr id="0" name="Chart 1"/>
        <xdr:cNvGraphicFramePr/>
      </xdr:nvGraphicFramePr>
      <xdr:xfrm>
        <a:off x="1943280" y="324000"/>
        <a:ext cx="3529440" cy="226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9360</xdr:rowOff>
    </xdr:from>
    <xdr:to>
      <xdr:col>14</xdr:col>
      <xdr:colOff>513360</xdr:colOff>
      <xdr:row>15</xdr:row>
      <xdr:rowOff>160920</xdr:rowOff>
    </xdr:to>
    <xdr:graphicFrame>
      <xdr:nvGraphicFramePr>
        <xdr:cNvPr id="1" name="Chart 2"/>
        <xdr:cNvGraphicFramePr/>
      </xdr:nvGraphicFramePr>
      <xdr:xfrm>
        <a:off x="5600880" y="333360"/>
        <a:ext cx="3624840" cy="225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85680</xdr:colOff>
      <xdr:row>17</xdr:row>
      <xdr:rowOff>0</xdr:rowOff>
    </xdr:from>
    <xdr:to>
      <xdr:col>8</xdr:col>
      <xdr:colOff>503640</xdr:colOff>
      <xdr:row>30</xdr:row>
      <xdr:rowOff>160920</xdr:rowOff>
    </xdr:to>
    <xdr:graphicFrame>
      <xdr:nvGraphicFramePr>
        <xdr:cNvPr id="2" name="Chart 3"/>
        <xdr:cNvGraphicFramePr/>
      </xdr:nvGraphicFramePr>
      <xdr:xfrm>
        <a:off x="1952640" y="2752560"/>
        <a:ext cx="3529440" cy="226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17</xdr:row>
      <xdr:rowOff>9360</xdr:rowOff>
    </xdr:from>
    <xdr:to>
      <xdr:col>14</xdr:col>
      <xdr:colOff>513360</xdr:colOff>
      <xdr:row>30</xdr:row>
      <xdr:rowOff>160920</xdr:rowOff>
    </xdr:to>
    <xdr:graphicFrame>
      <xdr:nvGraphicFramePr>
        <xdr:cNvPr id="3" name="Chart 4"/>
        <xdr:cNvGraphicFramePr/>
      </xdr:nvGraphicFramePr>
      <xdr:xfrm>
        <a:off x="5600880" y="2761920"/>
        <a:ext cx="3624840" cy="225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76320</xdr:colOff>
      <xdr:row>32</xdr:row>
      <xdr:rowOff>0</xdr:rowOff>
    </xdr:from>
    <xdr:to>
      <xdr:col>8</xdr:col>
      <xdr:colOff>504000</xdr:colOff>
      <xdr:row>46</xdr:row>
      <xdr:rowOff>8280</xdr:rowOff>
    </xdr:to>
    <xdr:graphicFrame>
      <xdr:nvGraphicFramePr>
        <xdr:cNvPr id="4" name="Chart 5"/>
        <xdr:cNvGraphicFramePr/>
      </xdr:nvGraphicFramePr>
      <xdr:xfrm>
        <a:off x="1943280" y="5181480"/>
        <a:ext cx="3539160" cy="227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9360</xdr:colOff>
      <xdr:row>32</xdr:row>
      <xdr:rowOff>0</xdr:rowOff>
    </xdr:from>
    <xdr:to>
      <xdr:col>14</xdr:col>
      <xdr:colOff>513000</xdr:colOff>
      <xdr:row>46</xdr:row>
      <xdr:rowOff>8280</xdr:rowOff>
    </xdr:to>
    <xdr:graphicFrame>
      <xdr:nvGraphicFramePr>
        <xdr:cNvPr id="5" name="Chart 6"/>
        <xdr:cNvGraphicFramePr/>
      </xdr:nvGraphicFramePr>
      <xdr:xfrm>
        <a:off x="5610240" y="5181480"/>
        <a:ext cx="3615120" cy="227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76320</xdr:colOff>
      <xdr:row>47</xdr:row>
      <xdr:rowOff>0</xdr:rowOff>
    </xdr:from>
    <xdr:to>
      <xdr:col>8</xdr:col>
      <xdr:colOff>504000</xdr:colOff>
      <xdr:row>61</xdr:row>
      <xdr:rowOff>8280</xdr:rowOff>
    </xdr:to>
    <xdr:graphicFrame>
      <xdr:nvGraphicFramePr>
        <xdr:cNvPr id="6" name="Chart 7"/>
        <xdr:cNvGraphicFramePr/>
      </xdr:nvGraphicFramePr>
      <xdr:xfrm>
        <a:off x="1943280" y="7610400"/>
        <a:ext cx="3539160" cy="227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9360</xdr:colOff>
      <xdr:row>47</xdr:row>
      <xdr:rowOff>0</xdr:rowOff>
    </xdr:from>
    <xdr:to>
      <xdr:col>14</xdr:col>
      <xdr:colOff>513000</xdr:colOff>
      <xdr:row>61</xdr:row>
      <xdr:rowOff>8280</xdr:rowOff>
    </xdr:to>
    <xdr:graphicFrame>
      <xdr:nvGraphicFramePr>
        <xdr:cNvPr id="7" name="Chart 8"/>
        <xdr:cNvGraphicFramePr/>
      </xdr:nvGraphicFramePr>
      <xdr:xfrm>
        <a:off x="5610240" y="7610400"/>
        <a:ext cx="3615120" cy="227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282240</xdr:colOff>
      <xdr:row>38</xdr:row>
      <xdr:rowOff>105840</xdr:rowOff>
    </xdr:to>
    <xdr:graphicFrame>
      <xdr:nvGraphicFramePr>
        <xdr:cNvPr id="8" name="Chart 1"/>
        <xdr:cNvGraphicFramePr/>
      </xdr:nvGraphicFramePr>
      <xdr:xfrm>
        <a:off x="0" y="0"/>
        <a:ext cx="8674560" cy="628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282240</xdr:colOff>
      <xdr:row>38</xdr:row>
      <xdr:rowOff>105840</xdr:rowOff>
    </xdr:to>
    <xdr:graphicFrame>
      <xdr:nvGraphicFramePr>
        <xdr:cNvPr id="9" name="Chart 1"/>
        <xdr:cNvGraphicFramePr/>
      </xdr:nvGraphicFramePr>
      <xdr:xfrm>
        <a:off x="0" y="0"/>
        <a:ext cx="8674560" cy="628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282240</xdr:colOff>
      <xdr:row>38</xdr:row>
      <xdr:rowOff>105840</xdr:rowOff>
    </xdr:to>
    <xdr:graphicFrame>
      <xdr:nvGraphicFramePr>
        <xdr:cNvPr id="10" name="Chart 1"/>
        <xdr:cNvGraphicFramePr/>
      </xdr:nvGraphicFramePr>
      <xdr:xfrm>
        <a:off x="0" y="0"/>
        <a:ext cx="8674560" cy="628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-nds.iaea.org/amdc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0"/>
  <sheetViews>
    <sheetView showFormulas="false" showGridLines="true" showRowColHeaders="true" showZeros="true" rightToLeft="false" tabSelected="true" showOutlineSymbols="true" defaultGridColor="true" view="normal" topLeftCell="A4" colorId="64" zoomScale="120" zoomScaleNormal="120" zoomScalePageLayoutView="100" workbookViewId="0">
      <pane xSplit="0" ySplit="10005" topLeftCell="A82" activePane="topLeft" state="split"/>
      <selection pane="topLeft" activeCell="D5" activeCellId="0" sqref="D5"/>
      <selection pane="bottomLeft" activeCell="A82" activeCellId="0" sqref="A82"/>
    </sheetView>
  </sheetViews>
  <sheetFormatPr defaultColWidth="8.83203125" defaultRowHeight="12.75" zeroHeight="false" outlineLevelRow="0" outlineLevelCol="0"/>
  <cols>
    <col collapsed="false" customWidth="true" hidden="false" outlineLevel="0" max="4" min="4" style="1" width="13.83"/>
    <col collapsed="false" customWidth="true" hidden="false" outlineLevel="0" max="11" min="11" style="1" width="11.33"/>
    <col collapsed="false" customWidth="true" hidden="false" outlineLevel="0" max="14" min="14" style="1" width="10.83"/>
    <col collapsed="false" customWidth="true" hidden="false" outlineLevel="0" max="15" min="15" style="1" width="10.66"/>
    <col collapsed="false" customWidth="true" hidden="false" outlineLevel="0" max="17" min="17" style="1" width="9.33"/>
    <col collapsed="false" customWidth="true" hidden="false" outlineLevel="0" max="40" min="40" style="1" width="9.52"/>
  </cols>
  <sheetData>
    <row r="1" customFormat="false" ht="12.75" hidden="false" customHeight="false" outlineLevel="0" collapsed="false">
      <c r="C1" s="2"/>
      <c r="D1" s="3"/>
      <c r="E1" s="4" t="s">
        <v>0</v>
      </c>
      <c r="F1" s="3"/>
      <c r="J1" s="4" t="s">
        <v>1</v>
      </c>
      <c r="K1" s="2"/>
    </row>
    <row r="2" customFormat="false" ht="12.75" hidden="false" customHeight="false" outlineLevel="0" collapsed="false">
      <c r="C2" s="2" t="s">
        <v>2</v>
      </c>
      <c r="D2" s="3" t="s">
        <v>3</v>
      </c>
      <c r="E2" s="4" t="s">
        <v>4</v>
      </c>
      <c r="F2" s="4" t="s">
        <v>5</v>
      </c>
      <c r="I2" s="1" t="s">
        <v>6</v>
      </c>
      <c r="J2" s="4" t="s">
        <v>7</v>
      </c>
      <c r="K2" s="2" t="s">
        <v>1</v>
      </c>
      <c r="N2" s="5" t="s">
        <v>8</v>
      </c>
      <c r="O2" s="5"/>
      <c r="Q2" s="5" t="s">
        <v>9</v>
      </c>
      <c r="R2" s="5"/>
      <c r="S2" s="5"/>
      <c r="U2" s="2" t="s">
        <v>1</v>
      </c>
    </row>
    <row r="3" customFormat="false" ht="13.5" hidden="false" customHeight="false" outlineLevel="0" collapsed="false">
      <c r="B3" s="6"/>
      <c r="C3" s="7" t="s">
        <v>10</v>
      </c>
      <c r="D3" s="8"/>
      <c r="E3" s="9" t="s">
        <v>11</v>
      </c>
      <c r="F3" s="9" t="s">
        <v>11</v>
      </c>
      <c r="G3" s="6"/>
      <c r="H3" s="6"/>
      <c r="I3" s="6"/>
      <c r="J3" s="10" t="s">
        <v>12</v>
      </c>
      <c r="K3" s="11" t="s">
        <v>13</v>
      </c>
      <c r="N3" s="6"/>
      <c r="O3" s="6"/>
      <c r="Q3" s="5" t="s">
        <v>14</v>
      </c>
      <c r="R3" s="5"/>
      <c r="S3" s="5"/>
      <c r="U3" s="2" t="s">
        <v>11</v>
      </c>
    </row>
    <row r="4" customFormat="false" ht="12.75" hidden="false" customHeight="false" outlineLevel="0" collapsed="false">
      <c r="C4" s="2"/>
      <c r="D4" s="3"/>
      <c r="G4" s="1" t="s">
        <v>15</v>
      </c>
      <c r="K4" s="2"/>
      <c r="Q4" s="5" t="s">
        <v>16</v>
      </c>
      <c r="R4" s="5"/>
      <c r="S4" s="5"/>
      <c r="U4" s="2"/>
    </row>
    <row r="5" customFormat="false" ht="12.75" hidden="false" customHeight="false" outlineLevel="0" collapsed="false">
      <c r="B5" s="1" t="s">
        <v>0</v>
      </c>
      <c r="C5" s="12" t="s">
        <v>17</v>
      </c>
      <c r="D5" s="13" t="n">
        <v>158</v>
      </c>
      <c r="E5" s="14" t="n">
        <v>616.2</v>
      </c>
      <c r="F5" s="15" t="n">
        <f aca="false">E5*K6/(K5+K6)</f>
        <v>165.379838518188</v>
      </c>
      <c r="G5" s="16" t="str">
        <f aca="false">IF((F5+N10)&gt;0,"above","BELOW")</f>
        <v>above</v>
      </c>
      <c r="I5" s="1" t="n">
        <f aca="false">INDEX(Z_values,MATCH(C5,Symbol_values,0))</f>
        <v>68</v>
      </c>
      <c r="J5" s="17" t="n">
        <f aca="false">'mass_rmd.mas'!H2</f>
        <v>-65.303808</v>
      </c>
      <c r="K5" s="18" t="n">
        <f aca="false">'mass_rmd.mas'!E2</f>
        <v>157.929894046344</v>
      </c>
      <c r="N5" s="19" t="s">
        <v>18</v>
      </c>
      <c r="O5" s="4" t="s">
        <v>19</v>
      </c>
      <c r="P5" s="2"/>
      <c r="Q5" s="5" t="s">
        <v>20</v>
      </c>
      <c r="R5" s="5"/>
      <c r="S5" s="5"/>
      <c r="U5" s="1" t="n">
        <f aca="false">'mass_rmd.mas'!E2*'mass_rmd.mas'!A2</f>
        <v>147111.948992</v>
      </c>
    </row>
    <row r="6" customFormat="false" ht="12.75" hidden="false" customHeight="false" outlineLevel="0" collapsed="false">
      <c r="B6" s="1" t="s">
        <v>21</v>
      </c>
      <c r="C6" s="12" t="s">
        <v>22</v>
      </c>
      <c r="D6" s="13" t="n">
        <v>58</v>
      </c>
      <c r="F6" s="3"/>
      <c r="G6" s="1" t="s">
        <v>23</v>
      </c>
      <c r="I6" s="1" t="n">
        <f aca="false">INDEX(Z_values,MATCH(C6,Symbol_values,0))</f>
        <v>28</v>
      </c>
      <c r="J6" s="17" t="n">
        <f aca="false">'mass_rmd.mas'!H3</f>
        <v>-60.228744</v>
      </c>
      <c r="K6" s="18" t="n">
        <f aca="false">'mass_rmd.mas'!E3</f>
        <v>57.9353423075172</v>
      </c>
      <c r="N6" s="19" t="s">
        <v>24</v>
      </c>
      <c r="O6" s="4" t="s">
        <v>24</v>
      </c>
      <c r="P6" s="2"/>
      <c r="Q6" s="20" t="s">
        <v>25</v>
      </c>
      <c r="R6" s="20"/>
      <c r="S6" s="20"/>
      <c r="U6" s="1" t="n">
        <f aca="false">'mass_rmd.mas'!E3*'mass_rmd.mas'!A2</f>
        <v>53966.864056</v>
      </c>
    </row>
    <row r="7" customFormat="false" ht="12.75" hidden="false" customHeight="false" outlineLevel="0" collapsed="false">
      <c r="C7" s="2"/>
      <c r="D7" s="3"/>
      <c r="F7" s="4" t="s">
        <v>26</v>
      </c>
      <c r="G7" s="4"/>
      <c r="N7" s="19" t="s">
        <v>8</v>
      </c>
      <c r="O7" s="4" t="s">
        <v>8</v>
      </c>
      <c r="P7" s="2"/>
      <c r="Q7" s="2"/>
    </row>
    <row r="8" customFormat="false" ht="12.75" hidden="false" customHeight="false" outlineLevel="0" collapsed="false">
      <c r="B8" s="1" t="s">
        <v>27</v>
      </c>
      <c r="C8" s="12" t="s">
        <v>22</v>
      </c>
      <c r="D8" s="13" t="n">
        <v>58</v>
      </c>
      <c r="F8" s="14" t="n">
        <v>0</v>
      </c>
      <c r="G8" s="3" t="s">
        <v>28</v>
      </c>
      <c r="I8" s="1" t="n">
        <f aca="false">INDEX(Z_values,MATCH(C8,Symbol_values,0))</f>
        <v>28</v>
      </c>
      <c r="J8" s="17" t="n">
        <f aca="false">'mass_rmd.mas'!H4</f>
        <v>-60.228744</v>
      </c>
      <c r="K8" s="18" t="n">
        <f aca="false">'mass_rmd.mas'!E4</f>
        <v>57.9353423075172</v>
      </c>
      <c r="N8" s="19" t="s">
        <v>11</v>
      </c>
      <c r="O8" s="4" t="s">
        <v>11</v>
      </c>
      <c r="P8" s="2"/>
      <c r="Q8" s="5" t="s">
        <v>29</v>
      </c>
      <c r="R8" s="5"/>
      <c r="S8" s="5"/>
      <c r="U8" s="1" t="n">
        <f aca="false">'mass_rmd.mas'!E4*'mass_rmd.mas'!A2+F8</f>
        <v>53966.864056</v>
      </c>
    </row>
    <row r="9" customFormat="false" ht="12.75" hidden="false" customHeight="false" outlineLevel="0" collapsed="false">
      <c r="C9" s="2"/>
      <c r="D9" s="3"/>
      <c r="N9" s="19"/>
      <c r="O9" s="4"/>
    </row>
    <row r="10" customFormat="false" ht="12.75" hidden="false" customHeight="false" outlineLevel="0" collapsed="false">
      <c r="B10" s="1" t="s">
        <v>30</v>
      </c>
      <c r="C10" s="21" t="str">
        <f aca="false">INDEX(Symbol_values,MATCH(I10,Z_values,1))</f>
        <v>Er</v>
      </c>
      <c r="D10" s="22" t="n">
        <f aca="false">D5+D6-D8</f>
        <v>158</v>
      </c>
      <c r="F10" s="14" t="n">
        <v>1</v>
      </c>
      <c r="G10" s="3" t="s">
        <v>28</v>
      </c>
      <c r="I10" s="1" t="n">
        <f aca="false">I5+I6-I8</f>
        <v>68</v>
      </c>
      <c r="J10" s="17" t="n">
        <f aca="false">'mass_rmd.mas'!H5</f>
        <v>-65.303808</v>
      </c>
      <c r="K10" s="18" t="n">
        <f aca="false">'mass_rmd.mas'!E5</f>
        <v>157.929894046344</v>
      </c>
      <c r="N10" s="23" t="n">
        <f aca="false">J5+J6-J8-J10</f>
        <v>0</v>
      </c>
      <c r="O10" s="15" t="n">
        <f aca="false">N10-F8-F10</f>
        <v>-1</v>
      </c>
      <c r="Q10" s="24" t="s">
        <v>31</v>
      </c>
      <c r="R10" s="24"/>
      <c r="S10" s="24"/>
      <c r="U10" s="1" t="n">
        <f aca="false">'mass_rmd.mas'!E5*'mass_rmd.mas'!A2+F10</f>
        <v>147112.948992</v>
      </c>
    </row>
    <row r="11" customFormat="false" ht="12.75" hidden="false" customHeight="false" outlineLevel="0" collapsed="false">
      <c r="C11" s="2"/>
      <c r="D11" s="3"/>
      <c r="G11" s="3"/>
      <c r="N11" s="4"/>
    </row>
    <row r="12" customFormat="false" ht="13.5" hidden="false" customHeight="fals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N12" s="25" t="s">
        <v>32</v>
      </c>
      <c r="O12" s="25"/>
      <c r="P12" s="25"/>
      <c r="Q12" s="25"/>
      <c r="R12" s="25"/>
      <c r="S12" s="25"/>
    </row>
    <row r="13" customFormat="false" ht="12.75" hidden="false" customHeight="false" outlineLevel="0" collapsed="false">
      <c r="B13" s="1" t="s">
        <v>33</v>
      </c>
      <c r="D13" s="1" t="s">
        <v>34</v>
      </c>
      <c r="F13" s="1" t="s">
        <v>33</v>
      </c>
      <c r="H13" s="1" t="s">
        <v>35</v>
      </c>
      <c r="J13" s="1" t="s">
        <v>30</v>
      </c>
      <c r="L13" s="1" t="s">
        <v>30</v>
      </c>
      <c r="N13" s="1" t="s">
        <v>33</v>
      </c>
      <c r="O13" s="1" t="s">
        <v>34</v>
      </c>
      <c r="P13" s="1" t="s">
        <v>33</v>
      </c>
      <c r="Q13" s="1" t="s">
        <v>35</v>
      </c>
      <c r="R13" s="1" t="s">
        <v>30</v>
      </c>
      <c r="S13" s="1" t="s">
        <v>30</v>
      </c>
    </row>
    <row r="14" customFormat="false" ht="13.5" hidden="false" customHeight="false" outlineLevel="0" collapsed="false">
      <c r="B14" s="6" t="s">
        <v>36</v>
      </c>
      <c r="C14" s="6"/>
      <c r="D14" s="6" t="s">
        <v>36</v>
      </c>
      <c r="E14" s="6"/>
      <c r="F14" s="6" t="s">
        <v>37</v>
      </c>
      <c r="G14" s="6"/>
      <c r="H14" s="6" t="s">
        <v>38</v>
      </c>
      <c r="I14" s="6"/>
      <c r="J14" s="6" t="s">
        <v>36</v>
      </c>
      <c r="K14" s="6"/>
      <c r="L14" s="6" t="s">
        <v>37</v>
      </c>
      <c r="M14" s="6"/>
      <c r="N14" s="6" t="s">
        <v>36</v>
      </c>
      <c r="O14" s="6" t="s">
        <v>36</v>
      </c>
      <c r="P14" s="6" t="s">
        <v>37</v>
      </c>
      <c r="Q14" s="6" t="s">
        <v>38</v>
      </c>
      <c r="R14" s="6" t="s">
        <v>36</v>
      </c>
      <c r="S14" s="6" t="s">
        <v>37</v>
      </c>
      <c r="U14" s="1" t="s">
        <v>39</v>
      </c>
      <c r="V14" s="1" t="s">
        <v>40</v>
      </c>
      <c r="W14" s="1" t="s">
        <v>41</v>
      </c>
      <c r="X14" s="1" t="s">
        <v>42</v>
      </c>
      <c r="Y14" s="1" t="s">
        <v>43</v>
      </c>
      <c r="Z14" s="1" t="s">
        <v>44</v>
      </c>
      <c r="AA14" s="1" t="s">
        <v>45</v>
      </c>
      <c r="AB14" s="1" t="s">
        <v>46</v>
      </c>
      <c r="AC14" s="1" t="s">
        <v>47</v>
      </c>
      <c r="AD14" s="1" t="s">
        <v>48</v>
      </c>
      <c r="AE14" s="1" t="s">
        <v>49</v>
      </c>
      <c r="AF14" s="1" t="s">
        <v>50</v>
      </c>
      <c r="AG14" s="1" t="s">
        <v>51</v>
      </c>
      <c r="AH14" s="1" t="s">
        <v>52</v>
      </c>
      <c r="AI14" s="1" t="s">
        <v>53</v>
      </c>
      <c r="AJ14" s="1" t="s">
        <v>54</v>
      </c>
      <c r="AK14" s="1" t="s">
        <v>55</v>
      </c>
      <c r="AL14" s="1" t="s">
        <v>56</v>
      </c>
      <c r="AM14" s="1" t="s">
        <v>57</v>
      </c>
      <c r="AN14" s="1" t="s">
        <v>58</v>
      </c>
    </row>
    <row r="15" customFormat="false" ht="12.75" hidden="false" customHeight="false" outlineLevel="0" collapsed="false">
      <c r="A15" s="1" t="s">
        <v>59</v>
      </c>
      <c r="U15" s="1" t="n">
        <f aca="false">U5+U6</f>
        <v>201078.813048</v>
      </c>
      <c r="V15" s="1" t="n">
        <f aca="false">SQRT(E5*(E5+2*U5))/(U15+E5)</f>
        <v>0.0668280763475867</v>
      </c>
      <c r="W15" s="1" t="n">
        <f aca="false">SQRT(U15*U15+(2*E5*U6))</f>
        <v>201244.124933015</v>
      </c>
      <c r="X15" s="1" t="n">
        <f aca="false">W15+O10-U15+U8+U10</f>
        <v>201244.124933016</v>
      </c>
      <c r="Y15" s="1" t="n">
        <f aca="false">(X15*X15+(U8+U10)*(U8-U10))/(2*X15)</f>
        <v>54087.0459751735</v>
      </c>
      <c r="Z15" s="1" t="n">
        <f aca="false">SQRT(1-1/(POWER(Y15/U8,2)))</f>
        <v>0.0666264307533803</v>
      </c>
      <c r="AA15" s="1" t="n">
        <f aca="false">POWER(Y15/U8,2)*(1-V15*V15)</f>
        <v>0.999972969496012</v>
      </c>
      <c r="AE15" s="1" t="n">
        <f aca="false">1-AA15</f>
        <v>2.70305039880014E-005</v>
      </c>
    </row>
    <row r="16" customFormat="false" ht="12.75" hidden="false" customHeight="false" outlineLevel="0" collapsed="false">
      <c r="A16" s="26" t="n">
        <v>5</v>
      </c>
      <c r="B16" s="26" t="n">
        <v>130</v>
      </c>
      <c r="D16" s="27" t="str">
        <f aca="false">IF(ISNUMBER(F16),IF(ABS(AI16-1)&lt;0.000001,0,IF(ABS(AI16+1)&lt;0.000001,180,ROUND(DEGREES(ACOS(AI16)),3)))," ")</f>
        <v> </v>
      </c>
      <c r="F16" s="17" t="str">
        <f aca="false">IF(AG16&gt;0.0000001,$U$8*((1/SQRT(1-AG16*AG16))-1),"none")</f>
        <v>none</v>
      </c>
      <c r="H16" s="17" t="str">
        <f aca="false">IF(ISNUMBER(F16),$Z$15*(1+AC16/AG16)/(1+$V$15*$Z$15*AI16)/AG16," ")</f>
        <v> </v>
      </c>
      <c r="J16" s="27" t="str">
        <f aca="false">IF(ISNUMBER(F16),IF( AND( ( (F16*(F16+2*$U$8)*AB16*AB16) &gt; ($E$5*($E$5+2*$U$5)) ), ( B16&lt;(90) ) ), 180-AJ16, AJ16)," ")</f>
        <v> </v>
      </c>
      <c r="L16" s="17" t="str">
        <f aca="false">IF(ISNUMBER(F16),$E$5+$O$10-F16," ")</f>
        <v> </v>
      </c>
      <c r="N16" s="1" t="str">
        <f aca="false">IF(ISNUMBER(P16),B16," ")</f>
        <v> </v>
      </c>
      <c r="O16" s="27" t="str">
        <f aca="false">IF(ISNUMBER(P16), IF( ABS(AM16-1)&lt;0.000001,0, IF(ABS(AM16+1)&lt;0.000001,180,ROUND(DEGREES(ACOS(AM16)),3)))," ")</f>
        <v> </v>
      </c>
      <c r="P16" s="17" t="str">
        <f aca="false">IF(AK16&gt;0.0000001,$U$8*((1/SQRT(1-AK16*AK16))-1),"none")</f>
        <v>none</v>
      </c>
      <c r="Q16" s="17" t="str">
        <f aca="false">IF(ISNUMBER(P16),ABS($Z$15*(1+AC16/AK16)/(1+$V$15*$Z$15*AM16)/AK16)," ")</f>
        <v> </v>
      </c>
      <c r="R16" s="27" t="str">
        <f aca="false">IF(ISNUMBER(P16),IF( AND( ( (P16*(P16+2*$U$8)*AB16*AB16) &gt; ($E$5*($E$5+2*$U$5)) ), ( B16&lt;90 ) ), 180-AN16, AN16)," ")</f>
        <v> </v>
      </c>
      <c r="S16" s="17" t="str">
        <f aca="false">IF(ISNUMBER(P16),$E$5+$O$10-P16," ")</f>
        <v> </v>
      </c>
      <c r="AB16" s="1" t="n">
        <f aca="false">COS(RADIANS(B16))</f>
        <v>-0.642787609686539</v>
      </c>
      <c r="AC16" s="1" t="n">
        <f aca="false">-$V$15*AB16</f>
        <v>0.0429562594554148</v>
      </c>
      <c r="AD16" s="1" t="n">
        <f aca="false">$AA$15+AC16*AC16</f>
        <v>1.00181820972241</v>
      </c>
      <c r="AF16" s="1" t="n">
        <f aca="false">AC16*AC16-AD16*$AE$15</f>
        <v>0.00181816057528776</v>
      </c>
      <c r="AG16" s="1" t="n">
        <f aca="false">IF(ISNUMBER(SQRT(AF16)),(-AC16+SQRT(AF16))/AD16,-100)</f>
        <v>-0.000315791105574589</v>
      </c>
      <c r="AH16" s="1" t="n">
        <f aca="false">(AG16*AB16-$V$15)/((1-$V$15*AG16*AB16)*$Z$15)</f>
        <v>-0.999993437732399</v>
      </c>
      <c r="AI16" s="1" t="n">
        <f aca="false">IF(ABS(AH16)&lt;=1,AH16,IF(ABS(AH16)&lt;=1.00001,1*SIGN(AH16),0))</f>
        <v>-0.999993437732399</v>
      </c>
      <c r="AJ16" s="17" t="e">
        <f aca="false">DEGREES(ASIN( SQRT( (F16*(F16+2*$U$8)) / (L16*(L16+2*$U$10)) ) * SIN(RADIANS(B16))  ))</f>
        <v>#VALUE!</v>
      </c>
      <c r="AK16" s="1" t="n">
        <f aca="false">IF(ISNUMBER(SQRT(AF16)),(-AC16-SQRT(AF16))/AD16,-100)</f>
        <v>-0.0854408043296736</v>
      </c>
      <c r="AL16" s="1" t="n">
        <f aca="false">(AK16*AB16-$V$15)/((1-$V$15*AK16*AB16)*$Z$15)</f>
        <v>-0.179383031404886</v>
      </c>
      <c r="AM16" s="1" t="n">
        <f aca="false">IF(ABS(AL16)&lt;=1,AL16,IF(ABS(AL16)&lt;=1.00001,1*SIGN(AL16),0))</f>
        <v>-0.179383031404886</v>
      </c>
      <c r="AN16" s="17" t="str">
        <f aca="false">IF(ISNUMBER(P16),DEGREES(ASIN( SQRT( (P16*(P16+2*$U$8)) / (S16*(S16+2*$U$10)) ) * SIN(RADIANS(B16)) ) ),"ignore")</f>
        <v>ignore</v>
      </c>
    </row>
    <row r="17" customFormat="false" ht="12.75" hidden="false" customHeight="false" outlineLevel="0" collapsed="false">
      <c r="B17" s="1" t="n">
        <f aca="false">B16+A16</f>
        <v>135</v>
      </c>
      <c r="D17" s="27" t="str">
        <f aca="false">IF(ISNUMBER(F17),IF(ABS(AI17-1)&lt;0.000001,0,IF(ABS(AI17+1)&lt;0.000001,180,ROUND(DEGREES(ACOS(AI17)),3)))," ")</f>
        <v> </v>
      </c>
      <c r="F17" s="17" t="str">
        <f aca="false">IF(AG17&gt;0.0000001,$U$8*((1/SQRT(1-AG17*AG17))-1),"none")</f>
        <v>none</v>
      </c>
      <c r="H17" s="17" t="str">
        <f aca="false">IF(ISNUMBER(F17),$Z$15*(1+AC17/AG17)/(1+$V$15*$Z$15*AI17)/AG17," ")</f>
        <v> </v>
      </c>
      <c r="J17" s="27" t="str">
        <f aca="false">IF(ISNUMBER(F17),IF( AND( ( (F17*(F17+2*$U$8)*AB17*AB17) &gt; ($E$5*($E$5+2*$U$5)) ), ( B17&lt;(90) ) ), 180-AJ17, AJ17)," ")</f>
        <v> </v>
      </c>
      <c r="L17" s="17" t="str">
        <f aca="false">IF(ISNUMBER(F17),$E$5+$O$10-F17," ")</f>
        <v> </v>
      </c>
      <c r="N17" s="1" t="str">
        <f aca="false">IF(ISNUMBER(P17),B17," ")</f>
        <v> </v>
      </c>
      <c r="O17" s="27" t="str">
        <f aca="false">IF(ISNUMBER(P17), IF( ABS(AM17-1)&lt;0.000001,0, IF(ABS(AM17+1)&lt;0.000001,180,ROUND(DEGREES(ACOS(AM17)),3)))," ")</f>
        <v> </v>
      </c>
      <c r="P17" s="17" t="str">
        <f aca="false">IF(AK17&gt;0.0000001,$U$8*((1/SQRT(1-AK17*AK17))-1),"none")</f>
        <v>none</v>
      </c>
      <c r="Q17" s="17" t="str">
        <f aca="false">IF(ISNUMBER(P17),ABS($Z$15*(1+AC17/AK17)/(1+$V$15*$Z$15*AM17)/AK17)," ")</f>
        <v> </v>
      </c>
      <c r="R17" s="27" t="str">
        <f aca="false">IF(ISNUMBER(P17),IF( AND( ( (P17*(P17+2*$U$8)*AB17*AB17) &gt; ($E$5*($E$5+2*$U$5)) ), ( B17&lt;90 ) ), 180-AN17, AN17)," ")</f>
        <v> </v>
      </c>
      <c r="S17" s="17" t="str">
        <f aca="false">IF(ISNUMBER(P17),$E$5+$O$10-P17," ")</f>
        <v> </v>
      </c>
      <c r="AB17" s="1" t="n">
        <f aca="false">COS(RADIANS(B17))</f>
        <v>-0.707106781186548</v>
      </c>
      <c r="AC17" s="1" t="n">
        <f aca="false">-$V$15*AB17</f>
        <v>0.0472545859590309</v>
      </c>
      <c r="AD17" s="1" t="n">
        <f aca="false">$AA$15+AC17*AC17</f>
        <v>1.00220596539017</v>
      </c>
      <c r="AF17" s="1" t="n">
        <f aca="false">AC17*AC17-AD17*$AE$15</f>
        <v>0.00220590576181516</v>
      </c>
      <c r="AG17" s="1" t="n">
        <f aca="false">IF(ISNUMBER(SQRT(AF17)),(-AC17+SQRT(AF17))/AD17,-100)</f>
        <v>-0.000286882069894797</v>
      </c>
      <c r="AH17" s="1" t="n">
        <f aca="false">(AG17*AB17-$V$15)/((1-$V$15*AG17*AB17)*$Z$15)</f>
        <v>-0.999995385521773</v>
      </c>
      <c r="AI17" s="1" t="n">
        <f aca="false">IF(ABS(AH17)&lt;=1,AH17,IF(ABS(AH17)&lt;=1.00001,1*SIGN(AH17),0))</f>
        <v>-0.999995385521773</v>
      </c>
      <c r="AJ17" s="17" t="e">
        <f aca="false">DEGREES(ASIN( SQRT( (F17*(F17+2*$U$8)) / (L17*(L17+2*$U$10)) ) * SIN(RADIANS(B17))  ))</f>
        <v>#VALUE!</v>
      </c>
      <c r="AK17" s="1" t="n">
        <f aca="false">IF(ISNUMBER(SQRT(AF17)),(-AC17-SQRT(AF17))/AD17,-100)</f>
        <v>-0.0940142647819583</v>
      </c>
      <c r="AL17" s="1" t="n">
        <f aca="false">(AK17*AB17-$V$15)/((1-$V$15*AK17*AB17)*$Z$15)</f>
        <v>-0.00527589164197249</v>
      </c>
      <c r="AM17" s="1" t="n">
        <f aca="false">IF(ABS(AL17)&lt;=1,AL17,IF(ABS(AL17)&lt;=1.00001,1*SIGN(AL17),0))</f>
        <v>-0.00527589164197249</v>
      </c>
      <c r="AN17" s="17" t="str">
        <f aca="false">IF(ISNUMBER(P17),DEGREES(ASIN( SQRT( (P17*(P17+2*$U$8)) / (S17*(S17+2*$U$10)) ) * SIN(RADIANS(B17)) ) ),"ignore")</f>
        <v>ignore</v>
      </c>
    </row>
    <row r="18" customFormat="false" ht="12.75" hidden="false" customHeight="false" outlineLevel="0" collapsed="false">
      <c r="B18" s="1" t="n">
        <f aca="false">B16+A16*2</f>
        <v>140</v>
      </c>
      <c r="D18" s="27" t="str">
        <f aca="false">IF(ISNUMBER(F18),IF(ABS(AI18-1)&lt;0.000001,0,IF(ABS(AI18+1)&lt;0.000001,180,ROUND(DEGREES(ACOS(AI18)),3)))," ")</f>
        <v> </v>
      </c>
      <c r="F18" s="17" t="str">
        <f aca="false">IF(AG18&gt;0.0000001,$U$8*((1/SQRT(1-AG18*AG18))-1),"none")</f>
        <v>none</v>
      </c>
      <c r="H18" s="17" t="str">
        <f aca="false">IF(ISNUMBER(F18),$Z$15*(1+AC18/AG18)/(1+$V$15*$Z$15*AI18)/AG18," ")</f>
        <v> </v>
      </c>
      <c r="J18" s="27" t="str">
        <f aca="false">IF(ISNUMBER(F18),IF( AND( ( (F18*(F18+2*$U$8)*AB18*AB18) &gt; ($E$5*($E$5+2*$U$5)) ), ( B18&lt;(90) ) ), 180-AJ18, AJ18)," ")</f>
        <v> </v>
      </c>
      <c r="L18" s="17" t="str">
        <f aca="false">IF(ISNUMBER(F18),$E$5+$O$10-F18," ")</f>
        <v> </v>
      </c>
      <c r="N18" s="1" t="str">
        <f aca="false">IF(ISNUMBER(P18),B18," ")</f>
        <v> </v>
      </c>
      <c r="O18" s="27" t="str">
        <f aca="false">IF(ISNUMBER(P18), IF( ABS(AM18-1)&lt;0.000001,0, IF(ABS(AM18+1)&lt;0.000001,180,ROUND(DEGREES(ACOS(AM18)),3)))," ")</f>
        <v> </v>
      </c>
      <c r="P18" s="17" t="str">
        <f aca="false">IF(AK18&gt;0.0000001,$U$8*((1/SQRT(1-AK18*AK18))-1),"none")</f>
        <v>none</v>
      </c>
      <c r="Q18" s="17" t="str">
        <f aca="false">IF(ISNUMBER(P18),ABS($Z$15*(1+AC18/AK18)/(1+$V$15*$Z$15*AM18)/AK18)," ")</f>
        <v> </v>
      </c>
      <c r="R18" s="27" t="str">
        <f aca="false">IF(ISNUMBER(P18),IF( AND( ( (P18*(P18+2*$U$8)*AB18*AB18) &gt; ($E$5*($E$5+2*$U$5)) ), ( B18&lt;90 ) ), 180-AN18, AN18)," ")</f>
        <v> </v>
      </c>
      <c r="S18" s="17" t="str">
        <f aca="false">IF(ISNUMBER(P18),$E$5+$O$10-P18," ")</f>
        <v> </v>
      </c>
      <c r="AB18" s="1" t="n">
        <f aca="false">COS(RADIANS(B18))</f>
        <v>-0.766044443118978</v>
      </c>
      <c r="AC18" s="1" t="n">
        <f aca="false">-$V$15*AB18</f>
        <v>0.0511932765303996</v>
      </c>
      <c r="AD18" s="1" t="n">
        <f aca="false">$AA$15+AC18*AC18</f>
        <v>1.00259372105793</v>
      </c>
      <c r="AF18" s="1" t="n">
        <f aca="false">AC18*AC18-AD18*$AE$15</f>
        <v>0.00259365094834256</v>
      </c>
      <c r="AG18" s="1" t="n">
        <f aca="false">IF(ISNUMBER(SQRT(AF18)),(-AC18+SQRT(AF18))/AD18,-100)</f>
        <v>-0.000264690488657499</v>
      </c>
      <c r="AH18" s="1" t="n">
        <f aca="false">(AG18*AB18-$V$15)/((1-$V$15*AG18*AB18)*$Z$15)</f>
        <v>-0.99999675393548</v>
      </c>
      <c r="AI18" s="1" t="n">
        <f aca="false">IF(ABS(AH18)&lt;=1,AH18,IF(ABS(AH18)&lt;=1.00001,1*SIGN(AH18),0))</f>
        <v>-0.99999675393548</v>
      </c>
      <c r="AJ18" s="17" t="e">
        <f aca="false">DEGREES(ASIN( SQRT( (F18*(F18+2*$U$8)) / (L18*(L18+2*$U$10)) ) * SIN(RADIANS(B18))  ))</f>
        <v>#VALUE!</v>
      </c>
      <c r="AK18" s="1" t="n">
        <f aca="false">IF(ISNUMBER(SQRT(AF18)),(-AC18-SQRT(AF18))/AD18,-100)</f>
        <v>-0.101856987425664</v>
      </c>
      <c r="AL18" s="1" t="n">
        <f aca="false">(AK18*AB18-$V$15)/((1-$V$15*AK18*AB18)*$Z$15)</f>
        <v>0.168966044080338</v>
      </c>
      <c r="AM18" s="1" t="n">
        <f aca="false">IF(ABS(AL18)&lt;=1,AL18,IF(ABS(AL18)&lt;=1.00001,1*SIGN(AL18),0))</f>
        <v>0.168966044080338</v>
      </c>
      <c r="AN18" s="17" t="str">
        <f aca="false">IF(ISNUMBER(P18),DEGREES(ASIN( SQRT( (P18*(P18+2*$U$8)) / (S18*(S18+2*$U$10)) ) * SIN(RADIANS(B18)) ) ),"ignore")</f>
        <v>ignore</v>
      </c>
    </row>
    <row r="19" customFormat="false" ht="12.75" hidden="false" customHeight="false" outlineLevel="0" collapsed="false">
      <c r="B19" s="1" t="n">
        <f aca="false">B16+A16*3</f>
        <v>145</v>
      </c>
      <c r="D19" s="27" t="str">
        <f aca="false">IF(ISNUMBER(F19),IF(ABS(AI19-1)&lt;0.000001,0,IF(ABS(AI19+1)&lt;0.000001,180,ROUND(DEGREES(ACOS(AI19)),3)))," ")</f>
        <v> </v>
      </c>
      <c r="F19" s="17" t="str">
        <f aca="false">IF(AG19&gt;0.0000001,$U$8*((1/SQRT(1-AG19*AG19))-1),"none")</f>
        <v>none</v>
      </c>
      <c r="H19" s="17" t="str">
        <f aca="false">IF(ISNUMBER(F19),$Z$15*(1+AC19/AG19)/(1+$V$15*$Z$15*AI19)/AG19," ")</f>
        <v> </v>
      </c>
      <c r="J19" s="27" t="str">
        <f aca="false">IF(ISNUMBER(F19),IF( AND( ( (F19*(F19+2*$U$8)*AB19*AB19) &gt; ($E$5*($E$5+2*$U$5)) ), ( B19&lt;(90) ) ), 180-AJ19, AJ19)," ")</f>
        <v> </v>
      </c>
      <c r="L19" s="17" t="str">
        <f aca="false">IF(ISNUMBER(F19),$E$5+$O$10-F19," ")</f>
        <v> </v>
      </c>
      <c r="N19" s="1" t="str">
        <f aca="false">IF(ISNUMBER(P19),B19," ")</f>
        <v> </v>
      </c>
      <c r="O19" s="27" t="str">
        <f aca="false">IF(ISNUMBER(P19), IF( ABS(AM19-1)&lt;0.000001,0, IF(ABS(AM19+1)&lt;0.000001,180,ROUND(DEGREES(ACOS(AM19)),3)))," ")</f>
        <v> </v>
      </c>
      <c r="P19" s="17" t="str">
        <f aca="false">IF(AK19&gt;0.0000001,$U$8*((1/SQRT(1-AK19*AK19))-1),"none")</f>
        <v>none</v>
      </c>
      <c r="Q19" s="17" t="str">
        <f aca="false">IF(ISNUMBER(P19),ABS($Z$15*(1+AC19/AK19)/(1+$V$15*$Z$15*AM19)/AK19)," ")</f>
        <v> </v>
      </c>
      <c r="R19" s="27" t="str">
        <f aca="false">IF(ISNUMBER(P19),IF( AND( ( (P19*(P19+2*$U$8)*AB19*AB19) &gt; ($E$5*($E$5+2*$U$5)) ), ( B19&lt;90 ) ), 180-AN19, AN19)," ")</f>
        <v> </v>
      </c>
      <c r="S19" s="17" t="str">
        <f aca="false">IF(ISNUMBER(P19),$E$5+$O$10-P19," ")</f>
        <v> </v>
      </c>
      <c r="AB19" s="1" t="n">
        <f aca="false">COS(RADIANS(B19))</f>
        <v>-0.819152044288992</v>
      </c>
      <c r="AC19" s="1" t="n">
        <f aca="false">-$V$15*AB19</f>
        <v>0.0547423553560265</v>
      </c>
      <c r="AD19" s="1" t="n">
        <f aca="false">$AA$15+AC19*AC19</f>
        <v>1.00296969496594</v>
      </c>
      <c r="AF19" s="1" t="n">
        <f aca="false">AC19*AC19-AD19*$AE$15</f>
        <v>0.00296961469358586</v>
      </c>
      <c r="AG19" s="1" t="n">
        <f aca="false">IF(ISNUMBER(SQRT(AF19)),(-AC19+SQRT(AF19))/AD19,-100)</f>
        <v>-0.00024744931794254</v>
      </c>
      <c r="AH19" s="1" t="n">
        <f aca="false">(AG19*AB19-$V$15)/((1-$V$15*AG19*AB19)*$Z$15)</f>
        <v>-0.999997741082398</v>
      </c>
      <c r="AI19" s="1" t="n">
        <f aca="false">IF(ABS(AH19)&lt;=1,AH19,IF(ABS(AH19)&lt;=1.00001,1*SIGN(AH19),0))</f>
        <v>-0.999997741082398</v>
      </c>
      <c r="AJ19" s="17" t="e">
        <f aca="false">DEGREES(ASIN( SQRT( (F19*(F19+2*$U$8)) / (L19*(L19+2*$U$10)) ) * SIN(RADIANS(B19))  ))</f>
        <v>#VALUE!</v>
      </c>
      <c r="AK19" s="1" t="n">
        <f aca="false">IF(ISNUMBER(SQRT(AF19)),(-AC19-SQRT(AF19))/AD19,-100)</f>
        <v>-0.108913087896266</v>
      </c>
      <c r="AL19" s="1" t="n">
        <f aca="false">(AK19*AB19-$V$15)/((1-$V$15*AK19*AB19)*$Z$15)</f>
        <v>0.338042804224534</v>
      </c>
      <c r="AM19" s="1" t="n">
        <f aca="false">IF(ABS(AL19)&lt;=1,AL19,IF(ABS(AL19)&lt;=1.00001,1*SIGN(AL19),0))</f>
        <v>0.338042804224534</v>
      </c>
      <c r="AN19" s="17" t="str">
        <f aca="false">IF(ISNUMBER(P19),DEGREES(ASIN( SQRT( (P19*(P19+2*$U$8)) / (S19*(S19+2*$U$10)) ) * SIN(RADIANS(B19)) ) ),"ignore")</f>
        <v>ignore</v>
      </c>
    </row>
    <row r="20" customFormat="false" ht="12.75" hidden="false" customHeight="false" outlineLevel="0" collapsed="false">
      <c r="B20" s="1" t="n">
        <f aca="false">B16+A16*4</f>
        <v>150</v>
      </c>
      <c r="D20" s="27" t="str">
        <f aca="false">IF(ISNUMBER(F20),IF(ABS(AI20-1)&lt;0.000001,0,IF(ABS(AI20+1)&lt;0.000001,180,ROUND(DEGREES(ACOS(AI20)),3)))," ")</f>
        <v> </v>
      </c>
      <c r="F20" s="17" t="str">
        <f aca="false">IF(AG20&gt;0.0000001,$U$8*((1/SQRT(1-AG20*AG20))-1),"none")</f>
        <v>none</v>
      </c>
      <c r="H20" s="17" t="str">
        <f aca="false">IF(ISNUMBER(F20),$Z$15*(1+AC20/AG20)/(1+$V$15*$Z$15*AI20)/AG20," ")</f>
        <v> </v>
      </c>
      <c r="J20" s="27" t="str">
        <f aca="false">IF(ISNUMBER(F20),IF( AND( ( (F20*(F20+2*$U$8)*AB20*AB20) &gt; ($E$5*($E$5+2*$U$5)) ), ( B20&lt;(90) ) ), 180-AJ20, AJ20)," ")</f>
        <v> </v>
      </c>
      <c r="L20" s="17" t="str">
        <f aca="false">IF(ISNUMBER(F20),$E$5+$O$10-F20," ")</f>
        <v> </v>
      </c>
      <c r="N20" s="1" t="str">
        <f aca="false">IF(ISNUMBER(P20),B20," ")</f>
        <v> </v>
      </c>
      <c r="O20" s="27" t="str">
        <f aca="false">IF(ISNUMBER(P20), IF( ABS(AM20-1)&lt;0.000001,0, IF(ABS(AM20+1)&lt;0.000001,180,ROUND(DEGREES(ACOS(AM20)),3)))," ")</f>
        <v> </v>
      </c>
      <c r="P20" s="17" t="str">
        <f aca="false">IF(AK20&gt;0.0000001,$U$8*((1/SQRT(1-AK20*AK20))-1),"none")</f>
        <v>none</v>
      </c>
      <c r="Q20" s="17" t="str">
        <f aca="false">IF(ISNUMBER(P20),ABS($Z$15*(1+AC20/AK20)/(1+$V$15*$Z$15*AM20)/AK20)," ")</f>
        <v> </v>
      </c>
      <c r="R20" s="27" t="str">
        <f aca="false">IF(ISNUMBER(P20),IF( AND( ( (P20*(P20+2*$U$8)*AB20*AB20) &gt; ($E$5*($E$5+2*$U$5)) ), ( B20&lt;90 ) ), 180-AN20, AN20)," ")</f>
        <v> </v>
      </c>
      <c r="S20" s="17" t="str">
        <f aca="false">IF(ISNUMBER(P20),$E$5+$O$10-P20," ")</f>
        <v> </v>
      </c>
      <c r="AB20" s="1" t="n">
        <f aca="false">COS(RADIANS(B20))</f>
        <v>-0.866025403784439</v>
      </c>
      <c r="AC20" s="1" t="n">
        <f aca="false">-$V$15*AB20</f>
        <v>0.0578748118030561</v>
      </c>
      <c r="AD20" s="1" t="n">
        <f aca="false">$AA$15+AC20*AC20</f>
        <v>1.00332246333725</v>
      </c>
      <c r="AF20" s="1" t="n">
        <f aca="false">AC20*AC20-AD20*$AE$15</f>
        <v>0.00332237352939267</v>
      </c>
      <c r="AG20" s="1" t="n">
        <f aca="false">IF(ISNUMBER(SQRT(AF20)),(-AC20+SQRT(AF20))/AD20,-100)</f>
        <v>-0.000234000260140145</v>
      </c>
      <c r="AH20" s="1" t="n">
        <f aca="false">(AG20*AB20-$V$15)/((1-$V$15*AG20*AB20)*$Z$15)</f>
        <v>-0.999998464966727</v>
      </c>
      <c r="AI20" s="1" t="n">
        <f aca="false">IF(ABS(AH20)&lt;=1,AH20,IF(ABS(AH20)&lt;=1.00001,1*SIGN(AH20),0))</f>
        <v>-0.999998464966727</v>
      </c>
      <c r="AJ20" s="17" t="e">
        <f aca="false">DEGREES(ASIN( SQRT( (F20*(F20+2*$U$8)) / (L20*(L20+2*$U$10)) ) * SIN(RADIANS(B20))  ))</f>
        <v>#VALUE!</v>
      </c>
      <c r="AK20" s="1" t="n">
        <f aca="false">IF(ISNUMBER(SQRT(AF20)),(-AC20-SQRT(AF20))/AD20,-100)</f>
        <v>-0.115132322966697</v>
      </c>
      <c r="AL20" s="1" t="n">
        <f aca="false">(AK20*AB20-$V$15)/((1-$V$15*AK20*AB20)*$Z$15)</f>
        <v>0.496799748701014</v>
      </c>
      <c r="AM20" s="1" t="n">
        <f aca="false">IF(ABS(AL20)&lt;=1,AL20,IF(ABS(AL20)&lt;=1.00001,1*SIGN(AL20),0))</f>
        <v>0.496799748701014</v>
      </c>
      <c r="AN20" s="17" t="str">
        <f aca="false">IF(ISNUMBER(P20),DEGREES(ASIN( SQRT( (P20*(P20+2*$U$8)) / (S20*(S20+2*$U$10)) ) * SIN(RADIANS(B20)) ) ),"ignore")</f>
        <v>ignore</v>
      </c>
    </row>
    <row r="21" customFormat="false" ht="12.75" hidden="false" customHeight="false" outlineLevel="0" collapsed="false">
      <c r="B21" s="1" t="n">
        <f aca="false">B16+A16*5</f>
        <v>155</v>
      </c>
      <c r="D21" s="27" t="str">
        <f aca="false">IF(ISNUMBER(F21),IF(ABS(AI21-1)&lt;0.000001,0,IF(ABS(AI21+1)&lt;0.000001,180,ROUND(DEGREES(ACOS(AI21)),3)))," ")</f>
        <v> </v>
      </c>
      <c r="F21" s="17" t="str">
        <f aca="false">IF(AG21&gt;0.0000001,$U$8*((1/SQRT(1-AG21*AG21))-1),"none")</f>
        <v>none</v>
      </c>
      <c r="H21" s="17" t="str">
        <f aca="false">IF(ISNUMBER(F21),$Z$15*(1+AC21/AG21)/(1+$V$15*$Z$15*AI21)/AG21," ")</f>
        <v> </v>
      </c>
      <c r="J21" s="27" t="str">
        <f aca="false">IF(ISNUMBER(F21),IF( AND( ( (F21*(F21+2*$U$8)*AB21*AB21) &gt; ($E$5*($E$5+2*$U$5)) ), ( B21&lt;(90) ) ), 180-AJ21, AJ21)," ")</f>
        <v> </v>
      </c>
      <c r="L21" s="17" t="str">
        <f aca="false">IF(ISNUMBER(F21),$E$5+$O$10-F21," ")</f>
        <v> </v>
      </c>
      <c r="N21" s="1" t="str">
        <f aca="false">IF(ISNUMBER(P21),B21," ")</f>
        <v> </v>
      </c>
      <c r="O21" s="27" t="str">
        <f aca="false">IF(ISNUMBER(P21), IF( ABS(AM21-1)&lt;0.000001,0, IF(ABS(AM21+1)&lt;0.000001,180,ROUND(DEGREES(ACOS(AM21)),3)))," ")</f>
        <v> </v>
      </c>
      <c r="P21" s="17" t="str">
        <f aca="false">IF(AK21&gt;0.0000001,$U$8*((1/SQRT(1-AK21*AK21))-1),"none")</f>
        <v>none</v>
      </c>
      <c r="Q21" s="17" t="str">
        <f aca="false">IF(ISNUMBER(P21),ABS($Z$15*(1+AC21/AK21)/(1+$V$15*$Z$15*AM21)/AK21)," ")</f>
        <v> </v>
      </c>
      <c r="R21" s="27" t="str">
        <f aca="false">IF(ISNUMBER(P21),IF( AND( ( (P21*(P21+2*$U$8)*AB21*AB21) &gt; ($E$5*($E$5+2*$U$5)) ), ( B21&lt;90 ) ), 180-AN21, AN21)," ")</f>
        <v> </v>
      </c>
      <c r="S21" s="17" t="str">
        <f aca="false">IF(ISNUMBER(P21),$E$5+$O$10-P21," ")</f>
        <v> </v>
      </c>
      <c r="AB21" s="1" t="n">
        <f aca="false">COS(RADIANS(B21))</f>
        <v>-0.90630778703665</v>
      </c>
      <c r="AC21" s="1" t="n">
        <f aca="false">-$V$15*AB21</f>
        <v>0.0605668059864976</v>
      </c>
      <c r="AD21" s="1" t="n">
        <f aca="false">$AA$15+AC21*AC21</f>
        <v>1.00364130748342</v>
      </c>
      <c r="AF21" s="1" t="n">
        <f aca="false">AC21*AC21-AD21*$AE$15</f>
        <v>0.00364120905704158</v>
      </c>
      <c r="AG21" s="1" t="n">
        <f aca="false">IF(ISNUMBER(SQRT(AF21)),(-AC21+SQRT(AF21))/AD21,-100)</f>
        <v>-0.000223560288007062</v>
      </c>
      <c r="AH21" s="1" t="n">
        <f aca="false">(AG21*AB21-$V$15)/((1-$V$15*AG21*AB21)*$Z$15)</f>
        <v>-0.999998999007494</v>
      </c>
      <c r="AI21" s="1" t="n">
        <f aca="false">IF(ABS(AH21)&lt;=1,AH21,IF(ABS(AH21)&lt;=1.00001,1*SIGN(AH21),0))</f>
        <v>-0.999998999007494</v>
      </c>
      <c r="AJ21" s="17" t="e">
        <f aca="false">DEGREES(ASIN( SQRT( (F21*(F21+2*$U$8)) / (L21*(L21+2*$U$10)) ) * SIN(RADIANS(B21))  ))</f>
        <v>#VALUE!</v>
      </c>
      <c r="AK21" s="1" t="n">
        <f aca="false">IF(ISNUMBER(SQRT(AF21)),(-AC21-SQRT(AF21))/AD21,-100)</f>
        <v>-0.120470567255161</v>
      </c>
      <c r="AL21" s="1" t="n">
        <f aca="false">(AK21*AB21-$V$15)/((1-$V$15*AK21*AB21)*$Z$15)</f>
        <v>0.640386320785269</v>
      </c>
      <c r="AM21" s="1" t="n">
        <f aca="false">IF(ABS(AL21)&lt;=1,AL21,IF(ABS(AL21)&lt;=1.00001,1*SIGN(AL21),0))</f>
        <v>0.640386320785269</v>
      </c>
      <c r="AN21" s="17" t="str">
        <f aca="false">IF(ISNUMBER(P21),DEGREES(ASIN( SQRT( (P21*(P21+2*$U$8)) / (S21*(S21+2*$U$10)) ) * SIN(RADIANS(B21)) ) ),"ignore")</f>
        <v>ignore</v>
      </c>
    </row>
    <row r="22" customFormat="false" ht="12.75" hidden="false" customHeight="false" outlineLevel="0" collapsed="false">
      <c r="B22" s="1" t="n">
        <f aca="false">B16+A16*6</f>
        <v>160</v>
      </c>
      <c r="D22" s="27" t="str">
        <f aca="false">IF(ISNUMBER(F22),IF(ABS(AI22-1)&lt;0.000001,0,IF(ABS(AI22+1)&lt;0.000001,180,ROUND(DEGREES(ACOS(AI22)),3)))," ")</f>
        <v> </v>
      </c>
      <c r="F22" s="17" t="str">
        <f aca="false">IF(AG22&gt;0.0000001,$U$8*((1/SQRT(1-AG22*AG22))-1),"none")</f>
        <v>none</v>
      </c>
      <c r="H22" s="17" t="str">
        <f aca="false">IF(ISNUMBER(F22),$Z$15*(1+AC22/AG22)/(1+$V$15*$Z$15*AI22)/AG22," ")</f>
        <v> </v>
      </c>
      <c r="J22" s="27" t="str">
        <f aca="false">IF(ISNUMBER(F22),IF( AND( ( (F22*(F22+2*$U$8)*AB22*AB22) &gt; ($E$5*($E$5+2*$U$5)) ), ( B22&lt;(90) ) ), 180-AJ22, AJ22)," ")</f>
        <v> </v>
      </c>
      <c r="L22" s="17" t="str">
        <f aca="false">IF(ISNUMBER(F22),$E$5+$O$10-F22," ")</f>
        <v> </v>
      </c>
      <c r="N22" s="1" t="str">
        <f aca="false">IF(ISNUMBER(P22),B22," ")</f>
        <v> </v>
      </c>
      <c r="O22" s="27" t="str">
        <f aca="false">IF(ISNUMBER(P22), IF( ABS(AM22-1)&lt;0.000001,0, IF(ABS(AM22+1)&lt;0.000001,180,ROUND(DEGREES(ACOS(AM22)),3)))," ")</f>
        <v> </v>
      </c>
      <c r="P22" s="17" t="str">
        <f aca="false">IF(AK22&gt;0.0000001,$U$8*((1/SQRT(1-AK22*AK22))-1),"none")</f>
        <v>none</v>
      </c>
      <c r="Q22" s="17" t="str">
        <f aca="false">IF(ISNUMBER(P22),ABS($Z$15*(1+AC22/AK22)/(1+$V$15*$Z$15*AM22)/AK22)," ")</f>
        <v> </v>
      </c>
      <c r="R22" s="27" t="str">
        <f aca="false">IF(ISNUMBER(P22),IF( AND( ( (P22*(P22+2*$U$8)*AB22*AB22) &gt; ($E$5*($E$5+2*$U$5)) ), ( B22&lt;90 ) ), 180-AN22, AN22)," ")</f>
        <v> </v>
      </c>
      <c r="S22" s="17" t="str">
        <f aca="false">IF(ISNUMBER(P22),$E$5+$O$10-P22," ")</f>
        <v> </v>
      </c>
      <c r="AB22" s="1" t="n">
        <f aca="false">COS(RADIANS(B22))</f>
        <v>-0.939692620785908</v>
      </c>
      <c r="AC22" s="1" t="n">
        <f aca="false">-$V$15*AB22</f>
        <v>0.0627978502051445</v>
      </c>
      <c r="AD22" s="1" t="n">
        <f aca="false">$AA$15+AC22*AC22</f>
        <v>1.0039165394864</v>
      </c>
      <c r="AF22" s="1" t="n">
        <f aca="false">AC22*AC22-AD22*$AE$15</f>
        <v>0.00391643362036355</v>
      </c>
      <c r="AG22" s="1" t="n">
        <f aca="false">IF(ISNUMBER(SQRT(AF22)),(-AC22+SQRT(AF22))/AD22,-100)</f>
        <v>-0.000215589904298059</v>
      </c>
      <c r="AH22" s="1" t="n">
        <f aca="false">(AG22*AB22-$V$15)/((1-$V$15*AG22*AB22)*$Z$15)</f>
        <v>-0.999999390315564</v>
      </c>
      <c r="AI22" s="1" t="n">
        <f aca="false">IF(ABS(AH22)&lt;=1,AH22,IF(ABS(AH22)&lt;=1.00001,1*SIGN(AH22),0))</f>
        <v>-0.999999390315564</v>
      </c>
      <c r="AJ22" s="17" t="e">
        <f aca="false">DEGREES(ASIN( SQRT( (F22*(F22+2*$U$8)) / (L22*(L22+2*$U$10)) ) * SIN(RADIANS(B22))  ))</f>
        <v>#VALUE!</v>
      </c>
      <c r="AK22" s="1" t="n">
        <f aca="false">IF(ISNUMBER(SQRT(AF22)),(-AC22-SQRT(AF22))/AD22,-100)</f>
        <v>-0.124890129017858</v>
      </c>
      <c r="AL22" s="1" t="n">
        <f aca="false">(AK22*AB22-$V$15)/((1-$V$15*AK22*AB22)*$Z$15)</f>
        <v>0.764406688168102</v>
      </c>
      <c r="AM22" s="1" t="n">
        <f aca="false">IF(ABS(AL22)&lt;=1,AL22,IF(ABS(AL22)&lt;=1.00001,1*SIGN(AL22),0))</f>
        <v>0.764406688168102</v>
      </c>
      <c r="AN22" s="17" t="str">
        <f aca="false">IF(ISNUMBER(P22),DEGREES(ASIN( SQRT( (P22*(P22+2*$U$8)) / (S22*(S22+2*$U$10)) ) * SIN(RADIANS(B22)) ) ),"ignore")</f>
        <v>ignore</v>
      </c>
    </row>
    <row r="23" customFormat="false" ht="12.75" hidden="false" customHeight="false" outlineLevel="0" collapsed="false">
      <c r="B23" s="1" t="n">
        <f aca="false">B16+A16*7</f>
        <v>165</v>
      </c>
      <c r="D23" s="27" t="str">
        <f aca="false">IF(ISNUMBER(F23),IF(ABS(AI23-1)&lt;0.000001,0,IF(ABS(AI23+1)&lt;0.000001,180,ROUND(DEGREES(ACOS(AI23)),3)))," ")</f>
        <v> </v>
      </c>
      <c r="F23" s="17" t="str">
        <f aca="false">IF(AG23&gt;0.0000001,$U$8*((1/SQRT(1-AG23*AG23))-1),"none")</f>
        <v>none</v>
      </c>
      <c r="H23" s="17" t="str">
        <f aca="false">IF(ISNUMBER(F23),$Z$15*(1+AC23/AG23)/(1+$V$15*$Z$15*AI23)/AG23," ")</f>
        <v> </v>
      </c>
      <c r="J23" s="27" t="str">
        <f aca="false">IF(ISNUMBER(F23),IF( AND( ( (F23*(F23+2*$U$8)*AB23*AB23) &gt; ($E$5*($E$5+2*$U$5)) ), ( B23&lt;(90) ) ), 180-AJ23, AJ23)," ")</f>
        <v> </v>
      </c>
      <c r="L23" s="17" t="str">
        <f aca="false">IF(ISNUMBER(F23),$E$5+$O$10-F23," ")</f>
        <v> </v>
      </c>
      <c r="N23" s="1" t="str">
        <f aca="false">IF(ISNUMBER(P23),B23," ")</f>
        <v> </v>
      </c>
      <c r="O23" s="27" t="str">
        <f aca="false">IF(ISNUMBER(P23), IF( ABS(AM23-1)&lt;0.000001,0, IF(ABS(AM23+1)&lt;0.000001,180,ROUND(DEGREES(ACOS(AM23)),3)))," ")</f>
        <v> </v>
      </c>
      <c r="P23" s="17" t="str">
        <f aca="false">IF(AK23&gt;0.0000001,$U$8*((1/SQRT(1-AK23*AK23))-1),"none")</f>
        <v>none</v>
      </c>
      <c r="Q23" s="17" t="str">
        <f aca="false">IF(ISNUMBER(P23),ABS($Z$15*(1+AC23/AK23)/(1+$V$15*$Z$15*AM23)/AK23)," ")</f>
        <v> </v>
      </c>
      <c r="R23" s="27" t="str">
        <f aca="false">IF(ISNUMBER(P23),IF( AND( ( (P23*(P23+2*$U$8)*AB23*AB23) &gt; ($E$5*($E$5+2*$U$5)) ), ( B23&lt;90 ) ), 180-AN23, AN23)," ")</f>
        <v> </v>
      </c>
      <c r="S23" s="17" t="str">
        <f aca="false">IF(ISNUMBER(P23),$E$5+$O$10-P23," ")</f>
        <v> </v>
      </c>
      <c r="AB23" s="1" t="n">
        <f aca="false">COS(RADIANS(B23))</f>
        <v>-0.965925826289068</v>
      </c>
      <c r="AC23" s="1" t="n">
        <f aca="false">-$V$15*AB23</f>
        <v>0.0645509648653516</v>
      </c>
      <c r="AD23" s="1" t="n">
        <f aca="false">$AA$15+AC23*AC23</f>
        <v>1.00413979656106</v>
      </c>
      <c r="AF23" s="1" t="n">
        <f aca="false">AC23*AC23-AD23*$AE$15</f>
        <v>0.0041396846602724</v>
      </c>
      <c r="AG23" s="1" t="n">
        <f aca="false">IF(ISNUMBER(SQRT(AF23)),(-AC23+SQRT(AF23))/AD23,-100)</f>
        <v>-0.000209715429322777</v>
      </c>
      <c r="AH23" s="1" t="n">
        <f aca="false">(AG23*AB23-$V$15)/((1-$V$15*AG23*AB23)*$Z$15)</f>
        <v>-0.999999669631929</v>
      </c>
      <c r="AI23" s="1" t="n">
        <f aca="false">IF(ABS(AH23)&lt;=1,AH23,IF(ABS(AH23)&lt;=1.00001,1*SIGN(AH23),0))</f>
        <v>-0.999999669631929</v>
      </c>
      <c r="AJ23" s="17" t="e">
        <f aca="false">DEGREES(ASIN( SQRT( (F23*(F23+2*$U$8)) / (L23*(L23+2*$U$10)) ) * SIN(RADIANS(B23))  ))</f>
        <v>#VALUE!</v>
      </c>
      <c r="AK23" s="1" t="n">
        <f aca="false">IF(ISNUMBER(SQRT(AF23)),(-AC23-SQRT(AF23))/AD23,-100)</f>
        <v>-0.128359961992931</v>
      </c>
      <c r="AL23" s="1" t="n">
        <f aca="false">(AK23*AB23-$V$15)/((1-$V$15*AK23*AB23)*$Z$15)</f>
        <v>0.86505731644076</v>
      </c>
      <c r="AM23" s="1" t="n">
        <f aca="false">IF(ABS(AL23)&lt;=1,AL23,IF(ABS(AL23)&lt;=1.00001,1*SIGN(AL23),0))</f>
        <v>0.86505731644076</v>
      </c>
      <c r="AN23" s="17" t="str">
        <f aca="false">IF(ISNUMBER(P23),DEGREES(ASIN( SQRT( (P23*(P23+2*$U$8)) / (S23*(S23+2*$U$10)) ) * SIN(RADIANS(B23)) ) ),"ignore")</f>
        <v>ignore</v>
      </c>
    </row>
    <row r="24" customFormat="false" ht="12.75" hidden="false" customHeight="false" outlineLevel="0" collapsed="false">
      <c r="B24" s="1" t="n">
        <f aca="false">B16+A16*8</f>
        <v>170</v>
      </c>
      <c r="D24" s="27" t="str">
        <f aca="false">IF(ISNUMBER(F24),IF(ABS(AI24-1)&lt;0.000001,0,IF(ABS(AI24+1)&lt;0.000001,180,ROUND(DEGREES(ACOS(AI24)),3)))," ")</f>
        <v> </v>
      </c>
      <c r="F24" s="17" t="str">
        <f aca="false">IF(AG24&gt;0.0000001,$U$8*((1/SQRT(1-AG24*AG24))-1),"none")</f>
        <v>none</v>
      </c>
      <c r="H24" s="17" t="str">
        <f aca="false">IF(ISNUMBER(F24),$Z$15*(1+AC24/AG24)/(1+$V$15*$Z$15*AI24)/AG24," ")</f>
        <v> </v>
      </c>
      <c r="J24" s="27" t="str">
        <f aca="false">IF(ISNUMBER(F24),IF( AND( ( (F24*(F24+2*$U$8)*AB24*AB24) &gt; ($E$5*($E$5+2*$U$5)) ), ( B24&lt;(90) ) ), 180-AJ24, AJ24)," ")</f>
        <v> </v>
      </c>
      <c r="L24" s="17" t="str">
        <f aca="false">IF(ISNUMBER(F24),$E$5+$O$10-F24," ")</f>
        <v> </v>
      </c>
      <c r="N24" s="1" t="str">
        <f aca="false">IF(ISNUMBER(P24),B24," ")</f>
        <v> </v>
      </c>
      <c r="O24" s="27" t="str">
        <f aca="false">IF(ISNUMBER(P24), IF( ABS(AM24-1)&lt;0.000001,0, IF(ABS(AM24+1)&lt;0.000001,180,ROUND(DEGREES(ACOS(AM24)),3)))," ")</f>
        <v> </v>
      </c>
      <c r="P24" s="17" t="str">
        <f aca="false">IF(AK24&gt;0.0000001,$U$8*((1/SQRT(1-AK24*AK24))-1),"none")</f>
        <v>none</v>
      </c>
      <c r="Q24" s="17" t="str">
        <f aca="false">IF(ISNUMBER(P24),ABS($Z$15*(1+AC24/AK24)/(1+$V$15*$Z$15*AM24)/AK24)," ")</f>
        <v> </v>
      </c>
      <c r="R24" s="27" t="str">
        <f aca="false">IF(ISNUMBER(P24),IF( AND( ( (P24*(P24+2*$U$8)*AB24*AB24) &gt; ($E$5*($E$5+2*$U$5)) ), ( B24&lt;90 ) ), 180-AN24, AN24)," ")</f>
        <v> </v>
      </c>
      <c r="S24" s="17" t="str">
        <f aca="false">IF(ISNUMBER(P24),$E$5+$O$10-P24," ")</f>
        <v> </v>
      </c>
      <c r="AB24" s="1" t="n">
        <f aca="false">COS(RADIANS(B24))</f>
        <v>-0.984807753012208</v>
      </c>
      <c r="AC24" s="1" t="n">
        <f aca="false">-$V$15*AB24</f>
        <v>0.0658128077059951</v>
      </c>
      <c r="AD24" s="1" t="n">
        <f aca="false">$AA$15+AC24*AC24</f>
        <v>1.00430429515416</v>
      </c>
      <c r="AF24" s="1" t="n">
        <f aca="false">AC24*AC24-AD24*$AE$15</f>
        <v>0.00430417880689096</v>
      </c>
      <c r="AG24" s="1" t="n">
        <f aca="false">IF(ISNUMBER(SQRT(AF24)),(-AC24+SQRT(AF24))/AD24,-100)</f>
        <v>-0.000205681781556829</v>
      </c>
      <c r="AH24" s="1" t="n">
        <f aca="false">(AG24*AB24-$V$15)/((1-$V$15*AG24*AB24)*$Z$15)</f>
        <v>-0.999999856953608</v>
      </c>
      <c r="AI24" s="1" t="n">
        <f aca="false">IF(ABS(AH24)&lt;=1,AH24,IF(ABS(AH24)&lt;=1.00001,1*SIGN(AH24),0))</f>
        <v>-0.999999856953608</v>
      </c>
      <c r="AJ24" s="17" t="e">
        <f aca="false">DEGREES(ASIN( SQRT( (F24*(F24+2*$U$8)) / (L24*(L24+2*$U$10)) ) * SIN(RADIANS(B24))  ))</f>
        <v>#VALUE!</v>
      </c>
      <c r="AK24" s="1" t="n">
        <f aca="false">IF(ISNUMBER(SQRT(AF24)),(-AC24-SQRT(AF24))/AD24,-100)</f>
        <v>-0.130855806302377</v>
      </c>
      <c r="AL24" s="1" t="n">
        <f aca="false">(AK24*AB24-$V$15)/((1-$V$15*AK24*AB24)*$Z$15)</f>
        <v>0.939246815614567</v>
      </c>
      <c r="AM24" s="1" t="n">
        <f aca="false">IF(ABS(AL24)&lt;=1,AL24,IF(ABS(AL24)&lt;=1.00001,1*SIGN(AL24),0))</f>
        <v>0.939246815614567</v>
      </c>
      <c r="AN24" s="17" t="str">
        <f aca="false">IF(ISNUMBER(P24),DEGREES(ASIN( SQRT( (P24*(P24+2*$U$8)) / (S24*(S24+2*$U$10)) ) * SIN(RADIANS(B24)) ) ),"ignore")</f>
        <v>ignore</v>
      </c>
    </row>
    <row r="25" customFormat="false" ht="12.75" hidden="false" customHeight="false" outlineLevel="0" collapsed="false">
      <c r="B25" s="1" t="n">
        <f aca="false">B16+A16*9</f>
        <v>175</v>
      </c>
      <c r="D25" s="27" t="str">
        <f aca="false">IF(ISNUMBER(F25),IF(ABS(AI25-1)&lt;0.000001,0,IF(ABS(AI25+1)&lt;0.000001,180,ROUND(DEGREES(ACOS(AI25)),3)))," ")</f>
        <v> </v>
      </c>
      <c r="F25" s="17" t="str">
        <f aca="false">IF(AG25&gt;0.0000001,$U$8*((1/SQRT(1-AG25*AG25))-1),"none")</f>
        <v>none</v>
      </c>
      <c r="H25" s="17" t="str">
        <f aca="false">IF(ISNUMBER(F25),$Z$15*(1+AC25/AG25)/(1+$V$15*$Z$15*AI25)/AG25," ")</f>
        <v> </v>
      </c>
      <c r="J25" s="27" t="str">
        <f aca="false">IF(ISNUMBER(F25),IF( AND( ( (F25*(F25+2*$U$8)*AB25*AB25) &gt; ($E$5*($E$5+2*$U$5)) ), ( B25&lt;(90) ) ), 180-AJ25, AJ25)," ")</f>
        <v> </v>
      </c>
      <c r="L25" s="17" t="str">
        <f aca="false">IF(ISNUMBER(F25),$E$5+$O$10-F25," ")</f>
        <v> </v>
      </c>
      <c r="N25" s="1" t="str">
        <f aca="false">IF(ISNUMBER(P25),B25," ")</f>
        <v> </v>
      </c>
      <c r="O25" s="27" t="str">
        <f aca="false">IF(ISNUMBER(P25), IF( ABS(AM25-1)&lt;0.000001,0, IF(ABS(AM25+1)&lt;0.000001,180,ROUND(DEGREES(ACOS(AM25)),3)))," ")</f>
        <v> </v>
      </c>
      <c r="P25" s="17" t="str">
        <f aca="false">IF(AK25&gt;0.0000001,$U$8*((1/SQRT(1-AK25*AK25))-1),"none")</f>
        <v>none</v>
      </c>
      <c r="Q25" s="17" t="str">
        <f aca="false">IF(ISNUMBER(P25),ABS($Z$15*(1+AC25/AK25)/(1+$V$15*$Z$15*AM25)/AK25)," ")</f>
        <v> </v>
      </c>
      <c r="R25" s="27" t="str">
        <f aca="false">IF(ISNUMBER(P25),IF( AND( ( (P25*(P25+2*$U$8)*AB25*AB25) &gt; ($E$5*($E$5+2*$U$5)) ), ( B25&lt;90 ) ), 180-AN25, AN25)," ")</f>
        <v> </v>
      </c>
      <c r="S25" s="17" t="str">
        <f aca="false">IF(ISNUMBER(P25),$E$5+$O$10-P25," ")</f>
        <v> </v>
      </c>
      <c r="AB25" s="1" t="n">
        <f aca="false">COS(RADIANS(B25))</f>
        <v>-0.996194698091746</v>
      </c>
      <c r="AC25" s="1" t="n">
        <f aca="false">-$V$15*AB25</f>
        <v>0.0665737753411363</v>
      </c>
      <c r="AD25" s="1" t="n">
        <f aca="false">$AA$15+AC25*AC25</f>
        <v>1.00440503705918</v>
      </c>
      <c r="AF25" s="1" t="n">
        <f aca="false">AC25*AC25-AD25*$AE$15</f>
        <v>0.00440491798881228</v>
      </c>
      <c r="AG25" s="1" t="n">
        <f aca="false">IF(ISNUMBER(SQRT(AF25)),(-AC25+SQRT(AF25))/AD25,-100)</f>
        <v>-0.000203323503907675</v>
      </c>
      <c r="AH25" s="1" t="n">
        <f aca="false">(AG25*AB25-$V$15)/((1-$V$15*AG25*AB25)*$Z$15)</f>
        <v>-0.999999964786276</v>
      </c>
      <c r="AI25" s="1" t="n">
        <f aca="false">IF(ABS(AH25)&lt;=1,AH25,IF(ABS(AH25)&lt;=1.00001,1*SIGN(AH25),0))</f>
        <v>-0.999999964786276</v>
      </c>
      <c r="AJ25" s="17" t="e">
        <f aca="false">DEGREES(ASIN( SQRT( (F25*(F25+2*$U$8)) / (L25*(L25+2*$U$10)) ) * SIN(RADIANS(B25))  ))</f>
        <v>#VALUE!</v>
      </c>
      <c r="AK25" s="1" t="n">
        <f aca="false">IF(ISNUMBER(SQRT(AF25)),(-AC25-SQRT(AF25))/AD25,-100)</f>
        <v>-0.132360279594019</v>
      </c>
      <c r="AL25" s="1" t="n">
        <f aca="false">(AK25*AB25-$V$15)/((1-$V$15*AK25*AB25)*$Z$15)</f>
        <v>0.98469390079327</v>
      </c>
      <c r="AM25" s="1" t="n">
        <f aca="false">IF(ABS(AL25)&lt;=1,AL25,IF(ABS(AL25)&lt;=1.00001,1*SIGN(AL25),0))</f>
        <v>0.98469390079327</v>
      </c>
      <c r="AN25" s="17" t="str">
        <f aca="false">IF(ISNUMBER(P25),DEGREES(ASIN( SQRT( (P25*(P25+2*$U$8)) / (S25*(S25+2*$U$10)) ) * SIN(RADIANS(B25)) ) ),"ignore")</f>
        <v>ignore</v>
      </c>
    </row>
    <row r="26" customFormat="false" ht="12.75" hidden="false" customHeight="false" outlineLevel="0" collapsed="false">
      <c r="B26" s="1" t="n">
        <f aca="false">B16+A16*10</f>
        <v>180</v>
      </c>
      <c r="D26" s="27" t="str">
        <f aca="false">IF(ISNUMBER(F26),IF(ABS(AI26-1)&lt;0.000001,0,IF(ABS(AI26+1)&lt;0.000001,180,ROUND(DEGREES(ACOS(AI26)),3)))," ")</f>
        <v> </v>
      </c>
      <c r="F26" s="17" t="str">
        <f aca="false">IF(AG26&gt;0.0000001,$U$8*((1/SQRT(1-AG26*AG26))-1),"none")</f>
        <v>none</v>
      </c>
      <c r="H26" s="17" t="str">
        <f aca="false">IF(ISNUMBER(F26),$Z$15*(1+AC26/AG26)/(1+$V$15*$Z$15*AI26)/AG26," ")</f>
        <v> </v>
      </c>
      <c r="J26" s="27" t="str">
        <f aca="false">IF(ISNUMBER(F26),IF( AND( ( (F26*(F26+2*$U$8)*AB26*AB26) &gt; ($E$5*($E$5+2*$U$5)) ), ( B26&lt;(90) ) ), 180-AJ26, AJ26)," ")</f>
        <v> </v>
      </c>
      <c r="L26" s="17" t="str">
        <f aca="false">IF(ISNUMBER(F26),$E$5+$O$10-F26," ")</f>
        <v> </v>
      </c>
      <c r="N26" s="1" t="str">
        <f aca="false">IF(ISNUMBER(P26),B26," ")</f>
        <v> </v>
      </c>
      <c r="O26" s="27" t="str">
        <f aca="false">IF(ISNUMBER(P26), IF( ABS(AM26-1)&lt;0.000001,0, IF(ABS(AM26+1)&lt;0.000001,180,ROUND(DEGREES(ACOS(AM26)),3)))," ")</f>
        <v> </v>
      </c>
      <c r="P26" s="17" t="str">
        <f aca="false">IF(AK26&gt;0.0000001,$U$8*((1/SQRT(1-AK26*AK26))-1),"none")</f>
        <v>none</v>
      </c>
      <c r="Q26" s="17" t="str">
        <f aca="false">IF(ISNUMBER(P26),ABS($Z$15*(1+AC26/AK26)/(1+$V$15*$Z$15*AM26)/AK26)," ")</f>
        <v> </v>
      </c>
      <c r="R26" s="27" t="str">
        <f aca="false">IF(ISNUMBER(P26),IF( AND( ( (P26*(P26+2*$U$8)*AB26*AB26) &gt; ($E$5*($E$5+2*$U$5)) ), ( B26&lt;90 ) ), 180-AN26, AN26)," ")</f>
        <v> </v>
      </c>
      <c r="S26" s="17" t="str">
        <f aca="false">IF(ISNUMBER(P26),$E$5+$O$10-P26," ")</f>
        <v> </v>
      </c>
      <c r="AB26" s="1" t="n">
        <f aca="false">COS(RADIANS(B26))</f>
        <v>-1</v>
      </c>
      <c r="AC26" s="1" t="n">
        <f aca="false">-$V$15*AB26</f>
        <v>0.0668280763475867</v>
      </c>
      <c r="AD26" s="1" t="n">
        <f aca="false">$AA$15+AC26*AC26</f>
        <v>1.00443896128433</v>
      </c>
      <c r="AF26" s="1" t="n">
        <f aca="false">AC26*AC26-AD26*$AE$15</f>
        <v>0.00443884129697017</v>
      </c>
      <c r="AG26" s="1" t="n">
        <f aca="false">IF(ISNUMBER(SQRT(AF26)),(-AC26+SQRT(AF26))/AD26,-100)</f>
        <v>-0.00020254743996434</v>
      </c>
      <c r="AH26" s="1" t="n">
        <f aca="false">(AG26*AB26-$V$15)/((1-$V$15*AG26*AB26)*$Z$15)</f>
        <v>-1</v>
      </c>
      <c r="AI26" s="1" t="n">
        <f aca="false">IF(ABS(AH26)&lt;=1,AH26,IF(ABS(AH26)&lt;=1.00001,1*SIGN(AH26),0))</f>
        <v>-1</v>
      </c>
      <c r="AJ26" s="17" t="e">
        <f aca="false">DEGREES(ASIN( SQRT( (F26*(F26+2*$U$8)) / (L26*(L26+2*$U$10)) ) * SIN(RADIANS(B26))  ))</f>
        <v>#VALUE!</v>
      </c>
      <c r="AK26" s="1" t="n">
        <f aca="false">IF(ISNUMBER(SQRT(AF26)),(-AC26-SQRT(AF26))/AD26,-100)</f>
        <v>-0.132862932740407</v>
      </c>
      <c r="AL26" s="1" t="n">
        <f aca="false">(AK26*AB26-$V$15)/((1-$V$15*AK26*AB26)*$Z$15)</f>
        <v>1</v>
      </c>
      <c r="AM26" s="1" t="n">
        <f aca="false">IF(ABS(AL26)&lt;=1,AL26,IF(ABS(AL26)&lt;=1.00001,1*SIGN(AL26),0))</f>
        <v>1</v>
      </c>
      <c r="AN26" s="17" t="str">
        <f aca="false">IF(ISNUMBER(P26),DEGREES(ASIN( SQRT( (P26*(P26+2*$U$8)) / (S26*(S26+2*$U$10)) ) * SIN(RADIANS(B26)) ) ),"ignore")</f>
        <v>ignore</v>
      </c>
    </row>
    <row r="27" customFormat="false" ht="12.75" hidden="false" customHeight="false" outlineLevel="0" collapsed="false">
      <c r="D27" s="27"/>
      <c r="F27" s="17"/>
      <c r="H27" s="17"/>
      <c r="J27" s="27"/>
      <c r="L27" s="17"/>
      <c r="O27" s="17"/>
      <c r="P27" s="17"/>
      <c r="Q27" s="17"/>
      <c r="R27" s="17"/>
      <c r="S27" s="17"/>
      <c r="AJ27" s="17"/>
      <c r="AN27" s="17"/>
    </row>
    <row r="28" customFormat="false" ht="13.5" hidden="false" customHeight="false" outlineLevel="0" collapsed="false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28"/>
      <c r="P28" s="28"/>
      <c r="Q28" s="28"/>
      <c r="R28" s="28"/>
      <c r="S28" s="28"/>
      <c r="AJ28" s="17"/>
      <c r="AN28" s="17"/>
    </row>
    <row r="29" customFormat="false" ht="12.75" hidden="false" customHeight="false" outlineLevel="0" collapsed="false">
      <c r="D29" s="27"/>
      <c r="F29" s="17"/>
      <c r="H29" s="17"/>
      <c r="J29" s="27"/>
      <c r="L29" s="17"/>
      <c r="O29" s="17"/>
      <c r="P29" s="17"/>
      <c r="Q29" s="17"/>
      <c r="R29" s="17"/>
      <c r="S29" s="17"/>
      <c r="AJ29" s="17"/>
      <c r="AN29" s="17"/>
    </row>
    <row r="30" customFormat="false" ht="12.75" hidden="false" customHeight="false" outlineLevel="0" collapsed="false">
      <c r="B30" s="1" t="n">
        <v>0</v>
      </c>
      <c r="D30" s="27" t="n">
        <f aca="false">IF(ISNUMBER(F30),IF(ABS(AI30-1)&lt;0.000001,0,IF(ABS(AI30+1)&lt;0.000001,180,ROUND(DEGREES(ACOS(AI30)),3)))," ")</f>
        <v>0</v>
      </c>
      <c r="F30" s="17" t="n">
        <f aca="false">IF(AG30&gt;0.0000001,$U$8*((1/SQRT(1-AG30*AG30))-1),"none")</f>
        <v>482.727135397596</v>
      </c>
      <c r="H30" s="17" t="n">
        <f aca="false">IF(ISNUMBER(F30),$Z$15*(1+AC30/AG30)/(1+$V$15*$Z$15*AI30)/AG30," ")</f>
        <v>0.248131959856083</v>
      </c>
      <c r="J30" s="27" t="n">
        <f aca="false">IF(ISNUMBER(F30),IF( AND( ( (F30*(F30+2*$U$8)*AB30*AB30) &gt; ($E$5*($E$5+2*$U$5)) ), ( B30&lt;90 ) ), 180-AJ30, AJ30)," ")</f>
        <v>0</v>
      </c>
      <c r="L30" s="17" t="n">
        <f aca="false">IF(ISNUMBER(F30),$E$5+$O$10-F30," ")</f>
        <v>132.472864602404</v>
      </c>
      <c r="N30" s="1" t="n">
        <f aca="false">IF(ISNUMBER(P30),B30," ")</f>
        <v>0</v>
      </c>
      <c r="O30" s="27" t="n">
        <f aca="false">IF(ISNUMBER(P30), IF( ABS(AM30-1)&lt;0.000001,0, IF(ABS(AM30+1)&lt;0.000001,180,ROUND(DEGREES(ACOS(AM30)),3)))," ")</f>
        <v>180</v>
      </c>
      <c r="P30" s="17" t="n">
        <f aca="false">IF(AK30&gt;0.0000001,$U$8*((1/SQRT(1-AK30*AK30))-1),"none")</f>
        <v>0.0011070078888641</v>
      </c>
      <c r="Q30" s="17" t="n">
        <f aca="false">IF(ISNUMBER(P30),ABS($Z$15*(1+AC30/AK30)/(1+$V$15*$Z$15*AM30)/AK30)," ")</f>
        <v>108685.528641087</v>
      </c>
      <c r="R30" s="27" t="n">
        <f aca="false">IF(ISNUMBER(P30),IF( AND( ( (P30*(P30+2*$U$8)*AB30*AB30) &gt; ($E$5*($E$5+2*$U$5)) ), ( B30&lt;90 ) ), 180-AN30, AN30)," ")</f>
        <v>0</v>
      </c>
      <c r="S30" s="17" t="n">
        <f aca="false">IF(ISNUMBER(P30),$E$5+$O$10-P30," ")</f>
        <v>615.198892992111</v>
      </c>
      <c r="AB30" s="1" t="n">
        <f aca="false">COS(RADIANS(B30))</f>
        <v>1</v>
      </c>
      <c r="AC30" s="1" t="n">
        <f aca="false">-$V$15*AB30</f>
        <v>-0.0668280763475867</v>
      </c>
      <c r="AD30" s="1" t="n">
        <f aca="false">$AA$15+AC30*AC30</f>
        <v>1.00443896128433</v>
      </c>
      <c r="AF30" s="1" t="n">
        <f aca="false">AC30*AC30-AD30*$AE$15</f>
        <v>0.00443884129697017</v>
      </c>
      <c r="AG30" s="1" t="n">
        <f aca="false">IF(ISNUMBER(SQRT(AF30)),(-AC30+SQRT(AF30))/AD30,-100)</f>
        <v>0.132862932740407</v>
      </c>
      <c r="AH30" s="1" t="n">
        <f aca="false">(AG30*AB30-$V$15)/((1-$V$15*AG30*AB30)*$Z$15)</f>
        <v>1</v>
      </c>
      <c r="AI30" s="1" t="n">
        <f aca="false">IF(ABS(AH30)&lt;=1,AH30,IF(ABS(AH30)&lt;=1.00001,1*SIGN(AH30),0))</f>
        <v>1</v>
      </c>
      <c r="AJ30" s="17" t="n">
        <f aca="false">DEGREES(ASIN( SQRT( (F30*(F30+2*$U$8)) / (L30*(L30+2*$U$10)) ) * SIN(RADIANS(B30))  ))</f>
        <v>0</v>
      </c>
      <c r="AK30" s="1" t="n">
        <f aca="false">IF(ISNUMBER(SQRT(AF30)),(-AC30-SQRT(AF30))/AD30,-100)</f>
        <v>0.00020254743996434</v>
      </c>
      <c r="AL30" s="1" t="n">
        <f aca="false">(AK30*AB30-$V$15)/((1-$V$15*AK30*AB30)*$Z$15)</f>
        <v>-1</v>
      </c>
      <c r="AM30" s="1" t="n">
        <f aca="false">IF(ABS(AL30)&lt;=1,AL30,IF(ABS(AL30)&lt;=1.00001,1*SIGN(AL30),0))</f>
        <v>-1</v>
      </c>
      <c r="AN30" s="17" t="n">
        <f aca="false">IF(ISNUMBER(P30),DEGREES(ASIN( SQRT( (P30*(P30+2*$U$8)) / (S30*(S30+2*$U$10)) ) * SIN(RADIANS(B30)) ) ),"ignore")</f>
        <v>0</v>
      </c>
    </row>
    <row r="31" customFormat="false" ht="12.75" hidden="false" customHeight="false" outlineLevel="0" collapsed="false">
      <c r="B31" s="1" t="n">
        <v>1</v>
      </c>
      <c r="D31" s="27" t="n">
        <f aca="false">IF(ISNUMBER(F31),IF(ABS(AI31-1)&lt;0.000001,0,IF(ABS(AI31+1)&lt;0.000001,180,ROUND(DEGREES(ACOS(AI31)),3)))," ")</f>
        <v>2.008</v>
      </c>
      <c r="F31" s="17" t="n">
        <f aca="false">IF(AG31&gt;0.0000001,$U$8*((1/SQRT(1-AG31*AG31))-1),"none")</f>
        <v>482.578996856595</v>
      </c>
      <c r="H31" s="17" t="n">
        <f aca="false">IF(ISNUMBER(F31),$Z$15*(1+AC31/AG31)/(1+$V$15*$Z$15*AI31)/AG31," ")</f>
        <v>0.248170435154604</v>
      </c>
      <c r="J31" s="27" t="n">
        <f aca="false">IF(ISNUMBER(F31),IF( AND( ( (F31*(F31+2*$U$8)*AB31*AB31) &gt; ($E$5*($E$5+2*$U$5)) ), ( B31&lt;90 ) ), 180-AJ31, AJ31)," ")</f>
        <v>1.15769606445903</v>
      </c>
      <c r="L31" s="17" t="n">
        <f aca="false">IF(ISNUMBER(F31),$E$5+$O$10-F31," ")</f>
        <v>132.621003143405</v>
      </c>
      <c r="N31" s="1" t="n">
        <f aca="false">IF(ISNUMBER(P31),B31," ")</f>
        <v>1</v>
      </c>
      <c r="O31" s="27" t="n">
        <f aca="false">IF(ISNUMBER(P31), IF( ABS(AM31-1)&lt;0.000001,0, IF(ABS(AM31+1)&lt;0.000001,180,ROUND(DEGREES(ACOS(AM31)),3)))," ")</f>
        <v>180</v>
      </c>
      <c r="P31" s="17" t="n">
        <f aca="false">IF(AK31&gt;0.0000001,$U$8*((1/SQRT(1-AK31*AK31))-1),"none")</f>
        <v>0.00110734619436017</v>
      </c>
      <c r="Q31" s="17" t="n">
        <f aca="false">IF(ISNUMBER(P31),ABS($Z$15*(1+AC31/AK31)/(1+$V$15*$Z$15*AM31)/AK31)," ")</f>
        <v>108635.674806257</v>
      </c>
      <c r="R31" s="27" t="n">
        <f aca="false">IF(ISNUMBER(P31),IF( AND( ( (P31*(P31+2*$U$8)*AB31*AB31) &gt; ($E$5*($E$5+2*$U$5)) ), ( B31&lt;90 ) ), 180-AN31, AN31)," ")</f>
        <v>0.000811701725615445</v>
      </c>
      <c r="S31" s="17" t="n">
        <f aca="false">IF(ISNUMBER(P31),$E$5+$O$10-P31," ")</f>
        <v>615.198892653806</v>
      </c>
      <c r="AB31" s="1" t="n">
        <f aca="false">COS(RADIANS(B31))</f>
        <v>0.999847695156391</v>
      </c>
      <c r="AC31" s="1" t="n">
        <f aca="false">-$V$15*AB31</f>
        <v>-0.0668178981078699</v>
      </c>
      <c r="AD31" s="1" t="n">
        <f aca="false">$AA$15+AC31*AC31</f>
        <v>1.00443760100357</v>
      </c>
      <c r="AF31" s="1" t="n">
        <f aca="false">AC31*AC31-AD31*$AE$15</f>
        <v>0.00443748105297405</v>
      </c>
      <c r="AG31" s="1" t="n">
        <f aca="false">IF(ISNUMBER(SQRT(AF31)),(-AC31+SQRT(AF31))/AD31,-100)</f>
        <v>0.132842815455067</v>
      </c>
      <c r="AH31" s="1" t="n">
        <f aca="false">(AG31*AB31-$V$15)/((1-$V$15*AG31*AB31)*$Z$15)</f>
        <v>0.999386241750839</v>
      </c>
      <c r="AI31" s="1" t="n">
        <f aca="false">IF(ABS(AH31)&lt;=1,AH31,IF(ABS(AH31)&lt;=1.00001,1*SIGN(AH31),0))</f>
        <v>0.999386241750839</v>
      </c>
      <c r="AJ31" s="17" t="n">
        <f aca="false">DEGREES(ASIN( SQRT( (F31*(F31+2*$U$8)) / (L31*(L31+2*$U$10)) ) * SIN(RADIANS(B31))  ))</f>
        <v>1.15769606445903</v>
      </c>
      <c r="AK31" s="1" t="n">
        <f aca="false">IF(ISNUMBER(SQRT(AF31)),(-AC31-SQRT(AF31))/AD31,-100)</f>
        <v>0.000202578387437728</v>
      </c>
      <c r="AL31" s="1" t="n">
        <f aca="false">(AK31*AB31-$V$15)/((1-$V$15*AK31*AB31)*$Z$15)</f>
        <v>-0.999999998598344</v>
      </c>
      <c r="AM31" s="1" t="n">
        <f aca="false">IF(ABS(AL31)&lt;=1,AL31,IF(ABS(AL31)&lt;=1.00001,1*SIGN(AL31),0))</f>
        <v>-0.999999998598344</v>
      </c>
      <c r="AN31" s="17" t="n">
        <f aca="false">IF(ISNUMBER(P31),DEGREES(ASIN( SQRT( (P31*(P31+2*$U$8)) / (S31*(S31+2*$U$10)) ) * SIN(RADIANS(B31)) ) ),"ignore")</f>
        <v>0.000811701725615445</v>
      </c>
    </row>
    <row r="32" customFormat="false" ht="12.75" hidden="false" customHeight="false" outlineLevel="0" collapsed="false">
      <c r="B32" s="1" t="n">
        <v>2</v>
      </c>
      <c r="D32" s="27" t="n">
        <f aca="false">IF(ISNUMBER(F32),IF(ABS(AI32-1)&lt;0.000001,0,IF(ABS(AI32+1)&lt;0.000001,180,ROUND(DEGREES(ACOS(AI32)),3)))," ")</f>
        <v>4.015</v>
      </c>
      <c r="F32" s="17" t="n">
        <f aca="false">IF(AG32&gt;0.0000001,$U$8*((1/SQRT(1-AG32*AG32))-1),"none")</f>
        <v>482.134764143555</v>
      </c>
      <c r="H32" s="17" t="n">
        <f aca="false">IF(ISNUMBER(F32),$Z$15*(1+AC32/AG32)/(1+$V$15*$Z$15*AI32)/AG32," ")</f>
        <v>0.248285919064248</v>
      </c>
      <c r="J32" s="27" t="n">
        <f aca="false">IF(ISNUMBER(F32),IF( AND( ( (F32*(F32+2*$U$8)*AB32*AB32) &gt; ($E$5*($E$5+2*$U$5)) ), ( B32&lt;90 ) ), 180-AJ32, AJ32)," ")</f>
        <v>2.31057047114142</v>
      </c>
      <c r="L32" s="17" t="n">
        <f aca="false">IF(ISNUMBER(F32),$E$5+$O$10-F32," ")</f>
        <v>133.065235856445</v>
      </c>
      <c r="N32" s="1" t="n">
        <f aca="false">IF(ISNUMBER(P32),B32," ")</f>
        <v>2</v>
      </c>
      <c r="O32" s="27" t="n">
        <f aca="false">IF(ISNUMBER(P32), IF( ABS(AM32-1)&lt;0.000001,0, IF(ABS(AM32+1)&lt;0.000001,180,ROUND(DEGREES(ACOS(AM32)),3)))," ")</f>
        <v>180</v>
      </c>
      <c r="P32" s="17" t="n">
        <f aca="false">IF(AK32&gt;0.0000001,$U$8*((1/SQRT(1-AK32*AK32))-1),"none")</f>
        <v>0.00110836194966195</v>
      </c>
      <c r="Q32" s="17" t="n">
        <f aca="false">IF(ISNUMBER(P32),ABS($Z$15*(1+AC32/AK32)/(1+$V$15*$Z$15*AM32)/AK32)," ")</f>
        <v>108486.21976236</v>
      </c>
      <c r="R32" s="27" t="n">
        <f aca="false">IF(ISNUMBER(P32),IF( AND( ( (P32*(P32+2*$U$8)*AB32*AB32) &gt; ($E$5*($E$5+2*$U$5)) ), ( B32&lt;90 ) ), 180-AN32, AN32)," ")</f>
        <v>0.00162390048069299</v>
      </c>
      <c r="S32" s="17" t="n">
        <f aca="false">IF(ISNUMBER(P32),$E$5+$O$10-P32," ")</f>
        <v>615.19889163805</v>
      </c>
      <c r="AB32" s="1" t="n">
        <f aca="false">COS(RADIANS(B32))</f>
        <v>0.999390827019096</v>
      </c>
      <c r="AC32" s="1" t="n">
        <f aca="false">-$V$15*AB32</f>
        <v>-0.0667873664891099</v>
      </c>
      <c r="AD32" s="1" t="n">
        <f aca="false">$AA$15+AC32*AC32</f>
        <v>1.00443352181856</v>
      </c>
      <c r="AF32" s="1" t="n">
        <f aca="false">AC32*AC32-AD32*$AE$15</f>
        <v>0.00443340197823349</v>
      </c>
      <c r="AG32" s="1" t="n">
        <f aca="false">IF(ISNUMBER(SQRT(AF32)),(-AC32+SQRT(AF32))/AD32,-100)</f>
        <v>0.132782469179186</v>
      </c>
      <c r="AH32" s="1" t="n">
        <f aca="false">(AG32*AB32-$V$15)/((1-$V$15*AG32*AB32)*$Z$15)</f>
        <v>0.997545724824417</v>
      </c>
      <c r="AI32" s="1" t="n">
        <f aca="false">IF(ABS(AH32)&lt;=1,AH32,IF(ABS(AH32)&lt;=1.00001,1*SIGN(AH32),0))</f>
        <v>0.997545724824417</v>
      </c>
      <c r="AJ32" s="17" t="n">
        <f aca="false">DEGREES(ASIN( SQRT( (F32*(F32+2*$U$8)) / (L32*(L32+2*$U$10)) ) * SIN(RADIANS(B32))  ))</f>
        <v>2.31057047114142</v>
      </c>
      <c r="AK32" s="1" t="n">
        <f aca="false">IF(ISNUMBER(SQRT(AF32)),(-AC32-SQRT(AF32))/AD32,-100)</f>
        <v>0.000202671277275345</v>
      </c>
      <c r="AL32" s="1" t="n">
        <f aca="false">(AK32*AB32-$V$15)/((1-$V$15*AK32*AB32)*$Z$15)</f>
        <v>-0.99999999438994</v>
      </c>
      <c r="AM32" s="1" t="n">
        <f aca="false">IF(ABS(AL32)&lt;=1,AL32,IF(ABS(AL32)&lt;=1.00001,1*SIGN(AL32),0))</f>
        <v>-0.99999999438994</v>
      </c>
      <c r="AN32" s="17" t="n">
        <f aca="false">IF(ISNUMBER(P32),DEGREES(ASIN( SQRT( (P32*(P32+2*$U$8)) / (S32*(S32+2*$U$10)) ) * SIN(RADIANS(B32)) ) ),"ignore")</f>
        <v>0.00162390048069299</v>
      </c>
    </row>
    <row r="33" customFormat="false" ht="12.75" hidden="false" customHeight="false" outlineLevel="0" collapsed="false">
      <c r="B33" s="1" t="n">
        <v>3</v>
      </c>
      <c r="D33" s="27" t="n">
        <f aca="false">IF(ISNUMBER(F33),IF(ABS(AI33-1)&lt;0.000001,0,IF(ABS(AI33+1)&lt;0.000001,180,ROUND(DEGREES(ACOS(AI33)),3)))," ")</f>
        <v>6.023</v>
      </c>
      <c r="F33" s="17" t="n">
        <f aca="false">IF(AG33&gt;0.0000001,$U$8*((1/SQRT(1-AG33*AG33))-1),"none")</f>
        <v>481.394985753637</v>
      </c>
      <c r="H33" s="17" t="n">
        <f aca="false">IF(ISNUMBER(F33),$Z$15*(1+AC33/AG33)/(1+$V$15*$Z$15*AI33)/AG33," ")</f>
        <v>0.248478585843468</v>
      </c>
      <c r="J33" s="27" t="n">
        <f aca="false">IF(ISNUMBER(F33),IF( AND( ( (F33*(F33+2*$U$8)*AB33*AB33) &gt; ($E$5*($E$5+2*$U$5)) ), ( B33&lt;90 ) ), 180-AJ33, AJ33)," ")</f>
        <v>3.45387167139322</v>
      </c>
      <c r="L33" s="17" t="n">
        <f aca="false">IF(ISNUMBER(F33),$E$5+$O$10-F33," ")</f>
        <v>133.805014246363</v>
      </c>
      <c r="N33" s="1" t="n">
        <f aca="false">IF(ISNUMBER(P33),B33," ")</f>
        <v>3</v>
      </c>
      <c r="O33" s="27" t="n">
        <f aca="false">IF(ISNUMBER(P33), IF( ABS(AM33-1)&lt;0.000001,0, IF(ABS(AM33+1)&lt;0.000001,180,ROUND(DEGREES(ACOS(AM33)),3)))," ")</f>
        <v>180</v>
      </c>
      <c r="P33" s="17" t="n">
        <f aca="false">IF(AK33&gt;0.0000001,$U$8*((1/SQRT(1-AK33*AK33))-1),"none")</f>
        <v>0.00111005763526099</v>
      </c>
      <c r="Q33" s="17" t="n">
        <f aca="false">IF(ISNUMBER(P33),ABS($Z$15*(1+AC33/AK33)/(1+$V$15*$Z$15*AM33)/AK33)," ")</f>
        <v>108237.482608599</v>
      </c>
      <c r="R33" s="27" t="n">
        <f aca="false">IF(ISNUMBER(P33),IF( AND( ( (P33*(P33+2*$U$8)*AB33*AB33) &gt; ($E$5*($E$5+2*$U$5)) ), ( B33&lt;90 ) ), 180-AN33, AN33)," ")</f>
        <v>0.0024370945082042</v>
      </c>
      <c r="S33" s="17" t="n">
        <f aca="false">IF(ISNUMBER(P33),$E$5+$O$10-P33," ")</f>
        <v>615.198889942365</v>
      </c>
      <c r="AB33" s="1" t="n">
        <f aca="false">COS(RADIANS(B33))</f>
        <v>0.998629534754574</v>
      </c>
      <c r="AC33" s="1" t="n">
        <f aca="false">-$V$15*AB33</f>
        <v>-0.0667364907915336</v>
      </c>
      <c r="AD33" s="1" t="n">
        <f aca="false">$AA$15+AC33*AC33</f>
        <v>1.00442672869918</v>
      </c>
      <c r="AF33" s="1" t="n">
        <f aca="false">AC33*AC33-AD33*$AE$15</f>
        <v>0.00442660904247269</v>
      </c>
      <c r="AG33" s="1" t="n">
        <f aca="false">IF(ISNUMBER(SQRT(AF33)),(-AC33+SQRT(AF33))/AD33,-100)</f>
        <v>0.132681910652622</v>
      </c>
      <c r="AH33" s="1" t="n">
        <f aca="false">(AG33*AB33-$V$15)/((1-$V$15*AG33*AB33)*$Z$15)</f>
        <v>0.994480721711198</v>
      </c>
      <c r="AI33" s="1" t="n">
        <f aca="false">IF(ABS(AH33)&lt;=1,AH33,IF(ABS(AH33)&lt;=1.00001,1*SIGN(AH33),0))</f>
        <v>0.994480721711198</v>
      </c>
      <c r="AJ33" s="17" t="n">
        <f aca="false">DEGREES(ASIN( SQRT( (F33*(F33+2*$U$8)) / (L33*(L33+2*$U$10)) ) * SIN(RADIANS(B33))  ))</f>
        <v>3.45387167139322</v>
      </c>
      <c r="AK33" s="1" t="n">
        <f aca="false">IF(ISNUMBER(SQRT(AF33)),(-AC33-SQRT(AF33))/AD33,-100)</f>
        <v>0.000202826251907343</v>
      </c>
      <c r="AL33" s="1" t="n">
        <f aca="false">(AK33*AB33-$V$15)/((1-$V$15*AK33*AB33)*$Z$15)</f>
        <v>-0.999999987364471</v>
      </c>
      <c r="AM33" s="1" t="n">
        <f aca="false">IF(ABS(AL33)&lt;=1,AL33,IF(ABS(AL33)&lt;=1.00001,1*SIGN(AL33),0))</f>
        <v>-0.999999987364471</v>
      </c>
      <c r="AN33" s="17" t="n">
        <f aca="false">IF(ISNUMBER(P33),DEGREES(ASIN( SQRT( (P33*(P33+2*$U$8)) / (S33*(S33+2*$U$10)) ) * SIN(RADIANS(B33)) ) ),"ignore")</f>
        <v>0.0024370945082042</v>
      </c>
    </row>
    <row r="34" customFormat="false" ht="12.75" hidden="false" customHeight="false" outlineLevel="0" collapsed="false">
      <c r="B34" s="1" t="n">
        <v>4</v>
      </c>
      <c r="D34" s="27" t="n">
        <f aca="false">IF(ISNUMBER(F34),IF(ABS(AI34-1)&lt;0.000001,0,IF(ABS(AI34+1)&lt;0.000001,180,ROUND(DEGREES(ACOS(AI34)),3)))," ")</f>
        <v>8.03</v>
      </c>
      <c r="F34" s="17" t="n">
        <f aca="false">IF(AG34&gt;0.0000001,$U$8*((1/SQRT(1-AG34*AG34))-1),"none")</f>
        <v>480.36057506316</v>
      </c>
      <c r="H34" s="17" t="n">
        <f aca="false">IF(ISNUMBER(F34),$Z$15*(1+AC34/AG34)/(1+$V$15*$Z$15*AI34)/AG34," ")</f>
        <v>0.248748726645223</v>
      </c>
      <c r="J34" s="27" t="n">
        <f aca="false">IF(ISNUMBER(F34),IF( AND( ( (F34*(F34+2*$U$8)*AB34*AB34) &gt; ($E$5*($E$5+2*$U$5)) ), ( B34&lt;90 ) ), 180-AJ34, AJ34)," ")</f>
        <v>4.58298581737764</v>
      </c>
      <c r="L34" s="17" t="n">
        <f aca="false">IF(ISNUMBER(F34),$E$5+$O$10-F34," ")</f>
        <v>134.83942493684</v>
      </c>
      <c r="N34" s="1" t="n">
        <f aca="false">IF(ISNUMBER(P34),B34," ")</f>
        <v>4</v>
      </c>
      <c r="O34" s="27" t="n">
        <f aca="false">IF(ISNUMBER(P34), IF( ABS(AM34-1)&lt;0.000001,0, IF(ABS(AM34+1)&lt;0.000001,180,ROUND(DEGREES(ACOS(AM34)),3)))," ")</f>
        <v>180</v>
      </c>
      <c r="P34" s="17" t="n">
        <f aca="false">IF(AK34&gt;0.0000001,$U$8*((1/SQRT(1-AK34*AK34))-1),"none")</f>
        <v>0.00111243743324209</v>
      </c>
      <c r="Q34" s="17" t="n">
        <f aca="false">IF(ISNUMBER(P34),ABS($Z$15*(1+AC34/AK34)/(1+$V$15*$Z$15*AM34)/AK34)," ")</f>
        <v>107889.994235727</v>
      </c>
      <c r="R34" s="27" t="n">
        <f aca="false">IF(ISNUMBER(P34),IF( AND( ( (P34*(P34+2*$U$8)*AB34*AB34) &gt; ($E$5*($E$5+2*$U$5)) ), ( B34&lt;90 ) ), 180-AN34, AN34)," ")</f>
        <v>0.0032517845237188</v>
      </c>
      <c r="S34" s="17" t="n">
        <f aca="false">IF(ISNUMBER(P34),$E$5+$O$10-P34," ")</f>
        <v>615.198887562567</v>
      </c>
      <c r="AB34" s="1" t="n">
        <f aca="false">COS(RADIANS(B34))</f>
        <v>0.997564050259824</v>
      </c>
      <c r="AC34" s="1" t="n">
        <f aca="false">-$V$15*AB34</f>
        <v>-0.0666652865123713</v>
      </c>
      <c r="AD34" s="1" t="n">
        <f aca="false">$AA$15+AC34*AC34</f>
        <v>1.00441722992179</v>
      </c>
      <c r="AF34" s="1" t="n">
        <f aca="false">AC34*AC34-AD34*$AE$15</f>
        <v>0.00441711052183754</v>
      </c>
      <c r="AG34" s="1" t="n">
        <f aca="false">IF(ISNUMBER(SQRT(AF34)),(-AC34+SQRT(AF34))/AD34,-100)</f>
        <v>0.132541167773233</v>
      </c>
      <c r="AH34" s="1" t="n">
        <f aca="false">(AG34*AB34-$V$15)/((1-$V$15*AG34*AB34)*$Z$15)</f>
        <v>0.99019501665434</v>
      </c>
      <c r="AI34" s="1" t="n">
        <f aca="false">IF(ABS(AH34)&lt;=1,AH34,IF(ABS(AH34)&lt;=1.00001,1*SIGN(AH34),0))</f>
        <v>0.99019501665434</v>
      </c>
      <c r="AJ34" s="17" t="n">
        <f aca="false">DEGREES(ASIN( SQRT( (F34*(F34+2*$U$8)) / (L34*(L34+2*$U$10)) ) * SIN(RADIANS(B34))  ))</f>
        <v>4.58298581737764</v>
      </c>
      <c r="AK34" s="1" t="n">
        <f aca="false">IF(ISNUMBER(SQRT(AF34)),(-AC34-SQRT(AF34))/AD34,-100)</f>
        <v>0.000203043549311318</v>
      </c>
      <c r="AL34" s="1" t="n">
        <f aca="false">(AK34*AB34-$V$15)/((1-$V$15*AK34*AB34)*$Z$15)</f>
        <v>-0.999999977504679</v>
      </c>
      <c r="AM34" s="1" t="n">
        <f aca="false">IF(ABS(AL34)&lt;=1,AL34,IF(ABS(AL34)&lt;=1.00001,1*SIGN(AL34),0))</f>
        <v>-0.999999977504679</v>
      </c>
      <c r="AN34" s="17" t="n">
        <f aca="false">IF(ISNUMBER(P34),DEGREES(ASIN( SQRT( (P34*(P34+2*$U$8)) / (S34*(S34+2*$U$10)) ) * SIN(RADIANS(B34)) ) ),"ignore")</f>
        <v>0.0032517845237188</v>
      </c>
    </row>
    <row r="35" customFormat="false" ht="12.75" hidden="false" customHeight="false" outlineLevel="0" collapsed="false">
      <c r="B35" s="1" t="n">
        <v>5</v>
      </c>
      <c r="D35" s="27" t="n">
        <f aca="false">IF(ISNUMBER(F35),IF(ABS(AI35-1)&lt;0.000001,0,IF(ABS(AI35+1)&lt;0.000001,180,ROUND(DEGREES(ACOS(AI35)),3)))," ")</f>
        <v>10.037</v>
      </c>
      <c r="F35" s="17" t="n">
        <f aca="false">IF(AG35&gt;0.0000001,$U$8*((1/SQRT(1-AG35*AG35))-1),"none")</f>
        <v>479.032809157494</v>
      </c>
      <c r="H35" s="17" t="n">
        <f aca="false">IF(ISNUMBER(F35),$Z$15*(1+AC35/AG35)/(1+$V$15*$Z$15*AI35)/AG35," ")</f>
        <v>0.249096750605545</v>
      </c>
      <c r="J35" s="27" t="n">
        <f aca="false">IF(ISNUMBER(F35),IF( AND( ( (F35*(F35+2*$U$8)*AB35*AB35) &gt; ($E$5*($E$5+2*$U$5)) ), ( B35&lt;90 ) ), 180-AJ35, AJ35)," ")</f>
        <v>5.69349948599639</v>
      </c>
      <c r="L35" s="17" t="n">
        <f aca="false">IF(ISNUMBER(F35),$E$5+$O$10-F35," ")</f>
        <v>136.167190842506</v>
      </c>
      <c r="N35" s="1" t="n">
        <f aca="false">IF(ISNUMBER(P35),B35," ")</f>
        <v>5</v>
      </c>
      <c r="O35" s="27" t="n">
        <f aca="false">IF(ISNUMBER(P35), IF( ABS(AM35-1)&lt;0.000001,0, IF(ABS(AM35+1)&lt;0.000001,180,ROUND(DEGREES(ACOS(AM35)),3)))," ")</f>
        <v>180</v>
      </c>
      <c r="P35" s="17" t="n">
        <f aca="false">IF(AK35&gt;0.0000001,$U$8*((1/SQRT(1-AK35*AK35))-1),"none")</f>
        <v>0.00111550717935111</v>
      </c>
      <c r="Q35" s="17" t="n">
        <f aca="false">IF(ISNUMBER(P35),ABS($Z$15*(1+AC35/AK35)/(1+$V$15*$Z$15*AM35)/AK35)," ")</f>
        <v>107444.495916882</v>
      </c>
      <c r="R35" s="27" t="n">
        <f aca="false">IF(ISNUMBER(P35),IF( AND( ( (P35*(P35+2*$U$8)*AB35*AB35) &gt; ($E$5*($E$5+2*$U$5)) ), ( B35&lt;90 ) ), 180-AN35, AN35)," ")</f>
        <v>0.00406847487694972</v>
      </c>
      <c r="S35" s="17" t="n">
        <f aca="false">IF(ISNUMBER(P35),$E$5+$O$10-P35," ")</f>
        <v>615.198884492821</v>
      </c>
      <c r="AB35" s="1" t="n">
        <f aca="false">COS(RADIANS(B35))</f>
        <v>0.996194698091746</v>
      </c>
      <c r="AC35" s="1" t="n">
        <f aca="false">-$V$15*AB35</f>
        <v>-0.0665737753411363</v>
      </c>
      <c r="AD35" s="1" t="n">
        <f aca="false">$AA$15+AC35*AC35</f>
        <v>1.00440503705918</v>
      </c>
      <c r="AF35" s="1" t="n">
        <f aca="false">AC35*AC35-AD35*$AE$15</f>
        <v>0.00440491798881228</v>
      </c>
      <c r="AG35" s="1" t="n">
        <f aca="false">IF(ISNUMBER(SQRT(AF35)),(-AC35+SQRT(AF35))/AD35,-100)</f>
        <v>0.132360279594019</v>
      </c>
      <c r="AH35" s="1" t="n">
        <f aca="false">(AG35*AB35-$V$15)/((1-$V$15*AG35*AB35)*$Z$15)</f>
        <v>0.98469390079327</v>
      </c>
      <c r="AI35" s="1" t="n">
        <f aca="false">IF(ABS(AH35)&lt;=1,AH35,IF(ABS(AH35)&lt;=1.00001,1*SIGN(AH35),0))</f>
        <v>0.98469390079327</v>
      </c>
      <c r="AJ35" s="17" t="n">
        <f aca="false">DEGREES(ASIN( SQRT( (F35*(F35+2*$U$8)) / (L35*(L35+2*$U$10)) ) * SIN(RADIANS(B35))  ))</f>
        <v>5.69349948599639</v>
      </c>
      <c r="AK35" s="1" t="n">
        <f aca="false">IF(ISNUMBER(SQRT(AF35)),(-AC35-SQRT(AF35))/AD35,-100)</f>
        <v>0.000203323503907675</v>
      </c>
      <c r="AL35" s="1" t="n">
        <f aca="false">(AK35*AB35-$V$15)/((1-$V$15*AK35*AB35)*$Z$15)</f>
        <v>-0.999999964786276</v>
      </c>
      <c r="AM35" s="1" t="n">
        <f aca="false">IF(ABS(AL35)&lt;=1,AL35,IF(ABS(AL35)&lt;=1.00001,1*SIGN(AL35),0))</f>
        <v>-0.999999964786276</v>
      </c>
      <c r="AN35" s="17" t="n">
        <f aca="false">IF(ISNUMBER(P35),DEGREES(ASIN( SQRT( (P35*(P35+2*$U$8)) / (S35*(S35+2*$U$10)) ) * SIN(RADIANS(B35)) ) ),"ignore")</f>
        <v>0.00406847487694972</v>
      </c>
    </row>
    <row r="36" customFormat="false" ht="12.75" hidden="false" customHeight="false" outlineLevel="0" collapsed="false">
      <c r="B36" s="1" t="n">
        <v>6</v>
      </c>
      <c r="D36" s="27" t="n">
        <f aca="false">IF(ISNUMBER(F36),IF(ABS(AI36-1)&lt;0.000001,0,IF(ABS(AI36+1)&lt;0.000001,180,ROUND(DEGREES(ACOS(AI36)),3)))," ")</f>
        <v>12.045</v>
      </c>
      <c r="F36" s="17" t="n">
        <f aca="false">IF(AG36&gt;0.0000001,$U$8*((1/SQRT(1-AG36*AG36))-1),"none")</f>
        <v>477.41332719241</v>
      </c>
      <c r="H36" s="17" t="n">
        <f aca="false">IF(ISNUMBER(F36),$Z$15*(1+AC36/AG36)/(1+$V$15*$Z$15*AI36)/AG36," ")</f>
        <v>0.249523186378115</v>
      </c>
      <c r="J36" s="27" t="n">
        <f aca="false">IF(ISNUMBER(F36),IF( AND( ( (F36*(F36+2*$U$8)*AB36*AB36) &gt; ($E$5*($E$5+2*$U$5)) ), ( B36&lt;90 ) ), 180-AJ36, AJ36)," ")</f>
        <v>6.78125550124549</v>
      </c>
      <c r="L36" s="17" t="n">
        <f aca="false">IF(ISNUMBER(F36),$E$5+$O$10-F36," ")</f>
        <v>137.786672807591</v>
      </c>
      <c r="N36" s="1" t="n">
        <f aca="false">IF(ISNUMBER(P36),B36," ")</f>
        <v>6</v>
      </c>
      <c r="O36" s="27" t="n">
        <f aca="false">IF(ISNUMBER(P36), IF( ABS(AM36-1)&lt;0.000001,0, IF(ABS(AM36+1)&lt;0.000001,180,ROUND(DEGREES(ACOS(AM36)),3)))," ")</f>
        <v>180</v>
      </c>
      <c r="P36" s="17" t="n">
        <f aca="false">IF(AK36&gt;0.0000001,$U$8*((1/SQRT(1-AK36*AK36))-1),"none")</f>
        <v>0.00111927448282542</v>
      </c>
      <c r="Q36" s="17" t="n">
        <f aca="false">IF(ISNUMBER(P36),ABS($Z$15*(1+AC36/AK36)/(1+$V$15*$Z$15*AM36)/AK36)," ")</f>
        <v>106901.937340118</v>
      </c>
      <c r="R36" s="27" t="n">
        <f aca="false">IF(ISNUMBER(P36),IF( AND( ( (P36*(P36+2*$U$8)*AB36*AB36) &gt; ($E$5*($E$5+2*$U$5)) ), ( B36&lt;90 ) ), 180-AN36, AN36)," ")</f>
        <v>0.00488767492797317</v>
      </c>
      <c r="S36" s="17" t="n">
        <f aca="false">IF(ISNUMBER(P36),$E$5+$O$10-P36," ")</f>
        <v>615.198880725517</v>
      </c>
      <c r="AB36" s="1" t="n">
        <f aca="false">COS(RADIANS(B36))</f>
        <v>0.994521895368273</v>
      </c>
      <c r="AC36" s="1" t="n">
        <f aca="false">-$V$15*AB36</f>
        <v>-0.0664619851530175</v>
      </c>
      <c r="AD36" s="1" t="n">
        <f aca="false">$AA$15+AC36*AC36</f>
        <v>1.00439016496649</v>
      </c>
      <c r="AF36" s="1" t="n">
        <f aca="false">AC36*AC36-AD36*$AE$15</f>
        <v>0.00439004629812029</v>
      </c>
      <c r="AG36" s="1" t="n">
        <f aca="false">IF(ISNUMBER(SQRT(AF36)),(-AC36+SQRT(AF36))/AD36,-100)</f>
        <v>0.132139296319073</v>
      </c>
      <c r="AH36" s="1" t="n">
        <f aca="false">(AG36*AB36-$V$15)/((1-$V$15*AG36*AB36)*$Z$15)</f>
        <v>0.977984165374657</v>
      </c>
      <c r="AI36" s="1" t="n">
        <f aca="false">IF(ABS(AH36)&lt;=1,AH36,IF(ABS(AH36)&lt;=1.00001,1*SIGN(AH36),0))</f>
        <v>0.977984165374657</v>
      </c>
      <c r="AJ36" s="17" t="n">
        <f aca="false">DEGREES(ASIN( SQRT( (F36*(F36+2*$U$8)) / (L36*(L36+2*$U$10)) ) * SIN(RADIANS(B36))  ))</f>
        <v>6.78125550124549</v>
      </c>
      <c r="AK36" s="1" t="n">
        <f aca="false">IF(ISNUMBER(SQRT(AF36)),(-AC36-SQRT(AF36))/AD36,-100)</f>
        <v>0.000203666547821972</v>
      </c>
      <c r="AL36" s="1" t="n">
        <f aca="false">(AK36*AB36-$V$15)/((1-$V$15*AK36*AB36)*$Z$15)</f>
        <v>-0.999999949177818</v>
      </c>
      <c r="AM36" s="1" t="n">
        <f aca="false">IF(ABS(AL36)&lt;=1,AL36,IF(ABS(AL36)&lt;=1.00001,1*SIGN(AL36),0))</f>
        <v>-0.999999949177818</v>
      </c>
      <c r="AN36" s="17" t="n">
        <f aca="false">IF(ISNUMBER(P36),DEGREES(ASIN( SQRT( (P36*(P36+2*$U$8)) / (S36*(S36+2*$U$10)) ) * SIN(RADIANS(B36)) ) ),"ignore")</f>
        <v>0.00488767492797317</v>
      </c>
    </row>
    <row r="37" customFormat="false" ht="12.75" hidden="false" customHeight="false" outlineLevel="0" collapsed="false">
      <c r="B37" s="1" t="n">
        <v>7</v>
      </c>
      <c r="D37" s="27" t="n">
        <f aca="false">IF(ISNUMBER(F37),IF(ABS(AI37-1)&lt;0.000001,0,IF(ABS(AI37+1)&lt;0.000001,180,ROUND(DEGREES(ACOS(AI37)),3)))," ")</f>
        <v>14.052</v>
      </c>
      <c r="F37" s="17" t="n">
        <f aca="false">IF(AG37&gt;0.0000001,$U$8*((1/SQRT(1-AG37*AG37))-1),"none")</f>
        <v>475.504128291416</v>
      </c>
      <c r="H37" s="17" t="n">
        <f aca="false">IF(ISNUMBER(F37),$Z$15*(1+AC37/AG37)/(1+$V$15*$Z$15*AI37)/AG37," ")</f>
        <v>0.250028684125561</v>
      </c>
      <c r="J37" s="27" t="n">
        <f aca="false">IF(ISNUMBER(F37),IF( AND( ( (F37*(F37+2*$U$8)*AB37*AB37) &gt; ($E$5*($E$5+2*$U$5)) ), ( B37&lt;90 ) ), 180-AJ37, AJ37)," ")</f>
        <v>7.84240025471724</v>
      </c>
      <c r="L37" s="17" t="n">
        <f aca="false">IF(ISNUMBER(F37),$E$5+$O$10-F37," ")</f>
        <v>139.695871708585</v>
      </c>
      <c r="N37" s="1" t="n">
        <f aca="false">IF(ISNUMBER(P37),B37," ")</f>
        <v>7</v>
      </c>
      <c r="O37" s="27" t="n">
        <f aca="false">IF(ISNUMBER(P37), IF( ABS(AM37-1)&lt;0.000001,0, IF(ABS(AM37+1)&lt;0.000001,180,ROUND(DEGREES(ACOS(AM37)),3)))," ")</f>
        <v>180</v>
      </c>
      <c r="P37" s="17" t="n">
        <f aca="false">IF(AK37&gt;0.0000001,$U$8*((1/SQRT(1-AK37*AK37))-1),"none")</f>
        <v>0.00112374870242787</v>
      </c>
      <c r="Q37" s="17" t="n">
        <f aca="false">IF(ISNUMBER(P37),ABS($Z$15*(1+AC37/AK37)/(1+$V$15*$Z$15*AM37)/AK37)," ")</f>
        <v>106263.474088055</v>
      </c>
      <c r="R37" s="27" t="n">
        <f aca="false">IF(ISNUMBER(P37),IF( AND( ( (P37*(P37+2*$U$8)*AB37*AB37) &gt; ($E$5*($E$5+2*$U$5)) ), ( B37&lt;90 ) ), 180-AN37, AN37)," ")</f>
        <v>0.00570990025302459</v>
      </c>
      <c r="S37" s="17" t="n">
        <f aca="false">IF(ISNUMBER(P37),$E$5+$O$10-P37," ")</f>
        <v>615.198876251298</v>
      </c>
      <c r="AB37" s="1" t="n">
        <f aca="false">COS(RADIANS(B37))</f>
        <v>0.992546151641322</v>
      </c>
      <c r="AC37" s="1" t="n">
        <f aca="false">-$V$15*AB37</f>
        <v>-0.0663299500003896</v>
      </c>
      <c r="AD37" s="1" t="n">
        <f aca="false">$AA$15+AC37*AC37</f>
        <v>1.00437263176307</v>
      </c>
      <c r="AF37" s="1" t="n">
        <f aca="false">AC37*AC37-AD37*$AE$15</f>
        <v>0.00437251356862587</v>
      </c>
      <c r="AG37" s="1" t="n">
        <f aca="false">IF(ISNUMBER(SQRT(AF37)),(-AC37+SQRT(AF37))/AD37,-100)</f>
        <v>0.131878279298327</v>
      </c>
      <c r="AH37" s="1" t="n">
        <f aca="false">(AG37*AB37-$V$15)/((1-$V$15*AG37*AB37)*$Z$15)</f>
        <v>0.970074093040844</v>
      </c>
      <c r="AI37" s="1" t="n">
        <f aca="false">IF(ABS(AH37)&lt;=1,AH37,IF(ABS(AH37)&lt;=1.00001,1*SIGN(AH37),0))</f>
        <v>0.970074093040844</v>
      </c>
      <c r="AJ37" s="17" t="n">
        <f aca="false">DEGREES(ASIN( SQRT( (F37*(F37+2*$U$8)) / (L37*(L37+2*$U$10)) ) * SIN(RADIANS(B37))  ))</f>
        <v>7.84240025471724</v>
      </c>
      <c r="AK37" s="1" t="n">
        <f aca="false">IF(ISNUMBER(SQRT(AF37)),(-AC37-SQRT(AF37))/AD37,-100)</f>
        <v>0.0002040732125231</v>
      </c>
      <c r="AL37" s="1" t="n">
        <f aca="false">(AK37*AB37-$V$15)/((1-$V$15*AK37*AB37)*$Z$15)</f>
        <v>-0.999999930640537</v>
      </c>
      <c r="AM37" s="1" t="n">
        <f aca="false">IF(ABS(AL37)&lt;=1,AL37,IF(ABS(AL37)&lt;=1.00001,1*SIGN(AL37),0))</f>
        <v>-0.999999930640537</v>
      </c>
      <c r="AN37" s="17" t="n">
        <f aca="false">IF(ISNUMBER(P37),DEGREES(ASIN( SQRT( (P37*(P37+2*$U$8)) / (S37*(S37+2*$U$10)) ) * SIN(RADIANS(B37)) ) ),"ignore")</f>
        <v>0.00570990025302459</v>
      </c>
    </row>
    <row r="38" customFormat="false" ht="12.75" hidden="false" customHeight="false" outlineLevel="0" collapsed="false">
      <c r="B38" s="1" t="n">
        <v>8</v>
      </c>
      <c r="D38" s="27" t="n">
        <f aca="false">IF(ISNUMBER(F38),IF(ABS(AI38-1)&lt;0.000001,0,IF(ABS(AI38+1)&lt;0.000001,180,ROUND(DEGREES(ACOS(AI38)),3)))," ")</f>
        <v>16.06</v>
      </c>
      <c r="F38" s="17" t="n">
        <f aca="false">IF(AG38&gt;0.0000001,$U$8*((1/SQRT(1-AG38*AG38))-1),"none")</f>
        <v>473.307568982175</v>
      </c>
      <c r="H38" s="17" t="n">
        <f aca="false">IF(ISNUMBER(F38),$Z$15*(1+AC38/AG38)/(1+$V$15*$Z$15*AI38)/AG38," ")</f>
        <v>0.250614017981485</v>
      </c>
      <c r="J38" s="27" t="n">
        <f aca="false">IF(ISNUMBER(F38),IF( AND( ( (F38*(F38+2*$U$8)*AB38*AB38) &gt; ($E$5*($E$5+2*$U$5)) ), ( B38&lt;90 ) ), 180-AJ38, AJ38)," ")</f>
        <v>8.87342143176175</v>
      </c>
      <c r="L38" s="17" t="n">
        <f aca="false">IF(ISNUMBER(F38),$E$5+$O$10-F38," ")</f>
        <v>141.892431017825</v>
      </c>
      <c r="N38" s="1" t="n">
        <f aca="false">IF(ISNUMBER(P38),B38," ")</f>
        <v>8</v>
      </c>
      <c r="O38" s="27" t="n">
        <f aca="false">IF(ISNUMBER(P38), IF( ABS(AM38-1)&lt;0.000001,0, IF(ABS(AM38+1)&lt;0.000001,180,ROUND(DEGREES(ACOS(AM38)),3)))," ")</f>
        <v>180</v>
      </c>
      <c r="P38" s="17" t="n">
        <f aca="false">IF(AK38&gt;0.0000001,$U$8*((1/SQRT(1-AK38*AK38))-1),"none")</f>
        <v>0.00112894099437894</v>
      </c>
      <c r="Q38" s="17" t="n">
        <f aca="false">IF(ISNUMBER(P38),ABS($Z$15*(1+AC38/AK38)/(1+$V$15*$Z$15*AM38)/AK38)," ")</f>
        <v>105530.46457155</v>
      </c>
      <c r="R38" s="27" t="n">
        <f aca="false">IF(ISNUMBER(P38),IF( AND( ( (P38*(P38+2*$U$8)*AB38*AB38) &gt; ($E$5*($E$5+2*$U$5)) ), ( B38&lt;90 ) ), 180-AN38, AN38)," ")</f>
        <v>0.00653567392563292</v>
      </c>
      <c r="S38" s="17" t="n">
        <f aca="false">IF(ISNUMBER(P38),$E$5+$O$10-P38," ")</f>
        <v>615.198871059006</v>
      </c>
      <c r="AB38" s="1" t="n">
        <f aca="false">COS(RADIANS(B38))</f>
        <v>0.99026806874157</v>
      </c>
      <c r="AC38" s="1" t="n">
        <f aca="false">-$V$15*AB38</f>
        <v>-0.0661777101024389</v>
      </c>
      <c r="AD38" s="1" t="n">
        <f aca="false">$AA$15+AC38*AC38</f>
        <v>1.00435245881041</v>
      </c>
      <c r="AF38" s="1" t="n">
        <f aca="false">AC38*AC38-AD38*$AE$15</f>
        <v>0.0043523411612592</v>
      </c>
      <c r="AG38" s="1" t="n">
        <f aca="false">IF(ISNUMBER(SQRT(AF38)),(-AC38+SQRT(AF38))/AD38,-100)</f>
        <v>0.131577301021045</v>
      </c>
      <c r="AH38" s="1" t="n">
        <f aca="false">(AG38*AB38-$V$15)/((1-$V$15*AG38*AB38)*$Z$15)</f>
        <v>0.960973447208367</v>
      </c>
      <c r="AI38" s="1" t="n">
        <f aca="false">IF(ABS(AH38)&lt;=1,AH38,IF(ABS(AH38)&lt;=1.00001,1*SIGN(AH38),0))</f>
        <v>0.960973447208367</v>
      </c>
      <c r="AJ38" s="17" t="n">
        <f aca="false">DEGREES(ASIN( SQRT( (F38*(F38+2*$U$8)) / (L38*(L38+2*$U$10)) ) * SIN(RADIANS(B38))  ))</f>
        <v>8.87342143176175</v>
      </c>
      <c r="AK38" s="1" t="n">
        <f aca="false">IF(ISNUMBER(SQRT(AF38)),(-AC38-SQRT(AF38))/AD38,-100)</f>
        <v>0.00020454413084892</v>
      </c>
      <c r="AL38" s="1" t="n">
        <f aca="false">(AK38*AB38-$V$15)/((1-$V$15*AK38*AB38)*$Z$15)</f>
        <v>-0.999999909128136</v>
      </c>
      <c r="AM38" s="1" t="n">
        <f aca="false">IF(ABS(AL38)&lt;=1,AL38,IF(ABS(AL38)&lt;=1.00001,1*SIGN(AL38),0))</f>
        <v>-0.999999909128136</v>
      </c>
      <c r="AN38" s="17" t="n">
        <f aca="false">IF(ISNUMBER(P38),DEGREES(ASIN( SQRT( (P38*(P38+2*$U$8)) / (S38*(S38+2*$U$10)) ) * SIN(RADIANS(B38)) ) ),"ignore")</f>
        <v>0.00653567392563292</v>
      </c>
    </row>
    <row r="39" customFormat="false" ht="12.75" hidden="false" customHeight="false" outlineLevel="0" collapsed="false">
      <c r="B39" s="1" t="n">
        <v>9</v>
      </c>
      <c r="D39" s="27" t="n">
        <f aca="false">IF(ISNUMBER(F39),IF(ABS(AI39-1)&lt;0.000001,0,IF(ABS(AI39+1)&lt;0.000001,180,ROUND(DEGREES(ACOS(AI39)),3)))," ")</f>
        <v>18.067</v>
      </c>
      <c r="F39" s="17" t="n">
        <f aca="false">IF(AG39&gt;0.0000001,$U$8*((1/SQRT(1-AG39*AG39))-1),"none")</f>
        <v>470.826360175614</v>
      </c>
      <c r="H39" s="17" t="n">
        <f aca="false">IF(ISNUMBER(F39),$Z$15*(1+AC39/AG39)/(1+$V$15*$Z$15*AI39)/AG39," ")</f>
        <v>0.251280089000618</v>
      </c>
      <c r="J39" s="27" t="n">
        <f aca="false">IF(ISNUMBER(F39),IF( AND( ( (F39*(F39+2*$U$8)*AB39*AB39) &gt; ($E$5*($E$5+2*$U$5)) ), ( B39&lt;90 ) ), 180-AJ39, AJ39)," ")</f>
        <v>9.87117558613755</v>
      </c>
      <c r="L39" s="17" t="n">
        <f aca="false">IF(ISNUMBER(F39),$E$5+$O$10-F39," ")</f>
        <v>144.373639824386</v>
      </c>
      <c r="N39" s="1" t="n">
        <f aca="false">IF(ISNUMBER(P39),B39," ")</f>
        <v>9</v>
      </c>
      <c r="O39" s="27" t="n">
        <f aca="false">IF(ISNUMBER(P39), IF( ABS(AM39-1)&lt;0.000001,0, IF(ABS(AM39+1)&lt;0.000001,180,ROUND(DEGREES(ACOS(AM39)),3)))," ")</f>
        <v>180</v>
      </c>
      <c r="P39" s="17" t="n">
        <f aca="false">IF(AK39&gt;0.0000001,$U$8*((1/SQRT(1-AK39*AK39))-1),"none")</f>
        <v>0.00113486443218729</v>
      </c>
      <c r="Q39" s="17" t="n">
        <f aca="false">IF(ISNUMBER(P39),ABS($Z$15*(1+AC39/AK39)/(1+$V$15*$Z$15*AM39)/AK39)," ")</f>
        <v>104704.466425581</v>
      </c>
      <c r="R39" s="27" t="n">
        <f aca="false">IF(ISNUMBER(P39),IF( AND( ( (P39*(P39+2*$U$8)*AB39*AB39) &gt; ($E$5*($E$5+2*$U$5)) ), ( B39&lt;90 ) ), 180-AN39, AN39)," ")</f>
        <v>0.00736552803569326</v>
      </c>
      <c r="S39" s="17" t="n">
        <f aca="false">IF(ISNUMBER(P39),$E$5+$O$10-P39," ")</f>
        <v>615.198865135568</v>
      </c>
      <c r="AB39" s="1" t="n">
        <f aca="false">COS(RADIANS(B39))</f>
        <v>0.987688340595138</v>
      </c>
      <c r="AC39" s="1" t="n">
        <f aca="false">-$V$15*AB39</f>
        <v>-0.0660053118329131</v>
      </c>
      <c r="AD39" s="1" t="n">
        <f aca="false">$AA$15+AC39*AC39</f>
        <v>1.00432967068617</v>
      </c>
      <c r="AF39" s="1" t="n">
        <f aca="false">AC39*AC39-AD39*$AE$15</f>
        <v>0.00432955365299134</v>
      </c>
      <c r="AG39" s="1" t="n">
        <f aca="false">IF(ISNUMBER(SQRT(AF39)),(-AC39+SQRT(AF39))/AD39,-100)</f>
        <v>0.131236445108015</v>
      </c>
      <c r="AH39" s="1" t="n">
        <f aca="false">(AG39*AB39-$V$15)/((1-$V$15*AG39*AB39)*$Z$15)</f>
        <v>0.950693459552292</v>
      </c>
      <c r="AI39" s="1" t="n">
        <f aca="false">IF(ABS(AH39)&lt;=1,AH39,IF(ABS(AH39)&lt;=1.00001,1*SIGN(AH39),0))</f>
        <v>0.950693459552292</v>
      </c>
      <c r="AJ39" s="17" t="n">
        <f aca="false">DEGREES(ASIN( SQRT( (F39*(F39+2*$U$8)) / (L39*(L39+2*$U$10)) ) * SIN(RADIANS(B39))  ))</f>
        <v>9.87117558613755</v>
      </c>
      <c r="AK39" s="1" t="n">
        <f aca="false">IF(ISNUMBER(SQRT(AF39)),(-AC39-SQRT(AF39))/AD39,-100)</f>
        <v>0.000205080039434014</v>
      </c>
      <c r="AL39" s="1" t="n">
        <f aca="false">(AK39*AB39-$V$15)/((1-$V$15*AK39*AB39)*$Z$15)</f>
        <v>-0.999999884586541</v>
      </c>
      <c r="AM39" s="1" t="n">
        <f aca="false">IF(ABS(AL39)&lt;=1,AL39,IF(ABS(AL39)&lt;=1.00001,1*SIGN(AL39),0))</f>
        <v>-0.999999884586541</v>
      </c>
      <c r="AN39" s="17" t="n">
        <f aca="false">IF(ISNUMBER(P39),DEGREES(ASIN( SQRT( (P39*(P39+2*$U$8)) / (S39*(S39+2*$U$10)) ) * SIN(RADIANS(B39)) ) ),"ignore")</f>
        <v>0.00736552803569326</v>
      </c>
    </row>
    <row r="40" customFormat="false" ht="12.75" hidden="false" customHeight="false" outlineLevel="0" collapsed="false">
      <c r="B40" s="1" t="n">
        <v>10</v>
      </c>
      <c r="D40" s="27" t="n">
        <f aca="false">IF(ISNUMBER(F40),IF(ABS(AI40-1)&lt;0.000001,0,IF(ABS(AI40+1)&lt;0.000001,180,ROUND(DEGREES(ACOS(AI40)),3)))," ")</f>
        <v>20.075</v>
      </c>
      <c r="F40" s="17" t="n">
        <f aca="false">IF(AG40&gt;0.0000001,$U$8*((1/SQRT(1-AG40*AG40))-1),"none")</f>
        <v>468.063563692396</v>
      </c>
      <c r="H40" s="17" t="n">
        <f aca="false">IF(ISNUMBER(F40),$Z$15*(1+AC40/AG40)/(1+$V$15*$Z$15*AI40)/AG40," ")</f>
        <v>0.252027928618168</v>
      </c>
      <c r="J40" s="27" t="n">
        <f aca="false">IF(ISNUMBER(F40),IF( AND( ( (F40*(F40+2*$U$8)*AB40*AB40) &gt; ($E$5*($E$5+2*$U$5)) ), ( B40&lt;90 ) ), 180-AJ40, AJ40)," ")</f>
        <v>10.8329055239524</v>
      </c>
      <c r="L40" s="17" t="n">
        <f aca="false">IF(ISNUMBER(F40),$E$5+$O$10-F40," ")</f>
        <v>147.136436307604</v>
      </c>
      <c r="N40" s="1" t="n">
        <f aca="false">IF(ISNUMBER(P40),B40," ")</f>
        <v>10</v>
      </c>
      <c r="O40" s="27" t="n">
        <f aca="false">IF(ISNUMBER(P40), IF( ABS(AM40-1)&lt;0.000001,0, IF(ABS(AM40+1)&lt;0.000001,180,ROUND(DEGREES(ACOS(AM40)),3)))," ")</f>
        <v>180</v>
      </c>
      <c r="P40" s="17" t="n">
        <f aca="false">IF(AK40&gt;0.0000001,$U$8*((1/SQRT(1-AK40*AK40))-1),"none")</f>
        <v>0.00114153400664973</v>
      </c>
      <c r="Q40" s="17" t="n">
        <f aca="false">IF(ISNUMBER(P40),ABS($Z$15*(1+AC40/AK40)/(1+$V$15*$Z$15*AM40)/AK40)," ")</f>
        <v>103787.232377452</v>
      </c>
      <c r="R40" s="27" t="n">
        <f aca="false">IF(ISNUMBER(P40),IF( AND( ( (P40*(P40+2*$U$8)*AB40*AB40) &gt; ($E$5*($E$5+2*$U$5)) ), ( B40&lt;90 ) ), 180-AN40, AN40)," ")</f>
        <v>0.00820000491384818</v>
      </c>
      <c r="S40" s="17" t="n">
        <f aca="false">IF(ISNUMBER(P40),$E$5+$O$10-P40," ")</f>
        <v>615.198858465993</v>
      </c>
      <c r="AB40" s="1" t="n">
        <f aca="false">COS(RADIANS(B40))</f>
        <v>0.984807753012208</v>
      </c>
      <c r="AC40" s="1" t="n">
        <f aca="false">-$V$15*AB40</f>
        <v>-0.0658128077059951</v>
      </c>
      <c r="AD40" s="1" t="n">
        <f aca="false">$AA$15+AC40*AC40</f>
        <v>1.00430429515416</v>
      </c>
      <c r="AF40" s="1" t="n">
        <f aca="false">AC40*AC40-AD40*$AE$15</f>
        <v>0.00430417880689096</v>
      </c>
      <c r="AG40" s="1" t="n">
        <f aca="false">IF(ISNUMBER(SQRT(AF40)),(-AC40+SQRT(AF40))/AD40,-100)</f>
        <v>0.130855806302377</v>
      </c>
      <c r="AH40" s="1" t="n">
        <f aca="false">(AG40*AB40-$V$15)/((1-$V$15*AG40*AB40)*$Z$15)</f>
        <v>0.939246815614567</v>
      </c>
      <c r="AI40" s="1" t="n">
        <f aca="false">IF(ABS(AH40)&lt;=1,AH40,IF(ABS(AH40)&lt;=1.00001,1*SIGN(AH40),0))</f>
        <v>0.939246815614567</v>
      </c>
      <c r="AJ40" s="17" t="n">
        <f aca="false">DEGREES(ASIN( SQRT( (F40*(F40+2*$U$8)) / (L40*(L40+2*$U$10)) ) * SIN(RADIANS(B40))  ))</f>
        <v>10.8329055239524</v>
      </c>
      <c r="AK40" s="1" t="n">
        <f aca="false">IF(ISNUMBER(SQRT(AF40)),(-AC40-SQRT(AF40))/AD40,-100)</f>
        <v>0.000205681781556829</v>
      </c>
      <c r="AL40" s="1" t="n">
        <f aca="false">(AK40*AB40-$V$15)/((1-$V$15*AK40*AB40)*$Z$15)</f>
        <v>-0.999999856953608</v>
      </c>
      <c r="AM40" s="1" t="n">
        <f aca="false">IF(ABS(AL40)&lt;=1,AL40,IF(ABS(AL40)&lt;=1.00001,1*SIGN(AL40),0))</f>
        <v>-0.999999856953608</v>
      </c>
      <c r="AN40" s="17" t="n">
        <f aca="false">IF(ISNUMBER(P40),DEGREES(ASIN( SQRT( (P40*(P40+2*$U$8)) / (S40*(S40+2*$U$10)) ) * SIN(RADIANS(B40)) ) ),"ignore")</f>
        <v>0.00820000491384818</v>
      </c>
    </row>
    <row r="41" customFormat="false" ht="12.75" hidden="false" customHeight="false" outlineLevel="0" collapsed="false">
      <c r="B41" s="1" t="n">
        <v>11</v>
      </c>
      <c r="D41" s="27" t="n">
        <f aca="false">IF(ISNUMBER(F41),IF(ABS(AI41-1)&lt;0.000001,0,IF(ABS(AI41+1)&lt;0.000001,180,ROUND(DEGREES(ACOS(AI41)),3)))," ")</f>
        <v>22.082</v>
      </c>
      <c r="F41" s="17" t="n">
        <f aca="false">IF(AG41&gt;0.0000001,$U$8*((1/SQRT(1-AG41*AG41))-1),"none")</f>
        <v>465.022588341526</v>
      </c>
      <c r="H41" s="17" t="n">
        <f aca="false">IF(ISNUMBER(F41),$Z$15*(1+AC41/AG41)/(1+$V$15*$Z$15*AI41)/AG41," ")</f>
        <v>0.252858702643256</v>
      </c>
      <c r="J41" s="27" t="n">
        <f aca="false">IF(ISNUMBER(F41),IF( AND( ( (F41*(F41+2*$U$8)*AB41*AB41) &gt; ($E$5*($E$5+2*$U$5)) ), ( B41&lt;90 ) ), 180-AJ41, AJ41)," ")</f>
        <v>11.7562479203319</v>
      </c>
      <c r="L41" s="17" t="n">
        <f aca="false">IF(ISNUMBER(F41),$E$5+$O$10-F41," ")</f>
        <v>150.177411658474</v>
      </c>
      <c r="N41" s="1" t="n">
        <f aca="false">IF(ISNUMBER(P41),B41," ")</f>
        <v>11</v>
      </c>
      <c r="O41" s="27" t="n">
        <f aca="false">IF(ISNUMBER(P41), IF( ABS(AM41-1)&lt;0.000001,0, IF(ABS(AM41+1)&lt;0.000001,180,ROUND(DEGREES(ACOS(AM41)),3)))," ")</f>
        <v>180</v>
      </c>
      <c r="P41" s="17" t="n">
        <f aca="false">IF(AK41&gt;0.0000001,$U$8*((1/SQRT(1-AK41*AK41))-1),"none")</f>
        <v>0.00114896673369868</v>
      </c>
      <c r="Q41" s="17" t="n">
        <f aca="false">IF(ISNUMBER(P41),ABS($Z$15*(1+AC41/AK41)/(1+$V$15*$Z$15*AM41)/AK41)," ")</f>
        <v>102780.705598494</v>
      </c>
      <c r="R41" s="27" t="n">
        <f aca="false">IF(ISNUMBER(P41),IF( AND( ( (P41*(P41+2*$U$8)*AB41*AB41) &gt; ($E$5*($E$5+2*$U$5)) ), ( B41&lt;90 ) ), 180-AN41, AN41)," ")</f>
        <v>0.00903965864456681</v>
      </c>
      <c r="S41" s="17" t="n">
        <f aca="false">IF(ISNUMBER(P41),$E$5+$O$10-P41," ")</f>
        <v>615.198851033266</v>
      </c>
      <c r="AB41" s="1" t="n">
        <f aca="false">COS(RADIANS(B41))</f>
        <v>0.981627183447664</v>
      </c>
      <c r="AC41" s="1" t="n">
        <f aca="false">-$V$15*AB41</f>
        <v>-0.065600256360307</v>
      </c>
      <c r="AD41" s="1" t="n">
        <f aca="false">$AA$15+AC41*AC41</f>
        <v>1.00427636313055</v>
      </c>
      <c r="AF41" s="1" t="n">
        <f aca="false">AC41*AC41-AD41*$AE$15</f>
        <v>0.00427624753829934</v>
      </c>
      <c r="AG41" s="1" t="n">
        <f aca="false">IF(ISNUMBER(SQRT(AF41)),(-AC41+SQRT(AF41))/AD41,-100)</f>
        <v>0.130435490459013</v>
      </c>
      <c r="AH41" s="1" t="n">
        <f aca="false">(AG41*AB41-$V$15)/((1-$V$15*AG41*AB41)*$Z$15)</f>
        <v>0.926647638557512</v>
      </c>
      <c r="AI41" s="1" t="n">
        <f aca="false">IF(ABS(AH41)&lt;=1,AH41,IF(ABS(AH41)&lt;=1.00001,1*SIGN(AH41),0))</f>
        <v>0.926647638557512</v>
      </c>
      <c r="AJ41" s="17" t="n">
        <f aca="false">DEGREES(ASIN( SQRT( (F41*(F41+2*$U$8)) / (L41*(L41+2*$U$10)) ) * SIN(RADIANS(B41))  ))</f>
        <v>11.7562479203319</v>
      </c>
      <c r="AK41" s="1" t="n">
        <f aca="false">IF(ISNUMBER(SQRT(AF41)),(-AC41-SQRT(AF41))/AD41,-100)</f>
        <v>0.000206350310427021</v>
      </c>
      <c r="AL41" s="1" t="n">
        <f aca="false">(AK41*AB41-$V$15)/((1-$V$15*AK41*AB41)*$Z$15)</f>
        <v>-0.999999826158786</v>
      </c>
      <c r="AM41" s="1" t="n">
        <f aca="false">IF(ABS(AL41)&lt;=1,AL41,IF(ABS(AL41)&lt;=1.00001,1*SIGN(AL41),0))</f>
        <v>-0.999999826158786</v>
      </c>
      <c r="AN41" s="17" t="n">
        <f aca="false">IF(ISNUMBER(P41),DEGREES(ASIN( SQRT( (P41*(P41+2*$U$8)) / (S41*(S41+2*$U$10)) ) * SIN(RADIANS(B41)) ) ),"ignore")</f>
        <v>0.00903965864456681</v>
      </c>
    </row>
    <row r="42" customFormat="false" ht="12.75" hidden="false" customHeight="false" outlineLevel="0" collapsed="false">
      <c r="B42" s="1" t="n">
        <v>12</v>
      </c>
      <c r="D42" s="27" t="n">
        <f aca="false">IF(ISNUMBER(F42),IF(ABS(AI42-1)&lt;0.000001,0,IF(ABS(AI42+1)&lt;0.000001,180,ROUND(DEGREES(ACOS(AI42)),3)))," ")</f>
        <v>24.089</v>
      </c>
      <c r="F42" s="17" t="n">
        <f aca="false">IF(AG42&gt;0.0000001,$U$8*((1/SQRT(1-AG42*AG42))-1),"none")</f>
        <v>461.707185557145</v>
      </c>
      <c r="H42" s="17" t="n">
        <f aca="false">IF(ISNUMBER(F42),$Z$15*(1+AC42/AG42)/(1+$V$15*$Z$15*AI42)/AG42," ")</f>
        <v>0.253773715815524</v>
      </c>
      <c r="J42" s="27" t="n">
        <f aca="false">IF(ISNUMBER(F42),IF( AND( ( (F42*(F42+2*$U$8)*AB42*AB42) &gt; ($E$5*($E$5+2*$U$5)) ), ( B42&lt;90 ) ), 180-AJ42, AJ42)," ")</f>
        <v>12.6392319720688</v>
      </c>
      <c r="L42" s="17" t="n">
        <f aca="false">IF(ISNUMBER(F42),$E$5+$O$10-F42," ")</f>
        <v>153.492814442855</v>
      </c>
      <c r="N42" s="1" t="n">
        <f aca="false">IF(ISNUMBER(P42),B42," ")</f>
        <v>12</v>
      </c>
      <c r="O42" s="27" t="n">
        <f aca="false">IF(ISNUMBER(P42), IF( ABS(AM42-1)&lt;0.000001,0, IF(ABS(AM42+1)&lt;0.000001,180,ROUND(DEGREES(ACOS(AM42)),3)))," ")</f>
        <v>180</v>
      </c>
      <c r="P42" s="17" t="n">
        <f aca="false">IF(AK42&gt;0.0000001,$U$8*((1/SQRT(1-AK42*AK42))-1),"none")</f>
        <v>0.00115718178621577</v>
      </c>
      <c r="Q42" s="17" t="n">
        <f aca="false">IF(ISNUMBER(P42),ABS($Z$15*(1+AC42/AK42)/(1+$V$15*$Z$15*AM42)/AK42)," ")</f>
        <v>101687.014551773</v>
      </c>
      <c r="R42" s="27" t="n">
        <f aca="false">IF(ISNUMBER(P42),IF( AND( ( (P42*(P42+2*$U$8)*AB42*AB42) &gt; ($E$5*($E$5+2*$U$5)) ), ( B42&lt;90 ) ), 180-AN42, AN42)," ")</f>
        <v>0.00988505674944976</v>
      </c>
      <c r="S42" s="17" t="n">
        <f aca="false">IF(ISNUMBER(P42),$E$5+$O$10-P42," ")</f>
        <v>615.198842818214</v>
      </c>
      <c r="AB42" s="1" t="n">
        <f aca="false">COS(RADIANS(B42))</f>
        <v>0.978147600733806</v>
      </c>
      <c r="AC42" s="1" t="n">
        <f aca="false">-$V$15*AB42</f>
        <v>-0.0653677225410475</v>
      </c>
      <c r="AD42" s="1" t="n">
        <f aca="false">$AA$15+AC42*AC42</f>
        <v>1.00424590864622</v>
      </c>
      <c r="AF42" s="1" t="n">
        <f aca="false">AC42*AC42-AD42*$AE$15</f>
        <v>0.00424579387716478</v>
      </c>
      <c r="AG42" s="1" t="n">
        <f aca="false">IF(ISNUMBER(SQRT(AF42)),(-AC42+SQRT(AF42))/AD42,-100)</f>
        <v>0.129975614532437</v>
      </c>
      <c r="AH42" s="1" t="n">
        <f aca="false">(AG42*AB42-$V$15)/((1-$V$15*AG42*AB42)*$Z$15)</f>
        <v>0.912911471086091</v>
      </c>
      <c r="AI42" s="1" t="n">
        <f aca="false">IF(ABS(AH42)&lt;=1,AH42,IF(ABS(AH42)&lt;=1.00001,1*SIGN(AH42),0))</f>
        <v>0.912911471086091</v>
      </c>
      <c r="AJ42" s="17" t="n">
        <f aca="false">DEGREES(ASIN( SQRT( (F42*(F42+2*$U$8)) / (L42*(L42+2*$U$10)) ) * SIN(RADIANS(B42))  ))</f>
        <v>12.6392319720688</v>
      </c>
      <c r="AK42" s="1" t="n">
        <f aca="false">IF(ISNUMBER(SQRT(AF42)),(-AC42-SQRT(AF42))/AD42,-100)</f>
        <v>0.000207086692937426</v>
      </c>
      <c r="AL42" s="1" t="n">
        <f aca="false">(AK42*AB42-$V$15)/((1-$V$15*AK42*AB42)*$Z$15)</f>
        <v>-0.999999792122724</v>
      </c>
      <c r="AM42" s="1" t="n">
        <f aca="false">IF(ABS(AL42)&lt;=1,AL42,IF(ABS(AL42)&lt;=1.00001,1*SIGN(AL42),0))</f>
        <v>-0.999999792122724</v>
      </c>
      <c r="AN42" s="17" t="n">
        <f aca="false">IF(ISNUMBER(P42),DEGREES(ASIN( SQRT( (P42*(P42+2*$U$8)) / (S42*(S42+2*$U$10)) ) * SIN(RADIANS(B42)) ) ),"ignore")</f>
        <v>0.00988505674944976</v>
      </c>
    </row>
    <row r="43" customFormat="false" ht="12.75" hidden="false" customHeight="false" outlineLevel="0" collapsed="false">
      <c r="B43" s="1" t="n">
        <v>13</v>
      </c>
      <c r="D43" s="27" t="n">
        <f aca="false">IF(ISNUMBER(F43),IF(ABS(AI43-1)&lt;0.000001,0,IF(ABS(AI43+1)&lt;0.000001,180,ROUND(DEGREES(ACOS(AI43)),3)))," ")</f>
        <v>26.096</v>
      </c>
      <c r="F43" s="17" t="n">
        <f aca="false">IF(AG43&gt;0.0000001,$U$8*((1/SQRT(1-AG43*AG43))-1),"none")</f>
        <v>458.121444599531</v>
      </c>
      <c r="H43" s="17" t="n">
        <f aca="false">IF(ISNUMBER(F43),$Z$15*(1+AC43/AG43)/(1+$V$15*$Z$15*AI43)/AG43," ")</f>
        <v>0.254774416958502</v>
      </c>
      <c r="J43" s="27" t="n">
        <f aca="false">IF(ISNUMBER(F43),IF( AND( ( (F43*(F43+2*$U$8)*AB43*AB43) &gt; ($E$5*($E$5+2*$U$5)) ), ( B43&lt;90 ) ), 180-AJ43, AJ43)," ")</f>
        <v>13.4802701706473</v>
      </c>
      <c r="L43" s="17" t="n">
        <f aca="false">IF(ISNUMBER(F43),$E$5+$O$10-F43," ")</f>
        <v>157.078555400469</v>
      </c>
      <c r="N43" s="1" t="n">
        <f aca="false">IF(ISNUMBER(P43),B43," ")</f>
        <v>13</v>
      </c>
      <c r="O43" s="27" t="n">
        <f aca="false">IF(ISNUMBER(P43), IF( ABS(AM43-1)&lt;0.000001,0, IF(ABS(AM43+1)&lt;0.000001,180,ROUND(DEGREES(ACOS(AM43)),3)))," ")</f>
        <v>180</v>
      </c>
      <c r="P43" s="17" t="n">
        <f aca="false">IF(AK43&gt;0.0000001,$U$8*((1/SQRT(1-AK43*AK43))-1),"none")</f>
        <v>0.00116620052998093</v>
      </c>
      <c r="Q43" s="17" t="n">
        <f aca="false">IF(ISNUMBER(P43),ABS($Z$15*(1+AC43/AK43)/(1+$V$15*$Z$15*AM43)/AK43)," ")</f>
        <v>100508.467350228</v>
      </c>
      <c r="R43" s="27" t="n">
        <f aca="false">IF(ISNUMBER(P43),IF( AND( ( (P43*(P43+2*$U$8)*AB43*AB43) &gt; ($E$5*($E$5+2*$U$5)) ), ( B43&lt;90 ) ), 180-AN43, AN43)," ")</f>
        <v>0.0107367815194373</v>
      </c>
      <c r="S43" s="17" t="n">
        <f aca="false">IF(ISNUMBER(P43),$E$5+$O$10-P43," ")</f>
        <v>615.19883379947</v>
      </c>
      <c r="AB43" s="1" t="n">
        <f aca="false">COS(RADIANS(B43))</f>
        <v>0.974370064785235</v>
      </c>
      <c r="AC43" s="1" t="n">
        <f aca="false">-$V$15*AB43</f>
        <v>-0.0651152770802707</v>
      </c>
      <c r="AD43" s="1" t="n">
        <f aca="false">$AA$15+AC43*AC43</f>
        <v>1.00421296880525</v>
      </c>
      <c r="AF43" s="1" t="n">
        <f aca="false">AC43*AC43-AD43*$AE$15</f>
        <v>0.00421285492658233</v>
      </c>
      <c r="AG43" s="1" t="n">
        <f aca="false">IF(ISNUMBER(SQRT(AF43)),(-AC43+SQRT(AF43))/AD43,-100)</f>
        <v>0.129476306563073</v>
      </c>
      <c r="AH43" s="1" t="n">
        <f aca="false">(AG43*AB43-$V$15)/((1-$V$15*AG43*AB43)*$Z$15)</f>
        <v>0.898055255565341</v>
      </c>
      <c r="AI43" s="1" t="n">
        <f aca="false">IF(ABS(AH43)&lt;=1,AH43,IF(ABS(AH43)&lt;=1.00001,1*SIGN(AH43),0))</f>
        <v>0.898055255565341</v>
      </c>
      <c r="AJ43" s="17" t="n">
        <f aca="false">DEGREES(ASIN( SQRT( (F43*(F43+2*$U$8)) / (L43*(L43+2*$U$10)) ) * SIN(RADIANS(B43))  ))</f>
        <v>13.4802701706473</v>
      </c>
      <c r="AK43" s="1" t="n">
        <f aca="false">IF(ISNUMBER(SQRT(AF43)),(-AC43-SQRT(AF43))/AD43,-100)</f>
        <v>0.00020789211390825</v>
      </c>
      <c r="AL43" s="1" t="n">
        <f aca="false">(AK43*AB43-$V$15)/((1-$V$15*AK43*AB43)*$Z$15)</f>
        <v>-0.999999754756833</v>
      </c>
      <c r="AM43" s="1" t="n">
        <f aca="false">IF(ABS(AL43)&lt;=1,AL43,IF(ABS(AL43)&lt;=1.00001,1*SIGN(AL43),0))</f>
        <v>-0.999999754756833</v>
      </c>
      <c r="AN43" s="17" t="n">
        <f aca="false">IF(ISNUMBER(P43),DEGREES(ASIN( SQRT( (P43*(P43+2*$U$8)) / (S43*(S43+2*$U$10)) ) * SIN(RADIANS(B43)) ) ),"ignore")</f>
        <v>0.0107367815194373</v>
      </c>
    </row>
    <row r="44" customFormat="false" ht="12.75" hidden="false" customHeight="false" outlineLevel="0" collapsed="false">
      <c r="B44" s="1" t="n">
        <v>14</v>
      </c>
      <c r="D44" s="27" t="n">
        <f aca="false">IF(ISNUMBER(F44),IF(ABS(AI44-1)&lt;0.000001,0,IF(ABS(AI44+1)&lt;0.000001,180,ROUND(DEGREES(ACOS(AI44)),3)))," ")</f>
        <v>28.104</v>
      </c>
      <c r="F44" s="17" t="n">
        <f aca="false">IF(AG44&gt;0.0000001,$U$8*((1/SQRT(1-AG44*AG44))-1),"none")</f>
        <v>454.269787327589</v>
      </c>
      <c r="H44" s="17" t="n">
        <f aca="false">IF(ISNUMBER(F44),$Z$15*(1+AC44/AG44)/(1+$V$15*$Z$15*AI44)/AG44," ")</f>
        <v>0.255862404768196</v>
      </c>
      <c r="J44" s="27" t="n">
        <f aca="false">IF(ISNUMBER(F44),IF( AND( ( (F44*(F44+2*$U$8)*AB44*AB44) &gt; ($E$5*($E$5+2*$U$5)) ), ( B44&lt;90 ) ), 180-AJ44, AJ44)," ")</f>
        <v>14.2781424583719</v>
      </c>
      <c r="L44" s="17" t="n">
        <f aca="false">IF(ISNUMBER(F44),$E$5+$O$10-F44," ")</f>
        <v>160.930212672411</v>
      </c>
      <c r="N44" s="1" t="n">
        <f aca="false">IF(ISNUMBER(P44),B44," ")</f>
        <v>14</v>
      </c>
      <c r="O44" s="27" t="n">
        <f aca="false">IF(ISNUMBER(P44), IF( ABS(AM44-1)&lt;0.000001,0, IF(ABS(AM44+1)&lt;0.000001,180,ROUND(DEGREES(ACOS(AM44)),3)))," ")</f>
        <v>180</v>
      </c>
      <c r="P44" s="17" t="n">
        <f aca="false">IF(AK44&gt;0.0000001,$U$8*((1/SQRT(1-AK44*AK44))-1),"none")</f>
        <v>0.00117604670341823</v>
      </c>
      <c r="Q44" s="17" t="n">
        <f aca="false">IF(ISNUMBER(P44),ABS($Z$15*(1+AC44/AK44)/(1+$V$15*$Z$15*AM44)/AK44)," ")</f>
        <v>99247.545640343</v>
      </c>
      <c r="R44" s="27" t="n">
        <f aca="false">IF(ISNUMBER(P44),IF( AND( ( (P44*(P44+2*$U$8)*AB44*AB44) &gt; ($E$5*($E$5+2*$U$5)) ), ( B44&lt;90 ) ), 180-AN44, AN44)," ")</f>
        <v>0.0115954319290166</v>
      </c>
      <c r="S44" s="17" t="n">
        <f aca="false">IF(ISNUMBER(P44),$E$5+$O$10-P44," ")</f>
        <v>615.198823953297</v>
      </c>
      <c r="AB44" s="1" t="n">
        <f aca="false">COS(RADIANS(B44))</f>
        <v>0.970295726275997</v>
      </c>
      <c r="AC44" s="1" t="n">
        <f aca="false">-$V$15*AB44</f>
        <v>-0.0648429968753094</v>
      </c>
      <c r="AD44" s="1" t="n">
        <f aca="false">$AA$15+AC44*AC44</f>
        <v>1.00417758373978</v>
      </c>
      <c r="AF44" s="1" t="n">
        <f aca="false">AC44*AC44-AD44*$AE$15</f>
        <v>0.00417747081758944</v>
      </c>
      <c r="AG44" s="1" t="n">
        <f aca="false">IF(ISNUMBER(SQRT(AF44)),(-AC44+SQRT(AF44))/AD44,-100)</f>
        <v>0.128937705661841</v>
      </c>
      <c r="AH44" s="1" t="n">
        <f aca="false">(AG44*AB44-$V$15)/((1-$V$15*AG44*AB44)*$Z$15)</f>
        <v>0.882097312361869</v>
      </c>
      <c r="AI44" s="1" t="n">
        <f aca="false">IF(ABS(AH44)&lt;=1,AH44,IF(ABS(AH44)&lt;=1.00001,1*SIGN(AH44),0))</f>
        <v>0.882097312361869</v>
      </c>
      <c r="AJ44" s="17" t="n">
        <f aca="false">DEGREES(ASIN( SQRT( (F44*(F44+2*$U$8)) / (L44*(L44+2*$U$10)) ) * SIN(RADIANS(B44))  ))</f>
        <v>14.2781424583719</v>
      </c>
      <c r="AK44" s="1" t="n">
        <f aca="false">IF(ISNUMBER(SQRT(AF44)),(-AC44-SQRT(AF44))/AD44,-100)</f>
        <v>0.000208767880855882</v>
      </c>
      <c r="AL44" s="1" t="n">
        <f aca="false">(AK44*AB44-$V$15)/((1-$V$15*AK44*AB44)*$Z$15)</f>
        <v>-0.999999713962781</v>
      </c>
      <c r="AM44" s="1" t="n">
        <f aca="false">IF(ABS(AL44)&lt;=1,AL44,IF(ABS(AL44)&lt;=1.00001,1*SIGN(AL44),0))</f>
        <v>-0.999999713962781</v>
      </c>
      <c r="AN44" s="17" t="n">
        <f aca="false">IF(ISNUMBER(P44),DEGREES(ASIN( SQRT( (P44*(P44+2*$U$8)) / (S44*(S44+2*$U$10)) ) * SIN(RADIANS(B44)) ) ),"ignore")</f>
        <v>0.0115954319290166</v>
      </c>
    </row>
    <row r="45" customFormat="false" ht="12.75" hidden="false" customHeight="false" outlineLevel="0" collapsed="false">
      <c r="B45" s="1" t="n">
        <v>15</v>
      </c>
      <c r="D45" s="27" t="n">
        <f aca="false">IF(ISNUMBER(F45),IF(ABS(AI45-1)&lt;0.000001,0,IF(ABS(AI45+1)&lt;0.000001,180,ROUND(DEGREES(ACOS(AI45)),3)))," ")</f>
        <v>30.111</v>
      </c>
      <c r="F45" s="17" t="n">
        <f aca="false">IF(AG45&gt;0.0000001,$U$8*((1/SQRT(1-AG45*AG45))-1),"none")</f>
        <v>450.1569625502</v>
      </c>
      <c r="H45" s="17" t="n">
        <f aca="false">IF(ISNUMBER(F45),$Z$15*(1+AC45/AG45)/(1+$V$15*$Z$15*AI45)/AG45," ")</f>
        <v>0.257039434280798</v>
      </c>
      <c r="J45" s="27" t="n">
        <f aca="false">IF(ISNUMBER(F45),IF( AND( ( (F45*(F45+2*$U$8)*AB45*AB45) &gt; ($E$5*($E$5+2*$U$5)) ), ( B45&lt;90 ) ), 180-AJ45, AJ45)," ")</f>
        <v>15.031975111204</v>
      </c>
      <c r="L45" s="17" t="n">
        <f aca="false">IF(ISNUMBER(F45),$E$5+$O$10-F45," ")</f>
        <v>165.0430374498</v>
      </c>
      <c r="N45" s="1" t="n">
        <f aca="false">IF(ISNUMBER(P45),B45," ")</f>
        <v>15</v>
      </c>
      <c r="O45" s="27" t="n">
        <f aca="false">IF(ISNUMBER(P45), IF( ABS(AM45-1)&lt;0.000001,0, IF(ABS(AM45+1)&lt;0.000001,180,ROUND(DEGREES(ACOS(AM45)),3)))," ")</f>
        <v>180</v>
      </c>
      <c r="P45" s="17" t="n">
        <f aca="false">IF(AK45&gt;0.0000001,$U$8*((1/SQRT(1-AK45*AK45))-1),"none")</f>
        <v>0.00118674652544325</v>
      </c>
      <c r="Q45" s="17" t="n">
        <f aca="false">IF(ISNUMBER(P45),ABS($Z$15*(1+AC45/AK45)/(1+$V$15*$Z$15*AM45)/AK45)," ")</f>
        <v>97906.8980281802</v>
      </c>
      <c r="R45" s="27" t="n">
        <f aca="false">IF(ISNUMBER(P45),IF( AND( ( (P45*(P45+2*$U$8)*AB45*AB45) &gt; ($E$5*($E$5+2*$U$5)) ), ( B45&lt;90 ) ), 180-AN45, AN45)," ")</f>
        <v>0.0124616253040738</v>
      </c>
      <c r="S45" s="17" t="n">
        <f aca="false">IF(ISNUMBER(P45),$E$5+$O$10-P45," ")</f>
        <v>615.198813253475</v>
      </c>
      <c r="AB45" s="1" t="n">
        <f aca="false">COS(RADIANS(B45))</f>
        <v>0.965925826289068</v>
      </c>
      <c r="AC45" s="1" t="n">
        <f aca="false">-$V$15*AB45</f>
        <v>-0.0645509648653516</v>
      </c>
      <c r="AD45" s="1" t="n">
        <f aca="false">$AA$15+AC45*AC45</f>
        <v>1.00413979656106</v>
      </c>
      <c r="AF45" s="1" t="n">
        <f aca="false">AC45*AC45-AD45*$AE$15</f>
        <v>0.0041396846602724</v>
      </c>
      <c r="AG45" s="1" t="n">
        <f aca="false">IF(ISNUMBER(SQRT(AF45)),(-AC45+SQRT(AF45))/AD45,-100)</f>
        <v>0.128359961992931</v>
      </c>
      <c r="AH45" s="1" t="n">
        <f aca="false">(AG45*AB45-$V$15)/((1-$V$15*AG45*AB45)*$Z$15)</f>
        <v>0.86505731644076</v>
      </c>
      <c r="AI45" s="1" t="n">
        <f aca="false">IF(ABS(AH45)&lt;=1,AH45,IF(ABS(AH45)&lt;=1.00001,1*SIGN(AH45),0))</f>
        <v>0.86505731644076</v>
      </c>
      <c r="AJ45" s="17" t="n">
        <f aca="false">DEGREES(ASIN( SQRT( (F45*(F45+2*$U$8)) / (L45*(L45+2*$U$10)) ) * SIN(RADIANS(B45))  ))</f>
        <v>15.031975111204</v>
      </c>
      <c r="AK45" s="1" t="n">
        <f aca="false">IF(ISNUMBER(SQRT(AF45)),(-AC45-SQRT(AF45))/AD45,-100)</f>
        <v>0.000209715429322777</v>
      </c>
      <c r="AL45" s="1" t="n">
        <f aca="false">(AK45*AB45-$V$15)/((1-$V$15*AK45*AB45)*$Z$15)</f>
        <v>-0.999999669631929</v>
      </c>
      <c r="AM45" s="1" t="n">
        <f aca="false">IF(ABS(AL45)&lt;=1,AL45,IF(ABS(AL45)&lt;=1.00001,1*SIGN(AL45),0))</f>
        <v>-0.999999669631929</v>
      </c>
      <c r="AN45" s="17" t="n">
        <f aca="false">IF(ISNUMBER(P45),DEGREES(ASIN( SQRT( (P45*(P45+2*$U$8)) / (S45*(S45+2*$U$10)) ) * SIN(RADIANS(B45)) ) ),"ignore")</f>
        <v>0.0124616253040738</v>
      </c>
    </row>
    <row r="46" customFormat="false" ht="12.75" hidden="false" customHeight="false" outlineLevel="0" collapsed="false">
      <c r="B46" s="1" t="n">
        <v>16</v>
      </c>
      <c r="D46" s="27" t="n">
        <f aca="false">IF(ISNUMBER(F46),IF(ABS(AI46-1)&lt;0.000001,0,IF(ABS(AI46+1)&lt;0.000001,180,ROUND(DEGREES(ACOS(AI46)),3)))," ")</f>
        <v>32.118</v>
      </c>
      <c r="F46" s="17" t="n">
        <f aca="false">IF(AG46&gt;0.0000001,$U$8*((1/SQRT(1-AG46*AG46))-1),"none")</f>
        <v>445.788039964698</v>
      </c>
      <c r="H46" s="17" t="n">
        <f aca="false">IF(ISNUMBER(F46),$Z$15*(1+AC46/AG46)/(1+$V$15*$Z$15*AI46)/AG46," ")</f>
        <v>0.25830742406927</v>
      </c>
      <c r="J46" s="27" t="n">
        <f aca="false">IF(ISNUMBER(F46),IF( AND( ( (F46*(F46+2*$U$8)*AB46*AB46) &gt; ($E$5*($E$5+2*$U$5)) ), ( B46&lt;90 ) ), 180-AJ46, AJ46)," ")</f>
        <v>15.7412156880868</v>
      </c>
      <c r="L46" s="17" t="n">
        <f aca="false">IF(ISNUMBER(F46),$E$5+$O$10-F46," ")</f>
        <v>169.411960035302</v>
      </c>
      <c r="N46" s="1" t="n">
        <f aca="false">IF(ISNUMBER(P46),B46," ")</f>
        <v>16</v>
      </c>
      <c r="O46" s="27" t="n">
        <f aca="false">IF(ISNUMBER(P46), IF( ABS(AM46-1)&lt;0.000001,0, IF(ABS(AM46+1)&lt;0.000001,180,ROUND(DEGREES(ACOS(AM46)),3)))," ")</f>
        <v>180</v>
      </c>
      <c r="P46" s="17" t="n">
        <f aca="false">IF(AK46&gt;0.0000001,$U$8*((1/SQRT(1-AK46*AK46))-1),"none")</f>
        <v>0.00119832886322589</v>
      </c>
      <c r="Q46" s="17" t="n">
        <f aca="false">IF(ISNUMBER(P46),ABS($Z$15*(1+AC46/AK46)/(1+$V$15*$Z$15*AM46)/AK46)," ")</f>
        <v>96489.3330657041</v>
      </c>
      <c r="R46" s="27" t="n">
        <f aca="false">IF(ISNUMBER(P46),IF( AND( ( (P46*(P46+2*$U$8)*AB46*AB46) &gt; ($E$5*($E$5+2*$U$5)) ), ( B46&lt;90 ) ), 180-AN46, AN46)," ")</f>
        <v>0.0133359992819912</v>
      </c>
      <c r="S46" s="17" t="n">
        <f aca="false">IF(ISNUMBER(P46),$E$5+$O$10-P46," ")</f>
        <v>615.198801671137</v>
      </c>
      <c r="AB46" s="1" t="n">
        <f aca="false">COS(RADIANS(B46))</f>
        <v>0.961261695938319</v>
      </c>
      <c r="AC46" s="1" t="n">
        <f aca="false">-$V$15*AB46</f>
        <v>-0.0642392700061766</v>
      </c>
      <c r="AD46" s="1" t="n">
        <f aca="false">$AA$15+AC46*AC46</f>
        <v>1.00409965330694</v>
      </c>
      <c r="AF46" s="1" t="n">
        <f aca="false">AC46*AC46-AD46*$AE$15</f>
        <v>0.0040995424912434</v>
      </c>
      <c r="AG46" s="1" t="n">
        <f aca="false">IF(ISNUMBER(SQRT(AF46)),(-AC46+SQRT(AF46))/AD46,-100)</f>
        <v>0.127743236754656</v>
      </c>
      <c r="AH46" s="1" t="n">
        <f aca="false">(AG46*AB46-$V$15)/((1-$V$15*AG46*AB46)*$Z$15)</f>
        <v>0.846956272251886</v>
      </c>
      <c r="AI46" s="1" t="n">
        <f aca="false">IF(ABS(AH46)&lt;=1,AH46,IF(ABS(AH46)&lt;=1.00001,1*SIGN(AH46),0))</f>
        <v>0.846956272251886</v>
      </c>
      <c r="AJ46" s="17" t="n">
        <f aca="false">DEGREES(ASIN( SQRT( (F46*(F46+2*$U$8)) / (L46*(L46+2*$U$10)) ) * SIN(RADIANS(B46))  ))</f>
        <v>15.7412156880868</v>
      </c>
      <c r="AK46" s="1" t="n">
        <f aca="false">IF(ISNUMBER(SQRT(AF46)),(-AC46-SQRT(AF46))/AD46,-100)</f>
        <v>0.000210736328809959</v>
      </c>
      <c r="AL46" s="1" t="n">
        <f aca="false">(AK46*AB46-$V$15)/((1-$V$15*AK46*AB46)*$Z$15)</f>
        <v>-0.999999621644703</v>
      </c>
      <c r="AM46" s="1" t="n">
        <f aca="false">IF(ABS(AL46)&lt;=1,AL46,IF(ABS(AL46)&lt;=1.00001,1*SIGN(AL46),0))</f>
        <v>-0.999999621644703</v>
      </c>
      <c r="AN46" s="17" t="n">
        <f aca="false">IF(ISNUMBER(P46),DEGREES(ASIN( SQRT( (P46*(P46+2*$U$8)) / (S46*(S46+2*$U$10)) ) * SIN(RADIANS(B46)) ) ),"ignore")</f>
        <v>0.0133359992819912</v>
      </c>
    </row>
    <row r="47" customFormat="false" ht="12.75" hidden="false" customHeight="false" outlineLevel="0" collapsed="false">
      <c r="B47" s="1" t="n">
        <v>17</v>
      </c>
      <c r="D47" s="27" t="n">
        <f aca="false">IF(ISNUMBER(F47),IF(ABS(AI47-1)&lt;0.000001,0,IF(ABS(AI47+1)&lt;0.000001,180,ROUND(DEGREES(ACOS(AI47)),3)))," ")</f>
        <v>34.125</v>
      </c>
      <c r="F47" s="17" t="n">
        <f aca="false">IF(AG47&gt;0.0000001,$U$8*((1/SQRT(1-AG47*AG47))-1),"none")</f>
        <v>441.168403691178</v>
      </c>
      <c r="H47" s="17" t="n">
        <f aca="false">IF(ISNUMBER(F47),$Z$15*(1+AC47/AG47)/(1+$V$15*$Z$15*AI47)/AG47," ")</f>
        <v>0.25966846422516</v>
      </c>
      <c r="J47" s="27" t="n">
        <f aca="false">IF(ISNUMBER(F47),IF( AND( ( (F47*(F47+2*$U$8)*AB47*AB47) &gt; ($E$5*($E$5+2*$U$5)) ), ( B47&lt;90 ) ), 180-AJ47, AJ47)," ")</f>
        <v>16.4056053148705</v>
      </c>
      <c r="L47" s="17" t="n">
        <f aca="false">IF(ISNUMBER(F47),$E$5+$O$10-F47," ")</f>
        <v>174.031596308822</v>
      </c>
      <c r="N47" s="1" t="n">
        <f aca="false">IF(ISNUMBER(P47),B47," ")</f>
        <v>17</v>
      </c>
      <c r="O47" s="27" t="n">
        <f aca="false">IF(ISNUMBER(P47), IF( ABS(AM47-1)&lt;0.000001,0, IF(ABS(AM47+1)&lt;0.000001,180,ROUND(DEGREES(ACOS(AM47)),3)))," ")</f>
        <v>180</v>
      </c>
      <c r="P47" s="17" t="n">
        <f aca="false">IF(AK47&gt;0.0000001,$U$8*((1/SQRT(1-AK47*AK47))-1),"none")</f>
        <v>0.00121082539995301</v>
      </c>
      <c r="Q47" s="17" t="n">
        <f aca="false">IF(ISNUMBER(P47),ABS($Z$15*(1+AC47/AK47)/(1+$V$15*$Z$15*AM47)/AK47)," ")</f>
        <v>94997.8118166248</v>
      </c>
      <c r="R47" s="27" t="n">
        <f aca="false">IF(ISNUMBER(P47),IF( AND( ( (P47*(P47+2*$U$8)*AB47*AB47) &gt; ($E$5*($E$5+2*$U$5)) ), ( B47&lt;90 ) ), 180-AN47, AN47)," ")</f>
        <v>0.0142192138127076</v>
      </c>
      <c r="S47" s="17" t="n">
        <f aca="false">IF(ISNUMBER(P47),$E$5+$O$10-P47," ")</f>
        <v>615.1987891746</v>
      </c>
      <c r="AB47" s="1" t="n">
        <f aca="false">COS(RADIANS(B47))</f>
        <v>0.956304755963036</v>
      </c>
      <c r="AC47" s="1" t="n">
        <f aca="false">-$V$15*AB47</f>
        <v>-0.063908007243058</v>
      </c>
      <c r="AD47" s="1" t="n">
        <f aca="false">$AA$15+AC47*AC47</f>
        <v>1.00405720288579</v>
      </c>
      <c r="AF47" s="1" t="n">
        <f aca="false">AC47*AC47-AD47*$AE$15</f>
        <v>0.00405709321755197</v>
      </c>
      <c r="AG47" s="1" t="n">
        <f aca="false">IF(ISNUMBER(SQRT(AF47)),(-AC47+SQRT(AF47))/AD47,-100)</f>
        <v>0.127087702158236</v>
      </c>
      <c r="AH47" s="1" t="n">
        <f aca="false">(AG47*AB47-$V$15)/((1-$V$15*AG47*AB47)*$Z$15)</f>
        <v>0.827816486941687</v>
      </c>
      <c r="AI47" s="1" t="n">
        <f aca="false">IF(ABS(AH47)&lt;=1,AH47,IF(ABS(AH47)&lt;=1.00001,1*SIGN(AH47),0))</f>
        <v>0.827816486941687</v>
      </c>
      <c r="AJ47" s="17" t="n">
        <f aca="false">DEGREES(ASIN( SQRT( (F47*(F47+2*$U$8)) / (L47*(L47+2*$U$10)) ) * SIN(RADIANS(B47))  ))</f>
        <v>16.4056053148705</v>
      </c>
      <c r="AK47" s="1" t="n">
        <f aca="false">IF(ISNUMBER(SQRT(AF47)),(-AC47-SQRT(AF47))/AD47,-100)</f>
        <v>0.000211832289359123</v>
      </c>
      <c r="AL47" s="1" t="n">
        <f aca="false">(AK47*AB47-$V$15)/((1-$V$15*AK47*AB47)*$Z$15)</f>
        <v>-0.999999569869875</v>
      </c>
      <c r="AM47" s="1" t="n">
        <f aca="false">IF(ABS(AL47)&lt;=1,AL47,IF(ABS(AL47)&lt;=1.00001,1*SIGN(AL47),0))</f>
        <v>-0.999999569869875</v>
      </c>
      <c r="AN47" s="17" t="n">
        <f aca="false">IF(ISNUMBER(P47),DEGREES(ASIN( SQRT( (P47*(P47+2*$U$8)) / (S47*(S47+2*$U$10)) ) * SIN(RADIANS(B47)) ) ),"ignore")</f>
        <v>0.0142192138127076</v>
      </c>
    </row>
    <row r="48" customFormat="false" ht="12.75" hidden="false" customHeight="false" outlineLevel="0" collapsed="false">
      <c r="B48" s="1" t="n">
        <v>18</v>
      </c>
      <c r="D48" s="27" t="n">
        <f aca="false">IF(ISNUMBER(F48),IF(ABS(AI48-1)&lt;0.000001,0,IF(ABS(AI48+1)&lt;0.000001,180,ROUND(DEGREES(ACOS(AI48)),3)))," ")</f>
        <v>36.132</v>
      </c>
      <c r="F48" s="17" t="n">
        <f aca="false">IF(AG48&gt;0.0000001,$U$8*((1/SQRT(1-AG48*AG48))-1),"none")</f>
        <v>436.303745412018</v>
      </c>
      <c r="H48" s="17" t="n">
        <f aca="false">IF(ISNUMBER(F48),$Z$15*(1+AC48/AG48)/(1+$V$15*$Z$15*AI48)/AG48," ")</f>
        <v>0.261124825189265</v>
      </c>
      <c r="J48" s="27" t="n">
        <f aca="false">IF(ISNUMBER(F48),IF( AND( ( (F48*(F48+2*$U$8)*AB48*AB48) &gt; ($E$5*($E$5+2*$U$5)) ), ( B48&lt;90 ) ), 180-AJ48, AJ48)," ")</f>
        <v>17.0251494501236</v>
      </c>
      <c r="L48" s="17" t="n">
        <f aca="false">IF(ISNUMBER(F48),$E$5+$O$10-F48," ")</f>
        <v>178.896254587982</v>
      </c>
      <c r="N48" s="1" t="n">
        <f aca="false">IF(ISNUMBER(P48),B48," ")</f>
        <v>18</v>
      </c>
      <c r="O48" s="27" t="n">
        <f aca="false">IF(ISNUMBER(P48), IF( ABS(AM48-1)&lt;0.000001,0, IF(ABS(AM48+1)&lt;0.000001,180,ROUND(DEGREES(ACOS(AM48)),3)))," ")</f>
        <v>180</v>
      </c>
      <c r="P48" s="17" t="n">
        <f aca="false">IF(AK48&gt;0.0000001,$U$8*((1/SQRT(1-AK48*AK48))-1),"none")</f>
        <v>0.00122427077862507</v>
      </c>
      <c r="Q48" s="17" t="n">
        <f aca="false">IF(ISNUMBER(P48),ABS($Z$15*(1+AC48/AK48)/(1+$V$15*$Z$15*AM48)/AK48)," ")</f>
        <v>93435.44002186</v>
      </c>
      <c r="R48" s="27" t="n">
        <f aca="false">IF(ISNUMBER(P48),IF( AND( ( (P48*(P48+2*$U$8)*AB48*AB48) &gt; ($E$5*($E$5+2*$U$5)) ), ( B48&lt;90 ) ), 180-AN48, AN48)," ")</f>
        <v>0.0151119530154973</v>
      </c>
      <c r="S48" s="17" t="n">
        <f aca="false">IF(ISNUMBER(P48),$E$5+$O$10-P48," ")</f>
        <v>615.198775729221</v>
      </c>
      <c r="AB48" s="1" t="n">
        <f aca="false">COS(RADIANS(B48))</f>
        <v>0.951056516295154</v>
      </c>
      <c r="AC48" s="1" t="n">
        <f aca="false">-$V$15*AB48</f>
        <v>-0.0635572774818424</v>
      </c>
      <c r="AD48" s="1" t="n">
        <f aca="false">$AA$15+AC48*AC48</f>
        <v>1.00401249701692</v>
      </c>
      <c r="AF48" s="1" t="n">
        <f aca="false">AC48*AC48-AD48*$AE$15</f>
        <v>0.00401238855709929</v>
      </c>
      <c r="AG48" s="1" t="n">
        <f aca="false">IF(ISNUMBER(SQRT(AF48)),(-AC48+SQRT(AF48))/AD48,-100)</f>
        <v>0.1263935414044</v>
      </c>
      <c r="AH48" s="1" t="n">
        <f aca="false">(AG48*AB48-$V$15)/((1-$V$15*AG48*AB48)*$Z$15)</f>
        <v>0.80766154192913</v>
      </c>
      <c r="AI48" s="1" t="n">
        <f aca="false">IF(ABS(AH48)&lt;=1,AH48,IF(ABS(AH48)&lt;=1.00001,1*SIGN(AH48),0))</f>
        <v>0.80766154192913</v>
      </c>
      <c r="AJ48" s="17" t="n">
        <f aca="false">DEGREES(ASIN( SQRT( (F48*(F48+2*$U$8)) / (L48*(L48+2*$U$10)) ) * SIN(RADIANS(B48))  ))</f>
        <v>17.0251494501236</v>
      </c>
      <c r="AK48" s="1" t="n">
        <f aca="false">IF(ISNUMBER(SQRT(AF48)),(-AC48-SQRT(AF48))/AD48,-100)</f>
        <v>0.00021300516883767</v>
      </c>
      <c r="AL48" s="1" t="n">
        <f aca="false">(AK48*AB48-$V$15)/((1-$V$15*AK48*AB48)*$Z$15)</f>
        <v>-0.999999514163784</v>
      </c>
      <c r="AM48" s="1" t="n">
        <f aca="false">IF(ABS(AL48)&lt;=1,AL48,IF(ABS(AL48)&lt;=1.00001,1*SIGN(AL48),0))</f>
        <v>-0.999999514163784</v>
      </c>
      <c r="AN48" s="17" t="n">
        <f aca="false">IF(ISNUMBER(P48),DEGREES(ASIN( SQRT( (P48*(P48+2*$U$8)) / (S48*(S48+2*$U$10)) ) * SIN(RADIANS(B48)) ) ),"ignore")</f>
        <v>0.0151119530154973</v>
      </c>
    </row>
    <row r="49" customFormat="false" ht="12.75" hidden="false" customHeight="false" outlineLevel="0" collapsed="false">
      <c r="B49" s="1" t="n">
        <v>19</v>
      </c>
      <c r="D49" s="27" t="n">
        <f aca="false">IF(ISNUMBER(F49),IF(ABS(AI49-1)&lt;0.000001,0,IF(ABS(AI49+1)&lt;0.000001,180,ROUND(DEGREES(ACOS(AI49)),3)))," ")</f>
        <v>38.139</v>
      </c>
      <c r="F49" s="17" t="n">
        <f aca="false">IF(AG49&gt;0.0000001,$U$8*((1/SQRT(1-AG49*AG49))-1),"none")</f>
        <v>431.200057126305</v>
      </c>
      <c r="H49" s="17" t="n">
        <f aca="false">IF(ISNUMBER(F49),$Z$15*(1+AC49/AG49)/(1+$V$15*$Z$15*AI49)/AG49," ")</f>
        <v>0.262678967502855</v>
      </c>
      <c r="J49" s="27" t="n">
        <f aca="false">IF(ISNUMBER(F49),IF( AND( ( (F49*(F49+2*$U$8)*AB49*AB49) &gt; ($E$5*($E$5+2*$U$5)) ), ( B49&lt;90 ) ), 180-AJ49, AJ49)," ")</f>
        <v>17.6000881281478</v>
      </c>
      <c r="L49" s="17" t="n">
        <f aca="false">IF(ISNUMBER(F49),$E$5+$O$10-F49," ")</f>
        <v>183.999942873695</v>
      </c>
      <c r="N49" s="1" t="n">
        <f aca="false">IF(ISNUMBER(P49),B49," ")</f>
        <v>19</v>
      </c>
      <c r="O49" s="27" t="n">
        <f aca="false">IF(ISNUMBER(P49), IF( ABS(AM49-1)&lt;0.000001,0, IF(ABS(AM49+1)&lt;0.000001,180,ROUND(DEGREES(ACOS(AM49)),3)))," ")</f>
        <v>180</v>
      </c>
      <c r="P49" s="17" t="n">
        <f aca="false">IF(AK49&gt;0.0000001,$U$8*((1/SQRT(1-AK49*AK49))-1),"none")</f>
        <v>0.00123870292559851</v>
      </c>
      <c r="Q49" s="17" t="n">
        <f aca="false">IF(ISNUMBER(P49),ABS($Z$15*(1+AC49/AK49)/(1+$V$15*$Z$15*AM49)/AK49)," ")</f>
        <v>91805.4598861938</v>
      </c>
      <c r="R49" s="27" t="n">
        <f aca="false">IF(ISNUMBER(P49),IF( AND( ( (P49*(P49+2*$U$8)*AB49*AB49) &gt; ($E$5*($E$5+2*$U$5)) ), ( B49&lt;90 ) ), 180-AN49, AN49)," ")</f>
        <v>0.016014928121062</v>
      </c>
      <c r="S49" s="17" t="n">
        <f aca="false">IF(ISNUMBER(P49),$E$5+$O$10-P49," ")</f>
        <v>615.198761297075</v>
      </c>
      <c r="AB49" s="1" t="n">
        <f aca="false">COS(RADIANS(B49))</f>
        <v>0.945518575599317</v>
      </c>
      <c r="AC49" s="1" t="n">
        <f aca="false">-$V$15*AB49</f>
        <v>-0.0631871875582126</v>
      </c>
      <c r="AD49" s="1" t="n">
        <f aca="false">$AA$15+AC49*AC49</f>
        <v>1.00396559016753</v>
      </c>
      <c r="AF49" s="1" t="n">
        <f aca="false">AC49*AC49-AD49*$AE$15</f>
        <v>0.00396548297562789</v>
      </c>
      <c r="AG49" s="1" t="n">
        <f aca="false">IF(ISNUMBER(SQRT(AF49)),(-AC49+SQRT(AF49))/AD49,-100)</f>
        <v>0.125660948657623</v>
      </c>
      <c r="AH49" s="1" t="n">
        <f aca="false">(AG49*AB49-$V$15)/((1-$V$15*AG49*AB49)*$Z$15)</f>
        <v>0.786516262886518</v>
      </c>
      <c r="AI49" s="1" t="n">
        <f aca="false">IF(ABS(AH49)&lt;=1,AH49,IF(ABS(AH49)&lt;=1.00001,1*SIGN(AH49),0))</f>
        <v>0.786516262886518</v>
      </c>
      <c r="AJ49" s="17" t="n">
        <f aca="false">DEGREES(ASIN( SQRT( (F49*(F49+2*$U$8)) / (L49*(L49+2*$U$10)) ) * SIN(RADIANS(B49))  ))</f>
        <v>17.6000881281478</v>
      </c>
      <c r="AK49" s="1" t="n">
        <f aca="false">IF(ISNUMBER(SQRT(AF49)),(-AC49-SQRT(AF49))/AD49,-100)</f>
        <v>0.000214256980986483</v>
      </c>
      <c r="AL49" s="1" t="n">
        <f aca="false">(AK49*AB49-$V$15)/((1-$V$15*AK49*AB49)*$Z$15)</f>
        <v>-0.999999454369444</v>
      </c>
      <c r="AM49" s="1" t="n">
        <f aca="false">IF(ABS(AL49)&lt;=1,AL49,IF(ABS(AL49)&lt;=1.00001,1*SIGN(AL49),0))</f>
        <v>-0.999999454369444</v>
      </c>
      <c r="AN49" s="17" t="n">
        <f aca="false">IF(ISNUMBER(P49),DEGREES(ASIN( SQRT( (P49*(P49+2*$U$8)) / (S49*(S49+2*$U$10)) ) * SIN(RADIANS(B49)) ) ),"ignore")</f>
        <v>0.016014928121062</v>
      </c>
    </row>
    <row r="50" customFormat="false" ht="12.75" hidden="false" customHeight="false" outlineLevel="0" collapsed="false">
      <c r="B50" s="1" t="n">
        <v>20</v>
      </c>
      <c r="D50" s="27" t="n">
        <f aca="false">IF(ISNUMBER(F50),IF(ABS(AI50-1)&lt;0.000001,0,IF(ABS(AI50+1)&lt;0.000001,180,ROUND(DEGREES(ACOS(AI50)),3)))," ")</f>
        <v>40.146</v>
      </c>
      <c r="F50" s="17" t="n">
        <f aca="false">IF(AG50&gt;0.0000001,$U$8*((1/SQRT(1-AG50*AG50))-1),"none")</f>
        <v>425.863623529702</v>
      </c>
      <c r="H50" s="17" t="n">
        <f aca="false">IF(ISNUMBER(F50),$Z$15*(1+AC50/AG50)/(1+$V$15*$Z$15*AI50)/AG50," ")</f>
        <v>0.26433355256029</v>
      </c>
      <c r="J50" s="27" t="n">
        <f aca="false">IF(ISNUMBER(F50),IF( AND( ( (F50*(F50+2*$U$8)*AB50*AB50) &gt; ($E$5*($E$5+2*$U$5)) ), ( B50&lt;90 ) ), 180-AJ50, AJ50)," ")</f>
        <v>18.1308665075662</v>
      </c>
      <c r="L50" s="17" t="n">
        <f aca="false">IF(ISNUMBER(F50),$E$5+$O$10-F50," ")</f>
        <v>189.336376470298</v>
      </c>
      <c r="N50" s="1" t="n">
        <f aca="false">IF(ISNUMBER(P50),B50," ")</f>
        <v>20</v>
      </c>
      <c r="O50" s="27" t="n">
        <f aca="false">IF(ISNUMBER(P50), IF( ABS(AM50-1)&lt;0.000001,0, IF(ABS(AM50+1)&lt;0.000001,180,ROUND(DEGREES(ACOS(AM50)),3)))," ")</f>
        <v>180</v>
      </c>
      <c r="P50" s="17" t="n">
        <f aca="false">IF(AK50&gt;0.0000001,$U$8*((1/SQRT(1-AK50*AK50))-1),"none")</f>
        <v>0.00125416315843322</v>
      </c>
      <c r="Q50" s="17" t="n">
        <f aca="false">IF(ISNUMBER(P50),ABS($Z$15*(1+AC50/AK50)/(1+$V$15*$Z$15*AM50)/AK50)," ")</f>
        <v>90111.2415085141</v>
      </c>
      <c r="R50" s="27" t="n">
        <f aca="false">IF(ISNUMBER(P50),IF( AND( ( (P50*(P50+2*$U$8)*AB50*AB50) &gt; ($E$5*($E$5+2*$U$5)) ), ( B50&lt;90 ) ), 180-AN50, AN50)," ")</f>
        <v>0.0169288791535575</v>
      </c>
      <c r="S50" s="17" t="n">
        <f aca="false">IF(ISNUMBER(P50),$E$5+$O$10-P50," ")</f>
        <v>615.198745836842</v>
      </c>
      <c r="AB50" s="1" t="n">
        <f aca="false">COS(RADIANS(B50))</f>
        <v>0.939692620785908</v>
      </c>
      <c r="AC50" s="1" t="n">
        <f aca="false">-$V$15*AB50</f>
        <v>-0.0627978502051445</v>
      </c>
      <c r="AD50" s="1" t="n">
        <f aca="false">$AA$15+AC50*AC50</f>
        <v>1.0039165394864</v>
      </c>
      <c r="AF50" s="1" t="n">
        <f aca="false">AC50*AC50-AD50*$AE$15</f>
        <v>0.00391643362036355</v>
      </c>
      <c r="AG50" s="1" t="n">
        <f aca="false">IF(ISNUMBER(SQRT(AF50)),(-AC50+SQRT(AF50))/AD50,-100)</f>
        <v>0.124890129017858</v>
      </c>
      <c r="AH50" s="1" t="n">
        <f aca="false">(AG50*AB50-$V$15)/((1-$V$15*AG50*AB50)*$Z$15)</f>
        <v>0.764406688168102</v>
      </c>
      <c r="AI50" s="1" t="n">
        <f aca="false">IF(ABS(AH50)&lt;=1,AH50,IF(ABS(AH50)&lt;=1.00001,1*SIGN(AH50),0))</f>
        <v>0.764406688168102</v>
      </c>
      <c r="AJ50" s="17" t="n">
        <f aca="false">DEGREES(ASIN( SQRT( (F50*(F50+2*$U$8)) / (L50*(L50+2*$U$10)) ) * SIN(RADIANS(B50))  ))</f>
        <v>18.1308665075662</v>
      </c>
      <c r="AK50" s="1" t="n">
        <f aca="false">IF(ISNUMBER(SQRT(AF50)),(-AC50-SQRT(AF50))/AD50,-100)</f>
        <v>0.000215589904298059</v>
      </c>
      <c r="AL50" s="1" t="n">
        <f aca="false">(AK50*AB50-$V$15)/((1-$V$15*AK50*AB50)*$Z$15)</f>
        <v>-0.999999390315564</v>
      </c>
      <c r="AM50" s="1" t="n">
        <f aca="false">IF(ABS(AL50)&lt;=1,AL50,IF(ABS(AL50)&lt;=1.00001,1*SIGN(AL50),0))</f>
        <v>-0.999999390315564</v>
      </c>
      <c r="AN50" s="17" t="n">
        <f aca="false">IF(ISNUMBER(P50),DEGREES(ASIN( SQRT( (P50*(P50+2*$U$8)) / (S50*(S50+2*$U$10)) ) * SIN(RADIANS(B50)) ) ),"ignore")</f>
        <v>0.0169288791535575</v>
      </c>
    </row>
    <row r="51" customFormat="false" ht="12.75" hidden="false" customHeight="false" outlineLevel="0" collapsed="false">
      <c r="B51" s="1" t="n">
        <v>21</v>
      </c>
      <c r="D51" s="27" t="n">
        <f aca="false">IF(ISNUMBER(F51),IF(ABS(AI51-1)&lt;0.000001,0,IF(ABS(AI51+1)&lt;0.000001,180,ROUND(DEGREES(ACOS(AI51)),3)))," ")</f>
        <v>42.153</v>
      </c>
      <c r="F51" s="17" t="n">
        <f aca="false">IF(AG51&gt;0.0000001,$U$8*((1/SQRT(1-AG51*AG51))-1),"none")</f>
        <v>420.301014030505</v>
      </c>
      <c r="H51" s="17" t="n">
        <f aca="false">IF(ISNUMBER(F51),$Z$15*(1+AC51/AG51)/(1+$V$15*$Z$15*AI51)/AG51," ")</f>
        <v>0.266091454454006</v>
      </c>
      <c r="J51" s="27" t="n">
        <f aca="false">IF(ISNUMBER(F51),IF( AND( ( (F51*(F51+2*$U$8)*AB51*AB51) &gt; ($E$5*($E$5+2*$U$5)) ), ( B51&lt;90 ) ), 180-AJ51, AJ51)," ")</f>
        <v>18.6181063849784</v>
      </c>
      <c r="L51" s="17" t="n">
        <f aca="false">IF(ISNUMBER(F51),$E$5+$O$10-F51," ")</f>
        <v>194.898985969495</v>
      </c>
      <c r="N51" s="1" t="n">
        <f aca="false">IF(ISNUMBER(P51),B51," ")</f>
        <v>21</v>
      </c>
      <c r="O51" s="27" t="n">
        <f aca="false">IF(ISNUMBER(P51), IF( ABS(AM51-1)&lt;0.000001,0, IF(ABS(AM51+1)&lt;0.000001,180,ROUND(DEGREES(ACOS(AM51)),3)))," ")</f>
        <v>180</v>
      </c>
      <c r="P51" s="17" t="n">
        <f aca="false">IF(AK51&gt;0.0000001,$U$8*((1/SQRT(1-AK51*AK51))-1),"none")</f>
        <v>0.00127069655736708</v>
      </c>
      <c r="Q51" s="17" t="n">
        <f aca="false">IF(ISNUMBER(P51),ABS($Z$15*(1+AC51/AK51)/(1+$V$15*$Z$15*AM51)/AK51)," ")</f>
        <v>88356.2739789199</v>
      </c>
      <c r="R51" s="27" t="n">
        <f aca="false">IF(ISNUMBER(P51),IF( AND( ( (P51*(P51+2*$U$8)*AB51*AB51) &gt; ($E$5*($E$5+2*$U$5)) ), ( B51&lt;90 ) ), 180-AN51, AN51)," ")</f>
        <v>0.0178545782372545</v>
      </c>
      <c r="S51" s="17" t="n">
        <f aca="false">IF(ISNUMBER(P51),$E$5+$O$10-P51," ")</f>
        <v>615.198729303443</v>
      </c>
      <c r="AB51" s="1" t="n">
        <f aca="false">COS(RADIANS(B51))</f>
        <v>0.933580426497202</v>
      </c>
      <c r="AC51" s="1" t="n">
        <f aca="false">-$V$15*AB51</f>
        <v>-0.0623893840185675</v>
      </c>
      <c r="AD51" s="1" t="n">
        <f aca="false">$AA$15+AC51*AC51</f>
        <v>1.00386540473423</v>
      </c>
      <c r="AF51" s="1" t="n">
        <f aca="false">AC51*AC51-AD51*$AE$15</f>
        <v>0.00386530025039021</v>
      </c>
      <c r="AG51" s="1" t="n">
        <f aca="false">IF(ISNUMBER(SQRT(AF51)),(-AC51+SQRT(AF51))/AD51,-100)</f>
        <v>0.124081298489575</v>
      </c>
      <c r="AH51" s="1" t="n">
        <f aca="false">(AG51*AB51-$V$15)/((1-$V$15*AG51*AB51)*$Z$15)</f>
        <v>0.741360035731502</v>
      </c>
      <c r="AI51" s="1" t="n">
        <f aca="false">IF(ABS(AH51)&lt;=1,AH51,IF(ABS(AH51)&lt;=1.00001,1*SIGN(AH51),0))</f>
        <v>0.741360035731502</v>
      </c>
      <c r="AJ51" s="17" t="n">
        <f aca="false">DEGREES(ASIN( SQRT( (F51*(F51+2*$U$8)) / (L51*(L51+2*$U$10)) ) * SIN(RADIANS(B51))  ))</f>
        <v>18.6181063849784</v>
      </c>
      <c r="AK51" s="1" t="n">
        <f aca="false">IF(ISNUMBER(SQRT(AF51)),(-AC51-SQRT(AF51))/AD51,-100)</f>
        <v>0.000217006291801366</v>
      </c>
      <c r="AL51" s="1" t="n">
        <f aca="false">(AK51*AB51-$V$15)/((1-$V$15*AK51*AB51)*$Z$15)</f>
        <v>-0.999999321815452</v>
      </c>
      <c r="AM51" s="1" t="n">
        <f aca="false">IF(ABS(AL51)&lt;=1,AL51,IF(ABS(AL51)&lt;=1.00001,1*SIGN(AL51),0))</f>
        <v>-0.999999321815452</v>
      </c>
      <c r="AN51" s="17" t="n">
        <f aca="false">IF(ISNUMBER(P51),DEGREES(ASIN( SQRT( (P51*(P51+2*$U$8)) / (S51*(S51+2*$U$10)) ) * SIN(RADIANS(B51)) ) ),"ignore")</f>
        <v>0.0178545782372545</v>
      </c>
    </row>
    <row r="52" customFormat="false" ht="12.75" hidden="false" customHeight="false" outlineLevel="0" collapsed="false">
      <c r="B52" s="1" t="n">
        <v>22</v>
      </c>
      <c r="D52" s="27" t="n">
        <f aca="false">IF(ISNUMBER(F52),IF(ABS(AI52-1)&lt;0.000001,0,IF(ABS(AI52+1)&lt;0.000001,180,ROUND(DEGREES(ACOS(AI52)),3)))," ")</f>
        <v>44.159</v>
      </c>
      <c r="F52" s="17" t="n">
        <f aca="false">IF(AG52&gt;0.0000001,$U$8*((1/SQRT(1-AG52*AG52))-1),"none")</f>
        <v>414.519074413223</v>
      </c>
      <c r="H52" s="17" t="n">
        <f aca="false">IF(ISNUMBER(F52),$Z$15*(1+AC52/AG52)/(1+$V$15*$Z$15*AI52)/AG52," ")</f>
        <v>0.267955773014362</v>
      </c>
      <c r="J52" s="27" t="n">
        <f aca="false">IF(ISNUMBER(F52),IF( AND( ( (F52*(F52+2*$U$8)*AB52*AB52) &gt; ($E$5*($E$5+2*$U$5)) ), ( B52&lt;90 ) ), 180-AJ52, AJ52)," ")</f>
        <v>19.0625791723571</v>
      </c>
      <c r="L52" s="17" t="n">
        <f aca="false">IF(ISNUMBER(F52),$E$5+$O$10-F52," ")</f>
        <v>200.680925586778</v>
      </c>
      <c r="N52" s="1" t="n">
        <f aca="false">IF(ISNUMBER(P52),B52," ")</f>
        <v>22</v>
      </c>
      <c r="O52" s="27" t="n">
        <f aca="false">IF(ISNUMBER(P52), IF( ABS(AM52-1)&lt;0.000001,0, IF(ABS(AM52+1)&lt;0.000001,180,ROUND(DEGREES(ACOS(AM52)),3)))," ")</f>
        <v>180</v>
      </c>
      <c r="P52" s="17" t="n">
        <f aca="false">IF(AK52&gt;0.0000001,$U$8*((1/SQRT(1-AK52*AK52))-1),"none")</f>
        <v>0.00128835218101093</v>
      </c>
      <c r="Q52" s="17" t="n">
        <f aca="false">IF(ISNUMBER(P52),ABS($Z$15*(1+AC52/AK52)/(1+$V$15*$Z$15*AM52)/AK52)," ")</f>
        <v>86544.156167121</v>
      </c>
      <c r="R52" s="27" t="n">
        <f aca="false">IF(ISNUMBER(P52),IF( AND( ( (P52*(P52+2*$U$8)*AB52*AB52) &gt; ($E$5*($E$5+2*$U$5)) ), ( B52&lt;90 ) ), 180-AN52, AN52)," ")</f>
        <v>0.0187928319341268</v>
      </c>
      <c r="S52" s="17" t="n">
        <f aca="false">IF(ISNUMBER(P52),$E$5+$O$10-P52," ")</f>
        <v>615.198711647819</v>
      </c>
      <c r="AB52" s="1" t="n">
        <f aca="false">COS(RADIANS(B52))</f>
        <v>0.927183854566787</v>
      </c>
      <c r="AC52" s="1" t="n">
        <f aca="false">-$V$15*AB52</f>
        <v>-0.0619619134212389</v>
      </c>
      <c r="AD52" s="1" t="n">
        <f aca="false">$AA$15+AC52*AC52</f>
        <v>1.00381224821083</v>
      </c>
      <c r="AF52" s="1" t="n">
        <f aca="false">AC52*AC52-AD52*$AE$15</f>
        <v>0.00381214516384264</v>
      </c>
      <c r="AG52" s="1" t="n">
        <f aca="false">IF(ISNUMBER(SQRT(AF52)),(-AC52+SQRT(AF52))/AD52,-100)</f>
        <v>0.123234683947914</v>
      </c>
      <c r="AH52" s="1" t="n">
        <f aca="false">(AG52*AB52-$V$15)/((1-$V$15*AG52*AB52)*$Z$15)</f>
        <v>0.717404668598834</v>
      </c>
      <c r="AI52" s="1" t="n">
        <f aca="false">IF(ABS(AH52)&lt;=1,AH52,IF(ABS(AH52)&lt;=1.00001,1*SIGN(AH52),0))</f>
        <v>0.717404668598834</v>
      </c>
      <c r="AJ52" s="17" t="n">
        <f aca="false">DEGREES(ASIN( SQRT( (F52*(F52+2*$U$8)) / (L52*(L52+2*$U$10)) ) * SIN(RADIANS(B52))  ))</f>
        <v>19.0625791723571</v>
      </c>
      <c r="AK52" s="1" t="n">
        <f aca="false">IF(ISNUMBER(SQRT(AF52)),(-AC52-SQRT(AF52))/AD52,-100)</f>
        <v>0.000218508681839143</v>
      </c>
      <c r="AL52" s="1" t="n">
        <f aca="false">(AK52*AB52-$V$15)/((1-$V$15*AK52*AB52)*$Z$15)</f>
        <v>-0.999999248665797</v>
      </c>
      <c r="AM52" s="1" t="n">
        <f aca="false">IF(ABS(AL52)&lt;=1,AL52,IF(ABS(AL52)&lt;=1.00001,1*SIGN(AL52),0))</f>
        <v>-0.999999248665797</v>
      </c>
      <c r="AN52" s="17" t="n">
        <f aca="false">IF(ISNUMBER(P52),DEGREES(ASIN( SQRT( (P52*(P52+2*$U$8)) / (S52*(S52+2*$U$10)) ) * SIN(RADIANS(B52)) ) ),"ignore")</f>
        <v>0.0187928319341268</v>
      </c>
    </row>
    <row r="53" customFormat="false" ht="12.75" hidden="false" customHeight="false" outlineLevel="0" collapsed="false">
      <c r="B53" s="1" t="n">
        <v>23</v>
      </c>
      <c r="D53" s="27" t="n">
        <f aca="false">IF(ISNUMBER(F53),IF(ABS(AI53-1)&lt;0.000001,0,IF(ABS(AI53+1)&lt;0.000001,180,ROUND(DEGREES(ACOS(AI53)),3)))," ")</f>
        <v>46.166</v>
      </c>
      <c r="F53" s="17" t="n">
        <f aca="false">IF(AG53&gt;0.0000001,$U$8*((1/SQRT(1-AG53*AG53))-1),"none")</f>
        <v>408.524918161529</v>
      </c>
      <c r="H53" s="17" t="n">
        <f aca="false">IF(ISNUMBER(F53),$Z$15*(1+AC53/AG53)/(1+$V$15*$Z$15*AI53)/AG53," ")</f>
        <v>0.269929848159748</v>
      </c>
      <c r="J53" s="27" t="n">
        <f aca="false">IF(ISNUMBER(F53),IF( AND( ( (F53*(F53+2*$U$8)*AB53*AB53) &gt; ($E$5*($E$5+2*$U$5)) ), ( B53&lt;90 ) ), 180-AJ53, AJ53)," ")</f>
        <v>19.4651806908228</v>
      </c>
      <c r="L53" s="17" t="n">
        <f aca="false">IF(ISNUMBER(F53),$E$5+$O$10-F53," ")</f>
        <v>206.675081838471</v>
      </c>
      <c r="N53" s="1" t="n">
        <f aca="false">IF(ISNUMBER(P53),B53," ")</f>
        <v>23</v>
      </c>
      <c r="O53" s="27" t="n">
        <f aca="false">IF(ISNUMBER(P53), IF( ABS(AM53-1)&lt;0.000001,0, IF(ABS(AM53+1)&lt;0.000001,180,ROUND(DEGREES(ACOS(AM53)),3)))," ")</f>
        <v>180</v>
      </c>
      <c r="P53" s="17" t="n">
        <f aca="false">IF(AK53&gt;0.0000001,$U$8*((1/SQRT(1-AK53*AK53))-1),"none")</f>
        <v>0.0013071834378231</v>
      </c>
      <c r="Q53" s="17" t="n">
        <f aca="false">IF(ISNUMBER(P53),ABS($Z$15*(1+AC53/AK53)/(1+$V$15*$Z$15*AM53)/AK53)," ")</f>
        <v>84678.5872272147</v>
      </c>
      <c r="R53" s="27" t="n">
        <f aca="false">IF(ISNUMBER(P53),IF( AND( ( (P53*(P53+2*$U$8)*AB53*AB53) &gt; ($E$5*($E$5+2*$U$5)) ), ( B53&lt;90 ) ), 180-AN53, AN53)," ")</f>
        <v>0.0197444846066229</v>
      </c>
      <c r="S53" s="17" t="n">
        <f aca="false">IF(ISNUMBER(P53),$E$5+$O$10-P53," ")</f>
        <v>615.198692816562</v>
      </c>
      <c r="AB53" s="1" t="n">
        <f aca="false">COS(RADIANS(B53))</f>
        <v>0.92050485345244</v>
      </c>
      <c r="AC53" s="1" t="n">
        <f aca="false">-$V$15*AB53</f>
        <v>-0.0615155686248437</v>
      </c>
      <c r="AD53" s="1" t="n">
        <f aca="false">$AA$15+AC53*AC53</f>
        <v>1.00375713467925</v>
      </c>
      <c r="AF53" s="1" t="n">
        <f aca="false">AC53*AC53-AD53*$AE$15</f>
        <v>0.00375703312200593</v>
      </c>
      <c r="AG53" s="1" t="n">
        <f aca="false">IF(ISNUMBER(SQRT(AF53)),(-AC53+SQRT(AF53))/AD53,-100)</f>
        <v>0.122350523101754</v>
      </c>
      <c r="AH53" s="1" t="n">
        <f aca="false">(AG53*AB53-$V$15)/((1-$V$15*AG53*AB53)*$Z$15)</f>
        <v>0.6925700589065</v>
      </c>
      <c r="AI53" s="1" t="n">
        <f aca="false">IF(ABS(AH53)&lt;=1,AH53,IF(ABS(AH53)&lt;=1.00001,1*SIGN(AH53),0))</f>
        <v>0.6925700589065</v>
      </c>
      <c r="AJ53" s="17" t="n">
        <f aca="false">DEGREES(ASIN( SQRT( (F53*(F53+2*$U$8)) / (L53*(L53+2*$U$10)) ) * SIN(RADIANS(B53))  ))</f>
        <v>19.4651806908228</v>
      </c>
      <c r="AK53" s="1" t="n">
        <f aca="false">IF(ISNUMBER(SQRT(AF53)),(-AC53-SQRT(AF53))/AD53,-100)</f>
        <v>0.000220099809934572</v>
      </c>
      <c r="AL53" s="1" t="n">
        <f aca="false">(AK53*AB53-$V$15)/((1-$V$15*AK53*AB53)*$Z$15)</f>
        <v>-0.999999170645306</v>
      </c>
      <c r="AM53" s="1" t="n">
        <f aca="false">IF(ABS(AL53)&lt;=1,AL53,IF(ABS(AL53)&lt;=1.00001,1*SIGN(AL53),0))</f>
        <v>-0.999999170645306</v>
      </c>
      <c r="AN53" s="17" t="n">
        <f aca="false">IF(ISNUMBER(P53),DEGREES(ASIN( SQRT( (P53*(P53+2*$U$8)) / (S53*(S53+2*$U$10)) ) * SIN(RADIANS(B53)) ) ),"ignore")</f>
        <v>0.0197444846066229</v>
      </c>
    </row>
    <row r="54" customFormat="false" ht="12.75" hidden="false" customHeight="false" outlineLevel="0" collapsed="false">
      <c r="B54" s="1" t="n">
        <v>24</v>
      </c>
      <c r="D54" s="27" t="n">
        <f aca="false">IF(ISNUMBER(F54),IF(ABS(AI54-1)&lt;0.000001,0,IF(ABS(AI54+1)&lt;0.000001,180,ROUND(DEGREES(ACOS(AI54)),3)))," ")</f>
        <v>48.173</v>
      </c>
      <c r="F54" s="17" t="n">
        <f aca="false">IF(AG54&gt;0.0000001,$U$8*((1/SQRT(1-AG54*AG54))-1),"none")</f>
        <v>402.325917452765</v>
      </c>
      <c r="H54" s="17" t="n">
        <f aca="false">IF(ISNUMBER(F54),$Z$15*(1+AC54/AG54)/(1+$V$15*$Z$15*AI54)/AG54," ")</f>
        <v>0.272017275687051</v>
      </c>
      <c r="J54" s="27" t="n">
        <f aca="false">IF(ISNUMBER(F54),IF( AND( ( (F54*(F54+2*$U$8)*AB54*AB54) &gt; ($E$5*($E$5+2*$U$5)) ), ( B54&lt;90 ) ), 180-AJ54, AJ54)," ")</f>
        <v>19.8269080061442</v>
      </c>
      <c r="L54" s="17" t="n">
        <f aca="false">IF(ISNUMBER(F54),$E$5+$O$10-F54," ")</f>
        <v>212.874082547236</v>
      </c>
      <c r="N54" s="1" t="n">
        <f aca="false">IF(ISNUMBER(P54),B54," ")</f>
        <v>24</v>
      </c>
      <c r="O54" s="27" t="n">
        <f aca="false">IF(ISNUMBER(P54), IF( ABS(AM54-1)&lt;0.000001,0, IF(ABS(AM54+1)&lt;0.000001,180,ROUND(DEGREES(ACOS(AM54)),3)))," ")</f>
        <v>180</v>
      </c>
      <c r="P54" s="17" t="n">
        <f aca="false">IF(AK54&gt;0.0000001,$U$8*((1/SQRT(1-AK54*AK54))-1),"none")</f>
        <v>0.00132724845758405</v>
      </c>
      <c r="Q54" s="17" t="n">
        <f aca="false">IF(ISNUMBER(P54),ABS($Z$15*(1+AC54/AK54)/(1+$V$15*$Z$15*AM54)/AK54)," ")</f>
        <v>82763.3568447296</v>
      </c>
      <c r="R54" s="27" t="n">
        <f aca="false">IF(ISNUMBER(P54),IF( AND( ( (P54*(P54+2*$U$8)*AB54*AB54) &gt; ($E$5*($E$5+2*$U$5)) ), ( B54&lt;90 ) ), 180-AN54, AN54)," ")</f>
        <v>0.0207104218141539</v>
      </c>
      <c r="S54" s="17" t="n">
        <f aca="false">IF(ISNUMBER(P54),$E$5+$O$10-P54," ")</f>
        <v>615.198672751543</v>
      </c>
      <c r="AB54" s="1" t="n">
        <f aca="false">COS(RADIANS(B54))</f>
        <v>0.913545457642601</v>
      </c>
      <c r="AC54" s="1" t="n">
        <f aca="false">-$V$15*AB54</f>
        <v>-0.0610504855903307</v>
      </c>
      <c r="AD54" s="1" t="n">
        <f aca="false">$AA$15+AC54*AC54</f>
        <v>1.00370013128683</v>
      </c>
      <c r="AF54" s="1" t="n">
        <f aca="false">AC54*AC54-AD54*$AE$15</f>
        <v>0.00370003127041368</v>
      </c>
      <c r="AG54" s="1" t="n">
        <f aca="false">IF(ISNUMBER(SQRT(AF54)),(-AC54+SQRT(AF54))/AD54,-100)</f>
        <v>0.121429064453472</v>
      </c>
      <c r="AH54" s="1" t="n">
        <f aca="false">(AG54*AB54-$V$15)/((1-$V$15*AG54*AB54)*$Z$15)</f>
        <v>0.666886750594152</v>
      </c>
      <c r="AI54" s="1" t="n">
        <f aca="false">IF(ABS(AH54)&lt;=1,AH54,IF(ABS(AH54)&lt;=1.00001,1*SIGN(AH54),0))</f>
        <v>0.666886750594152</v>
      </c>
      <c r="AJ54" s="17" t="n">
        <f aca="false">DEGREES(ASIN( SQRT( (F54*(F54+2*$U$8)) / (L54*(L54+2*$U$10)) ) * SIN(RADIANS(B54))  ))</f>
        <v>19.8269080061442</v>
      </c>
      <c r="AK54" s="1" t="n">
        <f aca="false">IF(ISNUMBER(SQRT(AF54)),(-AC54-SQRT(AF54))/AD54,-100)</f>
        <v>0.000221782621856586</v>
      </c>
      <c r="AL54" s="1" t="n">
        <f aca="false">(AK54*AB54-$V$15)/((1-$V$15*AK54*AB54)*$Z$15)</f>
        <v>-0.999999087513194</v>
      </c>
      <c r="AM54" s="1" t="n">
        <f aca="false">IF(ABS(AL54)&lt;=1,AL54,IF(ABS(AL54)&lt;=1.00001,1*SIGN(AL54),0))</f>
        <v>-0.999999087513194</v>
      </c>
      <c r="AN54" s="17" t="n">
        <f aca="false">IF(ISNUMBER(P54),DEGREES(ASIN( SQRT( (P54*(P54+2*$U$8)) / (S54*(S54+2*$U$10)) ) * SIN(RADIANS(B54)) ) ),"ignore")</f>
        <v>0.0207104218141539</v>
      </c>
    </row>
    <row r="55" customFormat="false" ht="12.75" hidden="false" customHeight="false" outlineLevel="0" collapsed="false">
      <c r="B55" s="1" t="n">
        <v>25</v>
      </c>
      <c r="D55" s="27" t="n">
        <f aca="false">IF(ISNUMBER(F55),IF(ABS(AI55-1)&lt;0.000001,0,IF(ABS(AI55+1)&lt;0.000001,180,ROUND(DEGREES(ACOS(AI55)),3)))," ")</f>
        <v>50.179</v>
      </c>
      <c r="F55" s="17" t="n">
        <f aca="false">IF(AG55&gt;0.0000001,$U$8*((1/SQRT(1-AG55*AG55))-1),"none")</f>
        <v>395.929693836628</v>
      </c>
      <c r="H55" s="17" t="n">
        <f aca="false">IF(ISNUMBER(F55),$Z$15*(1+AC55/AG55)/(1+$V$15*$Z$15*AI55)/AG55," ")</f>
        <v>0.27422192464918</v>
      </c>
      <c r="J55" s="27" t="n">
        <f aca="false">IF(ISNUMBER(F55),IF( AND( ( (F55*(F55+2*$U$8)*AB55*AB55) &gt; ($E$5*($E$5+2*$U$5)) ), ( B55&lt;90 ) ), 180-AJ55, AJ55)," ")</f>
        <v>20.1488384244919</v>
      </c>
      <c r="L55" s="17" t="n">
        <f aca="false">IF(ISNUMBER(F55),$E$5+$O$10-F55," ")</f>
        <v>219.270306163372</v>
      </c>
      <c r="N55" s="1" t="n">
        <f aca="false">IF(ISNUMBER(P55),B55," ")</f>
        <v>25</v>
      </c>
      <c r="O55" s="27" t="n">
        <f aca="false">IF(ISNUMBER(P55), IF( ABS(AM55-1)&lt;0.000001,0, IF(ABS(AM55+1)&lt;0.000001,180,ROUND(DEGREES(ACOS(AM55)),3)))," ")</f>
        <v>179.919</v>
      </c>
      <c r="P55" s="17" t="n">
        <f aca="false">IF(AK55&gt;0.0000001,$U$8*((1/SQRT(1-AK55*AK55))-1),"none")</f>
        <v>0.00134861046287088</v>
      </c>
      <c r="Q55" s="17" t="n">
        <f aca="false">IF(ISNUMBER(P55),ABS($Z$15*(1+AC55/AK55)/(1+$V$15*$Z$15*AM55)/AK55)," ")</f>
        <v>80802.3352526271</v>
      </c>
      <c r="R55" s="27" t="n">
        <f aca="false">IF(ISNUMBER(P55),IF( AND( ( (P55*(P55+2*$U$8)*AB55*AB55) &gt; ($E$5*($E$5+2*$U$5)) ), ( B55&lt;90 ) ), 180-AN55, AN55)," ")</f>
        <v>0.0216915736650465</v>
      </c>
      <c r="S55" s="17" t="n">
        <f aca="false">IF(ISNUMBER(P55),$E$5+$O$10-P55," ")</f>
        <v>615.198651389537</v>
      </c>
      <c r="AB55" s="1" t="n">
        <f aca="false">COS(RADIANS(B55))</f>
        <v>0.90630778703665</v>
      </c>
      <c r="AC55" s="1" t="n">
        <f aca="false">-$V$15*AB55</f>
        <v>-0.0605668059864976</v>
      </c>
      <c r="AD55" s="1" t="n">
        <f aca="false">$AA$15+AC55*AC55</f>
        <v>1.00364130748342</v>
      </c>
      <c r="AF55" s="1" t="n">
        <f aca="false">AC55*AC55-AD55*$AE$15</f>
        <v>0.00364120905704158</v>
      </c>
      <c r="AG55" s="1" t="n">
        <f aca="false">IF(ISNUMBER(SQRT(AF55)),(-AC55+SQRT(AF55))/AD55,-100)</f>
        <v>0.120470567255161</v>
      </c>
      <c r="AH55" s="1" t="n">
        <f aca="false">(AG55*AB55-$V$15)/((1-$V$15*AG55*AB55)*$Z$15)</f>
        <v>0.640386320785269</v>
      </c>
      <c r="AI55" s="1" t="n">
        <f aca="false">IF(ABS(AH55)&lt;=1,AH55,IF(ABS(AH55)&lt;=1.00001,1*SIGN(AH55),0))</f>
        <v>0.640386320785269</v>
      </c>
      <c r="AJ55" s="17" t="n">
        <f aca="false">DEGREES(ASIN( SQRT( (F55*(F55+2*$U$8)) / (L55*(L55+2*$U$10)) ) * SIN(RADIANS(B55))  ))</f>
        <v>20.1488384244919</v>
      </c>
      <c r="AK55" s="1" t="n">
        <f aca="false">IF(ISNUMBER(SQRT(AF55)),(-AC55-SQRT(AF55))/AD55,-100)</f>
        <v>0.000223560288007062</v>
      </c>
      <c r="AL55" s="1" t="n">
        <f aca="false">(AK55*AB55-$V$15)/((1-$V$15*AK55*AB55)*$Z$15)</f>
        <v>-0.999998999007494</v>
      </c>
      <c r="AM55" s="1" t="n">
        <f aca="false">IF(ABS(AL55)&lt;=1,AL55,IF(ABS(AL55)&lt;=1.00001,1*SIGN(AL55),0))</f>
        <v>-0.999998999007494</v>
      </c>
      <c r="AN55" s="17" t="n">
        <f aca="false">IF(ISNUMBER(P55),DEGREES(ASIN( SQRT( (P55*(P55+2*$U$8)) / (S55*(S55+2*$U$10)) ) * SIN(RADIANS(B55)) ) ),"ignore")</f>
        <v>0.0216915736650465</v>
      </c>
    </row>
    <row r="56" customFormat="false" ht="12.75" hidden="false" customHeight="false" outlineLevel="0" collapsed="false">
      <c r="B56" s="1" t="n">
        <v>26</v>
      </c>
      <c r="D56" s="27" t="n">
        <f aca="false">IF(ISNUMBER(F56),IF(ABS(AI56-1)&lt;0.000001,0,IF(ABS(AI56+1)&lt;0.000001,180,ROUND(DEGREES(ACOS(AI56)),3)))," ")</f>
        <v>52.186</v>
      </c>
      <c r="F56" s="17" t="n">
        <f aca="false">IF(AG56&gt;0.0000001,$U$8*((1/SQRT(1-AG56*AG56))-1),"none")</f>
        <v>389.3441086111</v>
      </c>
      <c r="H56" s="17" t="n">
        <f aca="false">IF(ISNUMBER(F56),$Z$15*(1+AC56/AG56)/(1+$V$15*$Z$15*AI56)/AG56," ")</f>
        <v>0.276547956485293</v>
      </c>
      <c r="J56" s="27" t="n">
        <f aca="false">IF(ISNUMBER(F56),IF( AND( ( (F56*(F56+2*$U$8)*AB56*AB56) &gt; ($E$5*($E$5+2*$U$5)) ), ( B56&lt;90 ) ), 180-AJ56, AJ56)," ")</f>
        <v>20.4321106805731</v>
      </c>
      <c r="L56" s="17" t="n">
        <f aca="false">IF(ISNUMBER(F56),$E$5+$O$10-F56," ")</f>
        <v>225.8558913889</v>
      </c>
      <c r="N56" s="1" t="n">
        <f aca="false">IF(ISNUMBER(P56),B56," ")</f>
        <v>26</v>
      </c>
      <c r="O56" s="27" t="n">
        <f aca="false">IF(ISNUMBER(P56), IF( ABS(AM56-1)&lt;0.000001,0, IF(ABS(AM56+1)&lt;0.000001,180,ROUND(DEGREES(ACOS(AM56)),3)))," ")</f>
        <v>179.915</v>
      </c>
      <c r="P56" s="17" t="n">
        <f aca="false">IF(AK56&gt;0.0000001,$U$8*((1/SQRT(1-AK56*AK56))-1),"none")</f>
        <v>0.00137133823639639</v>
      </c>
      <c r="Q56" s="17" t="n">
        <f aca="false">IF(ISNUMBER(P56),ABS($Z$15*(1+AC56/AK56)/(1+$V$15*$Z$15*AM56)/AK56)," ")</f>
        <v>78799.4630434267</v>
      </c>
      <c r="R56" s="27" t="n">
        <f aca="false">IF(ISNUMBER(P56),IF( AND( ( (P56*(P56+2*$U$8)*AB56*AB56) &gt; ($E$5*($E$5+2*$U$5)) ), ( B56&lt;90 ) ), 180-AN56, AN56)," ")</f>
        <v>0.0226889188381549</v>
      </c>
      <c r="S56" s="17" t="n">
        <f aca="false">IF(ISNUMBER(P56),$E$5+$O$10-P56," ")</f>
        <v>615.198628661764</v>
      </c>
      <c r="AB56" s="1" t="n">
        <f aca="false">COS(RADIANS(B56))</f>
        <v>0.898794046299167</v>
      </c>
      <c r="AC56" s="1" t="n">
        <f aca="false">-$V$15*AB56</f>
        <v>-0.0600646771468371</v>
      </c>
      <c r="AD56" s="1" t="n">
        <f aca="false">$AA$15+AC56*AC56</f>
        <v>1.00358073493677</v>
      </c>
      <c r="AF56" s="1" t="n">
        <f aca="false">AC56*AC56-AD56*$AE$15</f>
        <v>0.00358063814769578</v>
      </c>
      <c r="AG56" s="1" t="n">
        <f aca="false">IF(ISNUMBER(SQRT(AF56)),(-AC56+SQRT(AF56))/AD56,-100)</f>
        <v>0.119475301461036</v>
      </c>
      <c r="AH56" s="1" t="n">
        <f aca="false">(AG56*AB56-$V$15)/((1-$V$15*AG56*AB56)*$Z$15)</f>
        <v>0.613101339913212</v>
      </c>
      <c r="AI56" s="1" t="n">
        <f aca="false">IF(ABS(AH56)&lt;=1,AH56,IF(ABS(AH56)&lt;=1.00001,1*SIGN(AH56),0))</f>
        <v>0.613101339913212</v>
      </c>
      <c r="AJ56" s="17" t="n">
        <f aca="false">DEGREES(ASIN( SQRT( (F56*(F56+2*$U$8)) / (L56*(L56+2*$U$10)) ) * SIN(RADIANS(B56))  ))</f>
        <v>20.4321106805731</v>
      </c>
      <c r="AK56" s="1" t="n">
        <f aca="false">IF(ISNUMBER(SQRT(AF56)),(-AC56-SQRT(AF56))/AD56,-100)</f>
        <v>0.000225436219269409</v>
      </c>
      <c r="AL56" s="1" t="n">
        <f aca="false">(AK56*AB56-$V$15)/((1-$V$15*AK56*AB56)*$Z$15)</f>
        <v>-0.999998904843172</v>
      </c>
      <c r="AM56" s="1" t="n">
        <f aca="false">IF(ABS(AL56)&lt;=1,AL56,IF(ABS(AL56)&lt;=1.00001,1*SIGN(AL56),0))</f>
        <v>-0.999998904843172</v>
      </c>
      <c r="AN56" s="17" t="n">
        <f aca="false">IF(ISNUMBER(P56),DEGREES(ASIN( SQRT( (P56*(P56+2*$U$8)) / (S56*(S56+2*$U$10)) ) * SIN(RADIANS(B56)) ) ),"ignore")</f>
        <v>0.0226889188381549</v>
      </c>
    </row>
    <row r="57" customFormat="false" ht="12.75" hidden="false" customHeight="false" outlineLevel="0" collapsed="false">
      <c r="B57" s="1" t="n">
        <v>27</v>
      </c>
      <c r="D57" s="27" t="n">
        <f aca="false">IF(ISNUMBER(F57),IF(ABS(AI57-1)&lt;0.000001,0,IF(ABS(AI57+1)&lt;0.000001,180,ROUND(DEGREES(ACOS(AI57)),3)))," ")</f>
        <v>54.192</v>
      </c>
      <c r="F57" s="17" t="n">
        <f aca="false">IF(AG57&gt;0.0000001,$U$8*((1/SQRT(1-AG57*AG57))-1),"none")</f>
        <v>382.577252908912</v>
      </c>
      <c r="H57" s="17" t="n">
        <f aca="false">IF(ISNUMBER(F57),$Z$15*(1+AC57/AG57)/(1+$V$15*$Z$15*AI57)/AG57," ")</f>
        <v>0.27899984609094</v>
      </c>
      <c r="J57" s="27" t="n">
        <f aca="false">IF(ISNUMBER(F57),IF( AND( ( (F57*(F57+2*$U$8)*AB57*AB57) &gt; ($E$5*($E$5+2*$U$5)) ), ( B57&lt;90 ) ), 180-AJ57, AJ57)," ")</f>
        <v>20.6779082830892</v>
      </c>
      <c r="L57" s="17" t="n">
        <f aca="false">IF(ISNUMBER(F57),$E$5+$O$10-F57," ")</f>
        <v>232.622747091088</v>
      </c>
      <c r="N57" s="1" t="n">
        <f aca="false">IF(ISNUMBER(P57),B57," ")</f>
        <v>27</v>
      </c>
      <c r="O57" s="27" t="n">
        <f aca="false">IF(ISNUMBER(P57), IF( ABS(AM57-1)&lt;0.000001,0, IF(ABS(AM57+1)&lt;0.000001,180,ROUND(DEGREES(ACOS(AM57)),3)))," ")</f>
        <v>179.911</v>
      </c>
      <c r="P57" s="17" t="n">
        <f aca="false">IF(AK57&gt;0.0000001,$U$8*((1/SQRT(1-AK57*AK57))-1),"none")</f>
        <v>0.00139550668421243</v>
      </c>
      <c r="Q57" s="17" t="n">
        <f aca="false">IF(ISNUMBER(P57),ABS($Z$15*(1+AC57/AK57)/(1+$V$15*$Z$15*AM57)/AK57)," ")</f>
        <v>76758.7408053141</v>
      </c>
      <c r="R57" s="27" t="n">
        <f aca="false">IF(ISNUMBER(P57),IF( AND( ( (P57*(P57+2*$U$8)*AB57*AB57) &gt; ($E$5*($E$5+2*$U$5)) ), ( B57&lt;90 ) ), 180-AN57, AN57)," ")</f>
        <v>0.0237034893434004</v>
      </c>
      <c r="S57" s="17" t="n">
        <f aca="false">IF(ISNUMBER(P57),$E$5+$O$10-P57," ")</f>
        <v>615.198604493316</v>
      </c>
      <c r="AB57" s="1" t="n">
        <f aca="false">COS(RADIANS(B57))</f>
        <v>0.891006524188368</v>
      </c>
      <c r="AC57" s="1" t="n">
        <f aca="false">-$V$15*AB57</f>
        <v>-0.0595442520246581</v>
      </c>
      <c r="AD57" s="1" t="n">
        <f aca="false">$AA$15+AC57*AC57</f>
        <v>1.00351848744519</v>
      </c>
      <c r="AF57" s="1" t="n">
        <f aca="false">AC57*AC57-AD57*$AE$15</f>
        <v>0.00351839233869908</v>
      </c>
      <c r="AG57" s="1" t="n">
        <f aca="false">IF(ISNUMBER(SQRT(AF57)),(-AC57+SQRT(AF57))/AD57,-100)</f>
        <v>0.118443547675778</v>
      </c>
      <c r="AH57" s="1" t="n">
        <f aca="false">(AG57*AB57-$V$15)/((1-$V$15*AG57*AB57)*$Z$15)</f>
        <v>0.585065330648222</v>
      </c>
      <c r="AI57" s="1" t="n">
        <f aca="false">IF(ABS(AH57)&lt;=1,AH57,IF(ABS(AH57)&lt;=1.00001,1*SIGN(AH57),0))</f>
        <v>0.585065330648222</v>
      </c>
      <c r="AJ57" s="17" t="n">
        <f aca="false">DEGREES(ASIN( SQRT( (F57*(F57+2*$U$8)) / (L57*(L57+2*$U$10)) ) * SIN(RADIANS(B57))  ))</f>
        <v>20.6779082830892</v>
      </c>
      <c r="AK57" s="1" t="n">
        <f aca="false">IF(ISNUMBER(SQRT(AF57)),(-AC57-SQRT(AF57))/AD57,-100)</f>
        <v>0.000227414084476217</v>
      </c>
      <c r="AL57" s="1" t="n">
        <f aca="false">(AK57*AB57-$V$15)/((1-$V$15*AK57*AB57)*$Z$15)</f>
        <v>-0.999998804710028</v>
      </c>
      <c r="AM57" s="1" t="n">
        <f aca="false">IF(ABS(AL57)&lt;=1,AL57,IF(ABS(AL57)&lt;=1.00001,1*SIGN(AL57),0))</f>
        <v>-0.999998804710028</v>
      </c>
      <c r="AN57" s="17" t="n">
        <f aca="false">IF(ISNUMBER(P57),DEGREES(ASIN( SQRT( (P57*(P57+2*$U$8)) / (S57*(S57+2*$U$10)) ) * SIN(RADIANS(B57)) ) ),"ignore")</f>
        <v>0.0237034893434004</v>
      </c>
    </row>
    <row r="58" customFormat="false" ht="12.75" hidden="false" customHeight="false" outlineLevel="0" collapsed="false">
      <c r="B58" s="1" t="n">
        <v>28</v>
      </c>
      <c r="D58" s="27" t="n">
        <f aca="false">IF(ISNUMBER(F58),IF(ABS(AI58-1)&lt;0.000001,0,IF(ABS(AI58+1)&lt;0.000001,180,ROUND(DEGREES(ACOS(AI58)),3)))," ")</f>
        <v>56.199</v>
      </c>
      <c r="F58" s="17" t="n">
        <f aca="false">IF(AG58&gt;0.0000001,$U$8*((1/SQRT(1-AG58*AG58))-1),"none")</f>
        <v>375.637437508345</v>
      </c>
      <c r="H58" s="17" t="n">
        <f aca="false">IF(ISNUMBER(F58),$Z$15*(1+AC58/AG58)/(1+$V$15*$Z$15*AI58)/AG58," ")</f>
        <v>0.28158240504</v>
      </c>
      <c r="J58" s="27" t="n">
        <f aca="false">IF(ISNUMBER(F58),IF( AND( ( (F58*(F58+2*$U$8)*AB58*AB58) &gt; ($E$5*($E$5+2*$U$5)) ), ( B58&lt;90 ) ), 180-AJ58, AJ58)," ")</f>
        <v>20.8874449325119</v>
      </c>
      <c r="L58" s="17" t="n">
        <f aca="false">IF(ISNUMBER(F58),$E$5+$O$10-F58," ")</f>
        <v>239.562562491656</v>
      </c>
      <c r="N58" s="1" t="n">
        <f aca="false">IF(ISNUMBER(P58),B58," ")</f>
        <v>28</v>
      </c>
      <c r="O58" s="27" t="n">
        <f aca="false">IF(ISNUMBER(P58), IF( ABS(AM58-1)&lt;0.000001,0, IF(ABS(AM58+1)&lt;0.000001,180,ROUND(DEGREES(ACOS(AM58)),3)))," ")</f>
        <v>179.908</v>
      </c>
      <c r="P58" s="17" t="n">
        <f aca="false">IF(AK58&gt;0.0000001,$U$8*((1/SQRT(1-AK58*AK58))-1),"none")</f>
        <v>0.00142119729106586</v>
      </c>
      <c r="Q58" s="17" t="n">
        <f aca="false">IF(ISNUMBER(P58),ABS($Z$15*(1+AC58/AK58)/(1+$V$15*$Z$15*AM58)/AK58)," ")</f>
        <v>74684.218610405</v>
      </c>
      <c r="R58" s="27" t="n">
        <f aca="false">IF(ISNUMBER(P58),IF( AND( ( (P58*(P58+2*$U$8)*AB58*AB58) &gt; ($E$5*($E$5+2*$U$5)) ), ( B58&lt;90 ) ), 180-AN58, AN58)," ")</f>
        <v>0.0247363742911337</v>
      </c>
      <c r="S58" s="17" t="n">
        <f aca="false">IF(ISNUMBER(P58),$E$5+$O$10-P58," ")</f>
        <v>615.198578802709</v>
      </c>
      <c r="AB58" s="1" t="n">
        <f aca="false">COS(RADIANS(B58))</f>
        <v>0.882947592858927</v>
      </c>
      <c r="AC58" s="1" t="n">
        <f aca="false">-$V$15*AB58</f>
        <v>-0.0590056891464942</v>
      </c>
      <c r="AD58" s="1" t="n">
        <f aca="false">$AA$15+AC58*AC58</f>
        <v>1.00345464084766</v>
      </c>
      <c r="AF58" s="1" t="n">
        <f aca="false">AC58*AC58-AD58*$AE$15</f>
        <v>0.0034545474669815</v>
      </c>
      <c r="AG58" s="1" t="n">
        <f aca="false">IF(ISNUMBER(SQRT(AF58)),(-AC58+SQRT(AF58))/AD58,-100)</f>
        <v>0.117375597098481</v>
      </c>
      <c r="AH58" s="1" t="n">
        <f aca="false">(AG58*AB58-$V$15)/((1-$V$15*AG58*AB58)*$Z$15)</f>
        <v>0.556312725682149</v>
      </c>
      <c r="AI58" s="1" t="n">
        <f aca="false">IF(ABS(AH58)&lt;=1,AH58,IF(ABS(AH58)&lt;=1.00001,1*SIGN(AH58),0))</f>
        <v>0.556312725682149</v>
      </c>
      <c r="AJ58" s="17" t="n">
        <f aca="false">DEGREES(ASIN( SQRT( (F58*(F58+2*$U$8)) / (L58*(L58+2*$U$10)) ) * SIN(RADIANS(B58))  ))</f>
        <v>20.8874449325119</v>
      </c>
      <c r="AK58" s="1" t="n">
        <f aca="false">IF(ISNUMBER(SQRT(AF58)),(-AC58-SQRT(AF58))/AD58,-100)</f>
        <v>0.000229497829674881</v>
      </c>
      <c r="AL58" s="1" t="n">
        <f aca="false">(AK58*AB58-$V$15)/((1-$V$15*AK58*AB58)*$Z$15)</f>
        <v>-0.999998698270339</v>
      </c>
      <c r="AM58" s="1" t="n">
        <f aca="false">IF(ABS(AL58)&lt;=1,AL58,IF(ABS(AL58)&lt;=1.00001,1*SIGN(AL58),0))</f>
        <v>-0.999998698270339</v>
      </c>
      <c r="AN58" s="17" t="n">
        <f aca="false">IF(ISNUMBER(P58),DEGREES(ASIN( SQRT( (P58*(P58+2*$U$8)) / (S58*(S58+2*$U$10)) ) * SIN(RADIANS(B58)) ) ),"ignore")</f>
        <v>0.0247363742911337</v>
      </c>
    </row>
    <row r="59" customFormat="false" ht="12.75" hidden="false" customHeight="false" outlineLevel="0" collapsed="false">
      <c r="B59" s="1" t="n">
        <v>29</v>
      </c>
      <c r="D59" s="27" t="n">
        <f aca="false">IF(ISNUMBER(F59),IF(ABS(AI59-1)&lt;0.000001,0,IF(ABS(AI59+1)&lt;0.000001,180,ROUND(DEGREES(ACOS(AI59)),3)))," ")</f>
        <v>58.205</v>
      </c>
      <c r="F59" s="17" t="n">
        <f aca="false">IF(AG59&gt;0.0000001,$U$8*((1/SQRT(1-AG59*AG59))-1),"none")</f>
        <v>368.533182382379</v>
      </c>
      <c r="H59" s="17" t="n">
        <f aca="false">IF(ISNUMBER(F59),$Z$15*(1+AC59/AG59)/(1+$V$15*$Z$15*AI59)/AG59," ")</f>
        <v>0.284300807198577</v>
      </c>
      <c r="J59" s="27" t="n">
        <f aca="false">IF(ISNUMBER(F59),IF( AND( ( (F59*(F59+2*$U$8)*AB59*AB59) &gt; ($E$5*($E$5+2*$U$5)) ), ( B59&lt;90 ) ), 180-AJ59, AJ59)," ")</f>
        <v>21.0619518911057</v>
      </c>
      <c r="L59" s="17" t="n">
        <f aca="false">IF(ISNUMBER(F59),$E$5+$O$10-F59," ")</f>
        <v>246.666817617621</v>
      </c>
      <c r="N59" s="1" t="n">
        <f aca="false">IF(ISNUMBER(P59),B59," ")</f>
        <v>29</v>
      </c>
      <c r="O59" s="27" t="n">
        <f aca="false">IF(ISNUMBER(P59), IF( ABS(AM59-1)&lt;0.000001,0, IF(ABS(AM59+1)&lt;0.000001,180,ROUND(DEGREES(ACOS(AM59)),3)))," ")</f>
        <v>179.904</v>
      </c>
      <c r="P59" s="17" t="n">
        <f aca="false">IF(AK59&gt;0.0000001,$U$8*((1/SQRT(1-AK59*AK59))-1),"none")</f>
        <v>0.00144849885136465</v>
      </c>
      <c r="Q59" s="17" t="n">
        <f aca="false">IF(ISNUMBER(P59),ABS($Z$15*(1+AC59/AK59)/(1+$V$15*$Z$15*AM59)/AK59)," ")</f>
        <v>72579.9853840171</v>
      </c>
      <c r="R59" s="27" t="n">
        <f aca="false">IF(ISNUMBER(P59),IF( AND( ( (P59*(P59+2*$U$8)*AB59*AB59) &gt; ($E$5*($E$5+2*$U$5)) ), ( B59&lt;90 ) ), 180-AN59, AN59)," ")</f>
        <v>0.0257887258148946</v>
      </c>
      <c r="S59" s="17" t="n">
        <f aca="false">IF(ISNUMBER(P59),$E$5+$O$10-P59," ")</f>
        <v>615.198551501149</v>
      </c>
      <c r="AB59" s="1" t="n">
        <f aca="false">COS(RADIANS(B59))</f>
        <v>0.874619707139396</v>
      </c>
      <c r="AC59" s="1" t="n">
        <f aca="false">-$V$15*AB59</f>
        <v>-0.0584491525638154</v>
      </c>
      <c r="AD59" s="1" t="n">
        <f aca="false">$AA$15+AC59*AC59</f>
        <v>1.00338927293144</v>
      </c>
      <c r="AF59" s="1" t="n">
        <f aca="false">AC59*AC59-AD59*$AE$15</f>
        <v>0.00338918131768468</v>
      </c>
      <c r="AG59" s="1" t="n">
        <f aca="false">IF(ISNUMBER(SQRT(AF59)),(-AC59+SQRT(AF59))/AD59,-100)</f>
        <v>0.116271751461911</v>
      </c>
      <c r="AH59" s="1" t="n">
        <f aca="false">(AG59*AB59-$V$15)/((1-$V$15*AG59*AB59)*$Z$15)</f>
        <v>0.526878824429065</v>
      </c>
      <c r="AI59" s="1" t="n">
        <f aca="false">IF(ABS(AH59)&lt;=1,AH59,IF(ABS(AH59)&lt;=1.00001,1*SIGN(AH59),0))</f>
        <v>0.526878824429065</v>
      </c>
      <c r="AJ59" s="17" t="n">
        <f aca="false">DEGREES(ASIN( SQRT( (F59*(F59+2*$U$8)) / (L59*(L59+2*$U$10)) ) * SIN(RADIANS(B59))  ))</f>
        <v>21.0619518911057</v>
      </c>
      <c r="AK59" s="1" t="n">
        <f aca="false">IF(ISNUMBER(SQRT(AF59)),(-AC59-SQRT(AF59))/AD59,-100)</f>
        <v>0.000231691699393811</v>
      </c>
      <c r="AL59" s="1" t="n">
        <f aca="false">(AK59*AB59-$V$15)/((1-$V$15*AK59*AB59)*$Z$15)</f>
        <v>-0.999998585156232</v>
      </c>
      <c r="AM59" s="1" t="n">
        <f aca="false">IF(ABS(AL59)&lt;=1,AL59,IF(ABS(AL59)&lt;=1.00001,1*SIGN(AL59),0))</f>
        <v>-0.999998585156232</v>
      </c>
      <c r="AN59" s="17" t="n">
        <f aca="false">IF(ISNUMBER(P59),DEGREES(ASIN( SQRT( (P59*(P59+2*$U$8)) / (S59*(S59+2*$U$10)) ) * SIN(RADIANS(B59)) ) ),"ignore")</f>
        <v>0.0257887258148946</v>
      </c>
    </row>
    <row r="60" customFormat="false" ht="12.75" hidden="false" customHeight="false" outlineLevel="0" collapsed="false">
      <c r="B60" s="1" t="n">
        <v>30</v>
      </c>
      <c r="D60" s="27" t="n">
        <f aca="false">IF(ISNUMBER(F60),IF(ABS(AI60-1)&lt;0.000001,0,IF(ABS(AI60+1)&lt;0.000001,180,ROUND(DEGREES(ACOS(AI60)),3)))," ")</f>
        <v>60.212</v>
      </c>
      <c r="F60" s="17" t="n">
        <f aca="false">IF(AG60&gt;0.0000001,$U$8*((1/SQRT(1-AG60*AG60))-1),"none")</f>
        <v>361.273206000469</v>
      </c>
      <c r="H60" s="17" t="n">
        <f aca="false">IF(ISNUMBER(F60),$Z$15*(1+AC60/AG60)/(1+$V$15*$Z$15*AI60)/AG60," ")</f>
        <v>0.287160617003458</v>
      </c>
      <c r="J60" s="27" t="n">
        <f aca="false">IF(ISNUMBER(F60),IF( AND( ( (F60*(F60+2*$U$8)*AB60*AB60) &gt; ($E$5*($E$5+2*$U$5)) ), ( B60&lt;90 ) ), 180-AJ60, AJ60)," ")</f>
        <v>21.2026671624743</v>
      </c>
      <c r="L60" s="17" t="n">
        <f aca="false">IF(ISNUMBER(F60),$E$5+$O$10-F60," ")</f>
        <v>253.926793999531</v>
      </c>
      <c r="N60" s="1" t="n">
        <f aca="false">IF(ISNUMBER(P60),B60," ")</f>
        <v>30</v>
      </c>
      <c r="O60" s="27" t="n">
        <f aca="false">IF(ISNUMBER(P60), IF( ABS(AM60-1)&lt;0.000001,0, IF(ABS(AM60+1)&lt;0.000001,180,ROUND(DEGREES(ACOS(AM60)),3)))," ")</f>
        <v>179.9</v>
      </c>
      <c r="P60" s="17" t="n">
        <f aca="false">IF(AK60&gt;0.0000001,$U$8*((1/SQRT(1-AK60*AK60))-1),"none")</f>
        <v>0.0014775081522118</v>
      </c>
      <c r="Q60" s="17" t="n">
        <f aca="false">IF(ISNUMBER(P60),ABS($Z$15*(1+AC60/AK60)/(1+$V$15*$Z$15*AM60)/AK60)," ")</f>
        <v>70450.1581837351</v>
      </c>
      <c r="R60" s="27" t="n">
        <f aca="false">IF(ISNUMBER(P60),IF( AND( ( (P60*(P60+2*$U$8)*AB60*AB60) &gt; ($E$5*($E$5+2*$U$5)) ), ( B60&lt;90 ) ), 180-AN60, AN60)," ")</f>
        <v>0.0268617644769548</v>
      </c>
      <c r="S60" s="17" t="n">
        <f aca="false">IF(ISNUMBER(P60),$E$5+$O$10-P60," ")</f>
        <v>615.198522491848</v>
      </c>
      <c r="AB60" s="1" t="n">
        <f aca="false">COS(RADIANS(B60))</f>
        <v>0.866025403784439</v>
      </c>
      <c r="AC60" s="1" t="n">
        <f aca="false">-$V$15*AB60</f>
        <v>-0.0578748118030561</v>
      </c>
      <c r="AD60" s="1" t="n">
        <f aca="false">$AA$15+AC60*AC60</f>
        <v>1.00332246333725</v>
      </c>
      <c r="AF60" s="1" t="n">
        <f aca="false">AC60*AC60-AD60*$AE$15</f>
        <v>0.00332237352939267</v>
      </c>
      <c r="AG60" s="1" t="n">
        <f aca="false">IF(ISNUMBER(SQRT(AF60)),(-AC60+SQRT(AF60))/AD60,-100)</f>
        <v>0.115132322966697</v>
      </c>
      <c r="AH60" s="1" t="n">
        <f aca="false">(AG60*AB60-$V$15)/((1-$V$15*AG60*AB60)*$Z$15)</f>
        <v>0.496799748701014</v>
      </c>
      <c r="AI60" s="1" t="n">
        <f aca="false">IF(ABS(AH60)&lt;=1,AH60,IF(ABS(AH60)&lt;=1.00001,1*SIGN(AH60),0))</f>
        <v>0.496799748701014</v>
      </c>
      <c r="AJ60" s="17" t="n">
        <f aca="false">DEGREES(ASIN( SQRT( (F60*(F60+2*$U$8)) / (L60*(L60+2*$U$10)) ) * SIN(RADIANS(B60))  ))</f>
        <v>21.2026671624743</v>
      </c>
      <c r="AK60" s="1" t="n">
        <f aca="false">IF(ISNUMBER(SQRT(AF60)),(-AC60-SQRT(AF60))/AD60,-100)</f>
        <v>0.000234000260140145</v>
      </c>
      <c r="AL60" s="1" t="n">
        <f aca="false">(AK60*AB60-$V$15)/((1-$V$15*AK60*AB60)*$Z$15)</f>
        <v>-0.999998464966727</v>
      </c>
      <c r="AM60" s="1" t="n">
        <f aca="false">IF(ABS(AL60)&lt;=1,AL60,IF(ABS(AL60)&lt;=1.00001,1*SIGN(AL60),0))</f>
        <v>-0.999998464966727</v>
      </c>
      <c r="AN60" s="17" t="n">
        <f aca="false">IF(ISNUMBER(P60),DEGREES(ASIN( SQRT( (P60*(P60+2*$U$8)) / (S60*(S60+2*$U$10)) ) * SIN(RADIANS(B60)) ) ),"ignore")</f>
        <v>0.0268617644769548</v>
      </c>
    </row>
    <row r="61" customFormat="false" ht="12.75" hidden="false" customHeight="false" outlineLevel="0" collapsed="false">
      <c r="B61" s="1" t="n">
        <v>31</v>
      </c>
      <c r="D61" s="27" t="n">
        <f aca="false">IF(ISNUMBER(F61),IF(ABS(AI61-1)&lt;0.000001,0,IF(ABS(AI61+1)&lt;0.000001,180,ROUND(DEGREES(ACOS(AI61)),3)))," ")</f>
        <v>62.218</v>
      </c>
      <c r="F61" s="17" t="n">
        <f aca="false">IF(AG61&gt;0.0000001,$U$8*((1/SQRT(1-AG61*AG61))-1),"none")</f>
        <v>353.866414397457</v>
      </c>
      <c r="H61" s="17" t="n">
        <f aca="false">IF(ISNUMBER(F61),$Z$15*(1+AC61/AG61)/(1+$V$15*$Z$15*AI61)/AG61," ")</f>
        <v>0.290167820715149</v>
      </c>
      <c r="J61" s="27" t="n">
        <f aca="false">IF(ISNUMBER(F61),IF( AND( ( (F61*(F61+2*$U$8)*AB61*AB61) &gt; ($E$5*($E$5+2*$U$5)) ), ( B61&lt;90 ) ), 180-AJ61, AJ61)," ")</f>
        <v>21.3108263252976</v>
      </c>
      <c r="L61" s="17" t="n">
        <f aca="false">IF(ISNUMBER(F61),$E$5+$O$10-F61," ")</f>
        <v>261.333585602543</v>
      </c>
      <c r="N61" s="1" t="n">
        <f aca="false">IF(ISNUMBER(P61),B61," ")</f>
        <v>31</v>
      </c>
      <c r="O61" s="27" t="n">
        <f aca="false">IF(ISNUMBER(P61), IF( ABS(AM61-1)&lt;0.000001,0, IF(ABS(AM61+1)&lt;0.000001,180,ROUND(DEGREES(ACOS(AM61)),3)))," ")</f>
        <v>179.896</v>
      </c>
      <c r="P61" s="17" t="n">
        <f aca="false">IF(AK61&gt;0.0000001,$U$8*((1/SQRT(1-AK61*AK61))-1),"none")</f>
        <v>0.00150833076428668</v>
      </c>
      <c r="Q61" s="17" t="n">
        <f aca="false">IF(ISNUMBER(P61),ABS($Z$15*(1+AC61/AK61)/(1+$V$15*$Z$15*AM61)/AK61)," ")</f>
        <v>68298.8714176717</v>
      </c>
      <c r="R61" s="27" t="n">
        <f aca="false">IF(ISNUMBER(P61),IF( AND( ( (P61*(P61+2*$U$8)*AB61*AB61) &gt; ($E$5*($E$5+2*$U$5)) ), ( B61&lt;90 ) ), 180-AN61, AN61)," ")</f>
        <v>0.0279567853875212</v>
      </c>
      <c r="S61" s="17" t="n">
        <f aca="false">IF(ISNUMBER(P61),$E$5+$O$10-P61," ")</f>
        <v>615.198491669236</v>
      </c>
      <c r="AB61" s="1" t="n">
        <f aca="false">COS(RADIANS(B61))</f>
        <v>0.857167300702112</v>
      </c>
      <c r="AC61" s="1" t="n">
        <f aca="false">-$V$15*AB61</f>
        <v>-0.0572828418139755</v>
      </c>
      <c r="AD61" s="1" t="n">
        <f aca="false">$AA$15+AC61*AC61</f>
        <v>1.0032542934623</v>
      </c>
      <c r="AF61" s="1" t="n">
        <f aca="false">AC61*AC61-AD61*$AE$15</f>
        <v>0.00325420549710453</v>
      </c>
      <c r="AG61" s="1" t="n">
        <f aca="false">IF(ISNUMBER(SQRT(AF61)),(-AC61+SQRT(AF61))/AD61,-100)</f>
        <v>0.113957634210089</v>
      </c>
      <c r="AH61" s="1" t="n">
        <f aca="false">(AG61*AB61-$V$15)/((1-$V$15*AG61*AB61)*$Z$15)</f>
        <v>0.466112397419306</v>
      </c>
      <c r="AI61" s="1" t="n">
        <f aca="false">IF(ABS(AH61)&lt;=1,AH61,IF(ABS(AH61)&lt;=1.00001,1*SIGN(AH61),0))</f>
        <v>0.466112397419306</v>
      </c>
      <c r="AJ61" s="17" t="n">
        <f aca="false">DEGREES(ASIN( SQRT( (F61*(F61+2*$U$8)) / (L61*(L61+2*$U$10)) ) * SIN(RADIANS(B61))  ))</f>
        <v>21.3108263252976</v>
      </c>
      <c r="AK61" s="1" t="n">
        <f aca="false">IF(ISNUMBER(SQRT(AF61)),(-AC61-SQRT(AF61))/AD61,-100)</f>
        <v>0.000236428426391366</v>
      </c>
      <c r="AL61" s="1" t="n">
        <f aca="false">(AK61*AB61-$V$15)/((1-$V$15*AK61*AB61)*$Z$15)</f>
        <v>-0.999998337264427</v>
      </c>
      <c r="AM61" s="1" t="n">
        <f aca="false">IF(ABS(AL61)&lt;=1,AL61,IF(ABS(AL61)&lt;=1.00001,1*SIGN(AL61),0))</f>
        <v>-0.999998337264427</v>
      </c>
      <c r="AN61" s="17" t="n">
        <f aca="false">IF(ISNUMBER(P61),DEGREES(ASIN( SQRT( (P61*(P61+2*$U$8)) / (S61*(S61+2*$U$10)) ) * SIN(RADIANS(B61)) ) ),"ignore")</f>
        <v>0.0279567853875212</v>
      </c>
    </row>
    <row r="62" customFormat="false" ht="12.75" hidden="false" customHeight="false" outlineLevel="0" collapsed="false">
      <c r="B62" s="1" t="n">
        <v>32</v>
      </c>
      <c r="D62" s="27" t="n">
        <f aca="false">IF(ISNUMBER(F62),IF(ABS(AI62-1)&lt;0.000001,0,IF(ABS(AI62+1)&lt;0.000001,180,ROUND(DEGREES(ACOS(AI62)),3)))," ")</f>
        <v>64.224</v>
      </c>
      <c r="F62" s="17" t="n">
        <f aca="false">IF(AG62&gt;0.0000001,$U$8*((1/SQRT(1-AG62*AG62))-1),"none")</f>
        <v>346.321890024663</v>
      </c>
      <c r="H62" s="17" t="n">
        <f aca="false">IF(ISNUMBER(F62),$Z$15*(1+AC62/AG62)/(1+$V$15*$Z$15*AI62)/AG62," ")</f>
        <v>0.293328860998638</v>
      </c>
      <c r="J62" s="27" t="n">
        <f aca="false">IF(ISNUMBER(F62),IF( AND( ( (F62*(F62+2*$U$8)*AB62*AB62) &gt; ($E$5*($E$5+2*$U$5)) ), ( B62&lt;90 ) ), 180-AJ62, AJ62)," ")</f>
        <v>21.3876548611814</v>
      </c>
      <c r="L62" s="17" t="n">
        <f aca="false">IF(ISNUMBER(F62),$E$5+$O$10-F62," ")</f>
        <v>268.878109975337</v>
      </c>
      <c r="N62" s="1" t="n">
        <f aca="false">IF(ISNUMBER(P62),B62," ")</f>
        <v>32</v>
      </c>
      <c r="O62" s="27" t="n">
        <f aca="false">IF(ISNUMBER(P62), IF( ABS(AM62-1)&lt;0.000001,0, IF(ABS(AM62+1)&lt;0.000001,180,ROUND(DEGREES(ACOS(AM62)),3)))," ")</f>
        <v>179.891</v>
      </c>
      <c r="P62" s="17" t="n">
        <f aca="false">IF(AK62&gt;0.0000001,$U$8*((1/SQRT(1-AK62*AK62))-1),"none")</f>
        <v>0.00154108194057389</v>
      </c>
      <c r="Q62" s="17" t="n">
        <f aca="false">IF(ISNUMBER(P62),ABS($Z$15*(1+AC62/AK62)/(1+$V$15*$Z$15*AM62)/AK62)," ")</f>
        <v>66130.2660312256</v>
      </c>
      <c r="R62" s="27" t="n">
        <f aca="false">IF(ISNUMBER(P62),IF( AND( ( (P62*(P62+2*$U$8)*AB62*AB62) &gt; ($E$5*($E$5+2*$U$5)) ), ( B62&lt;90 ) ), 180-AN62, AN62)," ")</f>
        <v>0.0290751650228968</v>
      </c>
      <c r="S62" s="17" t="n">
        <f aca="false">IF(ISNUMBER(P62),$E$5+$O$10-P62," ")</f>
        <v>615.19845891806</v>
      </c>
      <c r="AB62" s="1" t="n">
        <f aca="false">COS(RADIANS(B62))</f>
        <v>0.848048096156426</v>
      </c>
      <c r="AC62" s="1" t="n">
        <f aca="false">-$V$15*AB62</f>
        <v>-0.0566734229163672</v>
      </c>
      <c r="AD62" s="1" t="n">
        <f aca="false">$AA$15+AC62*AC62</f>
        <v>1.00318484636107</v>
      </c>
      <c r="AF62" s="1" t="n">
        <f aca="false">AC62*AC62-AD62*$AE$15</f>
        <v>0.00318476027306714</v>
      </c>
      <c r="AG62" s="1" t="n">
        <f aca="false">IF(ISNUMBER(SQRT(AF62)),(-AC62+SQRT(AF62))/AD62,-100)</f>
        <v>0.112748018108835</v>
      </c>
      <c r="AH62" s="1" t="n">
        <f aca="false">(AG62*AB62-$V$15)/((1-$V$15*AG62*AB62)*$Z$15)</f>
        <v>0.434854400422715</v>
      </c>
      <c r="AI62" s="1" t="n">
        <f aca="false">IF(ABS(AH62)&lt;=1,AH62,IF(ABS(AH62)&lt;=1.00001,1*SIGN(AH62),0))</f>
        <v>0.434854400422715</v>
      </c>
      <c r="AJ62" s="17" t="n">
        <f aca="false">DEGREES(ASIN( SQRT( (F62*(F62+2*$U$8)) / (L62*(L62+2*$U$10)) ) * SIN(RADIANS(B62))  ))</f>
        <v>21.3876548611814</v>
      </c>
      <c r="AK62" s="1" t="n">
        <f aca="false">IF(ISNUMBER(SQRT(AF62)),(-AC62-SQRT(AF62))/AD62,-100)</f>
        <v>0.000238981489380588</v>
      </c>
      <c r="AL62" s="1" t="n">
        <f aca="false">(AK62*AB62-$V$15)/((1-$V$15*AK62*AB62)*$Z$15)</f>
        <v>-0.999998201571794</v>
      </c>
      <c r="AM62" s="1" t="n">
        <f aca="false">IF(ABS(AL62)&lt;=1,AL62,IF(ABS(AL62)&lt;=1.00001,1*SIGN(AL62),0))</f>
        <v>-0.999998201571794</v>
      </c>
      <c r="AN62" s="17" t="n">
        <f aca="false">IF(ISNUMBER(P62),DEGREES(ASIN( SQRT( (P62*(P62+2*$U$8)) / (S62*(S62+2*$U$10)) ) * SIN(RADIANS(B62)) ) ),"ignore")</f>
        <v>0.0290751650228968</v>
      </c>
    </row>
    <row r="63" customFormat="false" ht="12.75" hidden="false" customHeight="false" outlineLevel="0" collapsed="false">
      <c r="B63" s="1" t="n">
        <v>33</v>
      </c>
      <c r="D63" s="27" t="n">
        <f aca="false">IF(ISNUMBER(F63),IF(ABS(AI63-1)&lt;0.000001,0,IF(ABS(AI63+1)&lt;0.000001,180,ROUND(DEGREES(ACOS(AI63)),3)))," ")</f>
        <v>66.23</v>
      </c>
      <c r="F63" s="17" t="n">
        <f aca="false">IF(AG63&gt;0.0000001,$U$8*((1/SQRT(1-AG63*AG63))-1),"none")</f>
        <v>338.648880397886</v>
      </c>
      <c r="H63" s="17" t="n">
        <f aca="false">IF(ISNUMBER(F63),$Z$15*(1+AC63/AG63)/(1+$V$15*$Z$15*AI63)/AG63," ")</f>
        <v>0.296650675234974</v>
      </c>
      <c r="J63" s="27" t="n">
        <f aca="false">IF(ISNUMBER(F63),IF( AND( ( (F63*(F63+2*$U$8)*AB63*AB63) &gt; ($E$5*($E$5+2*$U$5)) ), ( B63&lt;90 ) ), 180-AJ63, AJ63)," ")</f>
        <v>21.4343618176682</v>
      </c>
      <c r="L63" s="17" t="n">
        <f aca="false">IF(ISNUMBER(F63),$E$5+$O$10-F63," ")</f>
        <v>276.551119602114</v>
      </c>
      <c r="N63" s="1" t="n">
        <f aca="false">IF(ISNUMBER(P63),B63," ")</f>
        <v>33</v>
      </c>
      <c r="O63" s="27" t="n">
        <f aca="false">IF(ISNUMBER(P63), IF( ABS(AM63-1)&lt;0.000001,0, IF(ABS(AM63+1)&lt;0.000001,180,ROUND(DEGREES(ACOS(AM63)),3)))," ")</f>
        <v>179.887</v>
      </c>
      <c r="P63" s="17" t="n">
        <f aca="false">IF(AK63&gt;0.0000001,$U$8*((1/SQRT(1-AK63*AK63))-1),"none")</f>
        <v>0.0015758876588887</v>
      </c>
      <c r="Q63" s="17" t="n">
        <f aca="false">IF(ISNUMBER(P63),ABS($Z$15*(1+AC63/AK63)/(1+$V$15*$Z$15*AM63)/AK63)," ")</f>
        <v>63948.4786918826</v>
      </c>
      <c r="R63" s="27" t="n">
        <f aca="false">IF(ISNUMBER(P63),IF( AND( ( (P63*(P63+2*$U$8)*AB63*AB63) &gt; ($E$5*($E$5+2*$U$5)) ), ( B63&lt;90 ) ), 180-AN63, AN63)," ")</f>
        <v>0.0302183690422901</v>
      </c>
      <c r="S63" s="17" t="n">
        <f aca="false">IF(ISNUMBER(P63),$E$5+$O$10-P63," ")</f>
        <v>615.198424112341</v>
      </c>
      <c r="AB63" s="1" t="n">
        <f aca="false">COS(RADIANS(B63))</f>
        <v>0.838670567945424</v>
      </c>
      <c r="AC63" s="1" t="n">
        <f aca="false">-$V$15*AB63</f>
        <v>-0.0560467407451307</v>
      </c>
      <c r="AD63" s="1" t="n">
        <f aca="false">$AA$15+AC63*AC63</f>
        <v>1.00311420664416</v>
      </c>
      <c r="AF63" s="1" t="n">
        <f aca="false">AC63*AC63-AD63*$AE$15</f>
        <v>0.00311412246558877</v>
      </c>
      <c r="AG63" s="1" t="n">
        <f aca="false">IF(ISNUMBER(SQRT(AF63)),(-AC63+SQRT(AF63))/AD63,-100)</f>
        <v>0.111503817815739</v>
      </c>
      <c r="AH63" s="1" t="n">
        <f aca="false">(AG63*AB63-$V$15)/((1-$V$15*AG63*AB63)*$Z$15)</f>
        <v>0.403064071434753</v>
      </c>
      <c r="AI63" s="1" t="n">
        <f aca="false">IF(ABS(AH63)&lt;=1,AH63,IF(ABS(AH63)&lt;=1.00001,1*SIGN(AH63),0))</f>
        <v>0.403064071434753</v>
      </c>
      <c r="AJ63" s="17" t="n">
        <f aca="false">DEGREES(ASIN( SQRT( (F63*(F63+2*$U$8)) / (L63*(L63+2*$U$10)) ) * SIN(RADIANS(B63))  ))</f>
        <v>21.4343618176682</v>
      </c>
      <c r="AK63" s="1" t="n">
        <f aca="false">IF(ISNUMBER(SQRT(AF63)),(-AC63-SQRT(AF63))/AD63,-100)</f>
        <v>0.000241665149017958</v>
      </c>
      <c r="AL63" s="1" t="n">
        <f aca="false">(AK63*AB63-$V$15)/((1-$V$15*AK63*AB63)*$Z$15)</f>
        <v>-0.999998057366951</v>
      </c>
      <c r="AM63" s="1" t="n">
        <f aca="false">IF(ABS(AL63)&lt;=1,AL63,IF(ABS(AL63)&lt;=1.00001,1*SIGN(AL63),0))</f>
        <v>-0.999998057366951</v>
      </c>
      <c r="AN63" s="17" t="n">
        <f aca="false">IF(ISNUMBER(P63),DEGREES(ASIN( SQRT( (P63*(P63+2*$U$8)) / (S63*(S63+2*$U$10)) ) * SIN(RADIANS(B63)) ) ),"ignore")</f>
        <v>0.0302183690422901</v>
      </c>
    </row>
    <row r="64" customFormat="false" ht="12.75" hidden="false" customHeight="false" outlineLevel="0" collapsed="false">
      <c r="B64" s="1" t="n">
        <v>34</v>
      </c>
      <c r="D64" s="27" t="n">
        <f aca="false">IF(ISNUMBER(F64),IF(ABS(AI64-1)&lt;0.000001,0,IF(ABS(AI64+1)&lt;0.000001,180,ROUND(DEGREES(ACOS(AI64)),3)))," ")</f>
        <v>68.236</v>
      </c>
      <c r="F64" s="17" t="n">
        <f aca="false">IF(AG64&gt;0.0000001,$U$8*((1/SQRT(1-AG64*AG64))-1),"none")</f>
        <v>330.856786557677</v>
      </c>
      <c r="H64" s="17" t="n">
        <f aca="false">IF(ISNUMBER(F64),$Z$15*(1+AC64/AG64)/(1+$V$15*$Z$15*AI64)/AG64," ")</f>
        <v>0.300140738024671</v>
      </c>
      <c r="J64" s="27" t="n">
        <f aca="false">IF(ISNUMBER(F64),IF( AND( ( (F64*(F64+2*$U$8)*AB64*AB64) &gt; ($E$5*($E$5+2*$U$5)) ), ( B64&lt;90 ) ), 180-AJ64, AJ64)," ")</f>
        <v>21.4521346529384</v>
      </c>
      <c r="L64" s="17" t="n">
        <f aca="false">IF(ISNUMBER(F64),$E$5+$O$10-F64," ")</f>
        <v>284.343213442324</v>
      </c>
      <c r="N64" s="1" t="n">
        <f aca="false">IF(ISNUMBER(P64),B64," ")</f>
        <v>34</v>
      </c>
      <c r="O64" s="27" t="n">
        <f aca="false">IF(ISNUMBER(P64), IF( ABS(AM64-1)&lt;0.000001,0, IF(ABS(AM64+1)&lt;0.000001,180,ROUND(DEGREES(ACOS(AM64)),3)))," ")</f>
        <v>179.883</v>
      </c>
      <c r="P64" s="17" t="n">
        <f aca="false">IF(AK64&gt;0.0000001,$U$8*((1/SQRT(1-AK64*AK64))-1),"none")</f>
        <v>0.00161288572431768</v>
      </c>
      <c r="Q64" s="17" t="n">
        <f aca="false">IF(ISNUMBER(P64),ABS($Z$15*(1+AC64/AK64)/(1+$V$15*$Z$15*AM64)/AK64)," ")</f>
        <v>61757.631001476</v>
      </c>
      <c r="R64" s="27" t="n">
        <f aca="false">IF(ISNUMBER(P64),IF( AND( ( (P64*(P64+2*$U$8)*AB64*AB64) &gt; ($E$5*($E$5+2*$U$5)) ), ( B64&lt;90 ) ), 180-AN64, AN64)," ")</f>
        <v>0.031387960248089</v>
      </c>
      <c r="S64" s="17" t="n">
        <f aca="false">IF(ISNUMBER(P64),$E$5+$O$10-P64," ")</f>
        <v>615.198387114276</v>
      </c>
      <c r="AB64" s="1" t="n">
        <f aca="false">COS(RADIANS(B64))</f>
        <v>0.829037572555042</v>
      </c>
      <c r="AC64" s="1" t="n">
        <f aca="false">-$V$15*AB64</f>
        <v>-0.0554029861937263</v>
      </c>
      <c r="AD64" s="1" t="n">
        <f aca="false">$AA$15+AC64*AC64</f>
        <v>1.00304246037519</v>
      </c>
      <c r="AF64" s="1" t="n">
        <f aca="false">AC64*AC64-AD64*$AE$15</f>
        <v>0.00304237813595692</v>
      </c>
      <c r="AG64" s="1" t="n">
        <f aca="false">IF(ISNUMBER(SQRT(AF64)),(-AC64+SQRT(AF64))/AD64,-100)</f>
        <v>0.110225386629355</v>
      </c>
      <c r="AH64" s="1" t="n">
        <f aca="false">(AG64*AB64-$V$15)/((1-$V$15*AG64*AB64)*$Z$15)</f>
        <v>0.370780360253066</v>
      </c>
      <c r="AI64" s="1" t="n">
        <f aca="false">IF(ABS(AH64)&lt;=1,AH64,IF(ABS(AH64)&lt;=1.00001,1*SIGN(AH64),0))</f>
        <v>0.370780360253066</v>
      </c>
      <c r="AJ64" s="17" t="n">
        <f aca="false">DEGREES(ASIN( SQRT( (F64*(F64+2*$U$8)) / (L64*(L64+2*$U$10)) ) * SIN(RADIANS(B64))  ))</f>
        <v>21.4521346529384</v>
      </c>
      <c r="AK64" s="1" t="n">
        <f aca="false">IF(ISNUMBER(SQRT(AF64)),(-AC64-SQRT(AF64))/AD64,-100)</f>
        <v>0.000244485549340736</v>
      </c>
      <c r="AL64" s="1" t="n">
        <f aca="false">(AK64*AB64-$V$15)/((1-$V$15*AK64*AB64)*$Z$15)</f>
        <v>-0.999997904078945</v>
      </c>
      <c r="AM64" s="1" t="n">
        <f aca="false">IF(ABS(AL64)&lt;=1,AL64,IF(ABS(AL64)&lt;=1.00001,1*SIGN(AL64),0))</f>
        <v>-0.999997904078945</v>
      </c>
      <c r="AN64" s="17" t="n">
        <f aca="false">IF(ISNUMBER(P64),DEGREES(ASIN( SQRT( (P64*(P64+2*$U$8)) / (S64*(S64+2*$U$10)) ) * SIN(RADIANS(B64)) ) ),"ignore")</f>
        <v>0.031387960248089</v>
      </c>
    </row>
    <row r="65" customFormat="false" ht="12.75" hidden="false" customHeight="false" outlineLevel="0" collapsed="false">
      <c r="B65" s="1" t="n">
        <v>35</v>
      </c>
      <c r="D65" s="27" t="n">
        <f aca="false">IF(ISNUMBER(F65),IF(ABS(AI65-1)&lt;0.000001,0,IF(ABS(AI65+1)&lt;0.000001,180,ROUND(DEGREES(ACOS(AI65)),3)))," ")</f>
        <v>70.242</v>
      </c>
      <c r="F65" s="17" t="n">
        <f aca="false">IF(AG65&gt;0.0000001,$U$8*((1/SQRT(1-AG65*AG65))-1),"none")</f>
        <v>322.955151357261</v>
      </c>
      <c r="H65" s="17" t="n">
        <f aca="false">IF(ISNUMBER(F65),$Z$15*(1+AC65/AG65)/(1+$V$15*$Z$15*AI65)/AG65," ")</f>
        <v>0.303807108411312</v>
      </c>
      <c r="J65" s="27" t="n">
        <f aca="false">IF(ISNUMBER(F65),IF( AND( ( (F65*(F65+2*$U$8)*AB65*AB65) &gt; ($E$5*($E$5+2*$U$5)) ), ( B65&lt;90 ) ), 180-AJ65, AJ65)," ")</f>
        <v>21.4421351171209</v>
      </c>
      <c r="L65" s="17" t="n">
        <f aca="false">IF(ISNUMBER(F65),$E$5+$O$10-F65," ")</f>
        <v>292.244848642739</v>
      </c>
      <c r="N65" s="1" t="n">
        <f aca="false">IF(ISNUMBER(P65),B65," ")</f>
        <v>35</v>
      </c>
      <c r="O65" s="27" t="n">
        <f aca="false">IF(ISNUMBER(P65), IF( ABS(AM65-1)&lt;0.000001,0, IF(ABS(AM65+1)&lt;0.000001,180,ROUND(DEGREES(ACOS(AM65)),3)))," ")</f>
        <v>179.878</v>
      </c>
      <c r="P65" s="17" t="n">
        <f aca="false">IF(AK65&gt;0.0000001,$U$8*((1/SQRT(1-AK65*AK65))-1),"none")</f>
        <v>0.00165222705140525</v>
      </c>
      <c r="Q65" s="17" t="n">
        <f aca="false">IF(ISNUMBER(P65),ABS($Z$15*(1+AC65/AK65)/(1+$V$15*$Z$15*AM65)/AK65)," ")</f>
        <v>59561.8187653633</v>
      </c>
      <c r="R65" s="27" t="n">
        <f aca="false">IF(ISNUMBER(P65),IF( AND( ( (P65*(P65+2*$U$8)*AB65*AB65) &gt; ($E$5*($E$5+2*$U$5)) ), ( B65&lt;90 ) ), 180-AN65, AN65)," ")</f>
        <v>0.0325856077144715</v>
      </c>
      <c r="S65" s="17" t="n">
        <f aca="false">IF(ISNUMBER(P65),$E$5+$O$10-P65," ")</f>
        <v>615.198347772949</v>
      </c>
      <c r="AB65" s="1" t="n">
        <f aca="false">COS(RADIANS(B65))</f>
        <v>0.819152044288992</v>
      </c>
      <c r="AC65" s="1" t="n">
        <f aca="false">-$V$15*AB65</f>
        <v>-0.0547423553560265</v>
      </c>
      <c r="AD65" s="1" t="n">
        <f aca="false">$AA$15+AC65*AC65</f>
        <v>1.00296969496594</v>
      </c>
      <c r="AF65" s="1" t="n">
        <f aca="false">AC65*AC65-AD65*$AE$15</f>
        <v>0.00296961469358586</v>
      </c>
      <c r="AG65" s="1" t="n">
        <f aca="false">IF(ISNUMBER(SQRT(AF65)),(-AC65+SQRT(AF65))/AD65,-100)</f>
        <v>0.108913087896266</v>
      </c>
      <c r="AH65" s="1" t="n">
        <f aca="false">(AG65*AB65-$V$15)/((1-$V$15*AG65*AB65)*$Z$15)</f>
        <v>0.338042804224534</v>
      </c>
      <c r="AI65" s="1" t="n">
        <f aca="false">IF(ABS(AH65)&lt;=1,AH65,IF(ABS(AH65)&lt;=1.00001,1*SIGN(AH65),0))</f>
        <v>0.338042804224534</v>
      </c>
      <c r="AJ65" s="17" t="n">
        <f aca="false">DEGREES(ASIN( SQRT( (F65*(F65+2*$U$8)) / (L65*(L65+2*$U$10)) ) * SIN(RADIANS(B65))  ))</f>
        <v>21.4421351171209</v>
      </c>
      <c r="AK65" s="1" t="n">
        <f aca="false">IF(ISNUMBER(SQRT(AF65)),(-AC65-SQRT(AF65))/AD65,-100)</f>
        <v>0.00024744931794254</v>
      </c>
      <c r="AL65" s="1" t="n">
        <f aca="false">(AK65*AB65-$V$15)/((1-$V$15*AK65*AB65)*$Z$15)</f>
        <v>-0.999997741082398</v>
      </c>
      <c r="AM65" s="1" t="n">
        <f aca="false">IF(ABS(AL65)&lt;=1,AL65,IF(ABS(AL65)&lt;=1.00001,1*SIGN(AL65),0))</f>
        <v>-0.999997741082398</v>
      </c>
      <c r="AN65" s="17" t="n">
        <f aca="false">IF(ISNUMBER(P65),DEGREES(ASIN( SQRT( (P65*(P65+2*$U$8)) / (S65*(S65+2*$U$10)) ) * SIN(RADIANS(B65)) ) ),"ignore")</f>
        <v>0.0325856077144715</v>
      </c>
    </row>
    <row r="66" customFormat="false" ht="12.75" hidden="false" customHeight="false" outlineLevel="0" collapsed="false">
      <c r="B66" s="1" t="n">
        <v>36</v>
      </c>
      <c r="D66" s="27" t="n">
        <f aca="false">IF(ISNUMBER(F66),IF(ABS(AI66-1)&lt;0.000001,0,IF(ABS(AI66+1)&lt;0.000001,180,ROUND(DEGREES(ACOS(AI66)),3)))," ")</f>
        <v>72.248</v>
      </c>
      <c r="F66" s="17" t="n">
        <f aca="false">IF(AG66&gt;0.0000001,$U$8*((1/SQRT(1-AG66*AG66))-1),"none")</f>
        <v>314.953647593471</v>
      </c>
      <c r="H66" s="17" t="n">
        <f aca="false">IF(ISNUMBER(F66),$Z$15*(1+AC66/AG66)/(1+$V$15*$Z$15*AI66)/AG66," ")</f>
        <v>0.307658482432315</v>
      </c>
      <c r="J66" s="27" t="n">
        <f aca="false">IF(ISNUMBER(F66),IF( AND( ( (F66*(F66+2*$U$8)*AB66*AB66) &gt; ($E$5*($E$5+2*$U$5)) ), ( B66&lt;90 ) ), 180-AJ66, AJ66)," ")</f>
        <v>21.4054960353773</v>
      </c>
      <c r="L66" s="17" t="n">
        <f aca="false">IF(ISNUMBER(F66),$E$5+$O$10-F66," ")</f>
        <v>300.246352406529</v>
      </c>
      <c r="N66" s="1" t="n">
        <f aca="false">IF(ISNUMBER(P66),B66," ")</f>
        <v>36</v>
      </c>
      <c r="O66" s="27" t="n">
        <f aca="false">IF(ISNUMBER(P66), IF( ABS(AM66-1)&lt;0.000001,0, IF(ABS(AM66+1)&lt;0.000001,180,ROUND(DEGREES(ACOS(AM66)),3)))," ")</f>
        <v>179.874</v>
      </c>
      <c r="P66" s="17" t="n">
        <f aca="false">IF(AK66&gt;0.0000001,$U$8*((1/SQRT(1-AK66*AK66))-1),"none")</f>
        <v>0.00169407720996719</v>
      </c>
      <c r="Q66" s="17" t="n">
        <f aca="false">IF(ISNUMBER(P66),ABS($Z$15*(1+AC66/AK66)/(1+$V$15*$Z$15*AM66)/AK66)," ")</f>
        <v>57365.1013477542</v>
      </c>
      <c r="R66" s="27" t="n">
        <f aca="false">IF(ISNUMBER(P66),IF( AND( ( (P66*(P66+2*$U$8)*AB66*AB66) &gt; ($E$5*($E$5+2*$U$5)) ), ( B66&lt;90 ) ), 180-AN66, AN66)," ")</f>
        <v>0.0338130978523915</v>
      </c>
      <c r="S66" s="17" t="n">
        <f aca="false">IF(ISNUMBER(P66),$E$5+$O$10-P66," ")</f>
        <v>615.19830592279</v>
      </c>
      <c r="AB66" s="1" t="n">
        <f aca="false">COS(RADIANS(B66))</f>
        <v>0.809016994374948</v>
      </c>
      <c r="AC66" s="1" t="n">
        <f aca="false">-$V$15*AB66</f>
        <v>-0.0540650494665841</v>
      </c>
      <c r="AD66" s="1" t="n">
        <f aca="false">$AA$15+AC66*AC66</f>
        <v>1.00289599906984</v>
      </c>
      <c r="AF66" s="1" t="n">
        <f aca="false">AC66*AC66-AD66*$AE$15</f>
        <v>0.00289592078952178</v>
      </c>
      <c r="AG66" s="1" t="n">
        <f aca="false">IF(ISNUMBER(SQRT(AF66)),(-AC66+SQRT(AF66))/AD66,-100)</f>
        <v>0.107567294905296</v>
      </c>
      <c r="AH66" s="1" t="n">
        <f aca="false">(AG66*AB66-$V$15)/((1-$V$15*AG66*AB66)*$Z$15)</f>
        <v>0.304891479070296</v>
      </c>
      <c r="AI66" s="1" t="n">
        <f aca="false">IF(ABS(AH66)&lt;=1,AH66,IF(ABS(AH66)&lt;=1.00001,1*SIGN(AH66),0))</f>
        <v>0.304891479070296</v>
      </c>
      <c r="AJ66" s="17" t="n">
        <f aca="false">DEGREES(ASIN( SQRT( (F66*(F66+2*$U$8)) / (L66*(L66+2*$U$10)) ) * SIN(RADIANS(B66))  ))</f>
        <v>21.4054960353773</v>
      </c>
      <c r="AK66" s="1" t="n">
        <f aca="false">IF(ISNUMBER(SQRT(AF66)),(-AC66-SQRT(AF66))/AD66,-100)</f>
        <v>0.000250563609900345</v>
      </c>
      <c r="AL66" s="1" t="n">
        <f aca="false">(AK66*AB66-$V$15)/((1-$V$15*AK66*AB66)*$Z$15)</f>
        <v>-0.99999756769144</v>
      </c>
      <c r="AM66" s="1" t="n">
        <f aca="false">IF(ABS(AL66)&lt;=1,AL66,IF(ABS(AL66)&lt;=1.00001,1*SIGN(AL66),0))</f>
        <v>-0.99999756769144</v>
      </c>
      <c r="AN66" s="17" t="n">
        <f aca="false">IF(ISNUMBER(P66),DEGREES(ASIN( SQRT( (P66*(P66+2*$U$8)) / (S66*(S66+2*$U$10)) ) * SIN(RADIANS(B66)) ) ),"ignore")</f>
        <v>0.0338130978523915</v>
      </c>
    </row>
    <row r="67" customFormat="false" ht="12.75" hidden="false" customHeight="false" outlineLevel="0" collapsed="false">
      <c r="B67" s="1" t="n">
        <v>37</v>
      </c>
      <c r="D67" s="27" t="n">
        <f aca="false">IF(ISNUMBER(F67),IF(ABS(AI67-1)&lt;0.000001,0,IF(ABS(AI67+1)&lt;0.000001,180,ROUND(DEGREES(ACOS(AI67)),3)))," ")</f>
        <v>74.254</v>
      </c>
      <c r="F67" s="17" t="n">
        <f aca="false">IF(AG67&gt;0.0000001,$U$8*((1/SQRT(1-AG67*AG67))-1),"none")</f>
        <v>306.862065996491</v>
      </c>
      <c r="H67" s="17" t="n">
        <f aca="false">IF(ISNUMBER(F67),$Z$15*(1+AC67/AG67)/(1+$V$15*$Z$15*AI67)/AG67," ")</f>
        <v>0.311704251695668</v>
      </c>
      <c r="J67" s="27" t="n">
        <f aca="false">IF(ISNUMBER(F67),IF( AND( ( (F67*(F67+2*$U$8)*AB67*AB67) &gt; ($E$5*($E$5+2*$U$5)) ), ( B67&lt;90 ) ), 180-AJ67, AJ67)," ")</f>
        <v>21.3433188692288</v>
      </c>
      <c r="L67" s="17" t="n">
        <f aca="false">IF(ISNUMBER(F67),$E$5+$O$10-F67," ")</f>
        <v>308.337934003509</v>
      </c>
      <c r="N67" s="1" t="n">
        <f aca="false">IF(ISNUMBER(P67),B67," ")</f>
        <v>37</v>
      </c>
      <c r="O67" s="27" t="n">
        <f aca="false">IF(ISNUMBER(P67), IF( ABS(AM67-1)&lt;0.000001,0, IF(ABS(AM67+1)&lt;0.000001,180,ROUND(DEGREES(ACOS(AM67)),3)))," ")</f>
        <v>179.869</v>
      </c>
      <c r="P67" s="17" t="n">
        <f aca="false">IF(AK67&gt;0.0000001,$U$8*((1/SQRT(1-AK67*AK67))-1),"none")</f>
        <v>0.00173861801883643</v>
      </c>
      <c r="Q67" s="17" t="n">
        <f aca="false">IF(ISNUMBER(P67),ABS($Z$15*(1+AC67/AK67)/(1+$V$15*$Z$15*AM67)/AK67)," ")</f>
        <v>55171.4911421299</v>
      </c>
      <c r="R67" s="27" t="n">
        <f aca="false">IF(ISNUMBER(P67),IF( AND( ( (P67*(P67+2*$U$8)*AB67*AB67) &gt; ($E$5*($E$5+2*$U$5)) ), ( B67&lt;90 ) ), 180-AN67, AN67)," ")</f>
        <v>0.0350723451785743</v>
      </c>
      <c r="S67" s="17" t="n">
        <f aca="false">IF(ISNUMBER(P67),$E$5+$O$10-P67," ")</f>
        <v>615.198261381981</v>
      </c>
      <c r="AB67" s="1" t="n">
        <f aca="false">COS(RADIANS(B67))</f>
        <v>0.798635510047293</v>
      </c>
      <c r="AC67" s="1" t="n">
        <f aca="false">-$V$15*AB67</f>
        <v>-0.0533712748393343</v>
      </c>
      <c r="AD67" s="1" t="n">
        <f aca="false">$AA$15+AC67*AC67</f>
        <v>1.00282146247399</v>
      </c>
      <c r="AF67" s="1" t="n">
        <f aca="false">AC67*AC67-AD67*$AE$15</f>
        <v>0.0028213862084351</v>
      </c>
      <c r="AG67" s="1" t="n">
        <f aca="false">IF(ISNUMBER(SQRT(AF67)),(-AC67+SQRT(AF67))/AD67,-100)</f>
        <v>0.106188390772941</v>
      </c>
      <c r="AH67" s="1" t="n">
        <f aca="false">(AG67*AB67-$V$15)/((1-$V$15*AG67*AB67)*$Z$15)</f>
        <v>0.271366949125286</v>
      </c>
      <c r="AI67" s="1" t="n">
        <f aca="false">IF(ABS(AH67)&lt;=1,AH67,IF(ABS(AH67)&lt;=1.00001,1*SIGN(AH67),0))</f>
        <v>0.271366949125286</v>
      </c>
      <c r="AJ67" s="17" t="n">
        <f aca="false">DEGREES(ASIN( SQRT( (F67*(F67+2*$U$8)) / (L67*(L67+2*$U$10)) ) * SIN(RADIANS(B67))  ))</f>
        <v>21.3433188692288</v>
      </c>
      <c r="AK67" s="1" t="n">
        <f aca="false">IF(ISNUMBER(SQRT(AF67)),(-AC67-SQRT(AF67))/AD67,-100)</f>
        <v>0.00025383615679761</v>
      </c>
      <c r="AL67" s="1" t="n">
        <f aca="false">(AK67*AB67-$V$15)/((1-$V$15*AK67*AB67)*$Z$15)</f>
        <v>-0.999997383152822</v>
      </c>
      <c r="AM67" s="1" t="n">
        <f aca="false">IF(ABS(AL67)&lt;=1,AL67,IF(ABS(AL67)&lt;=1.00001,1*SIGN(AL67),0))</f>
        <v>-0.999997383152822</v>
      </c>
      <c r="AN67" s="17" t="n">
        <f aca="false">IF(ISNUMBER(P67),DEGREES(ASIN( SQRT( (P67*(P67+2*$U$8)) / (S67*(S67+2*$U$10)) ) * SIN(RADIANS(B67)) ) ),"ignore")</f>
        <v>0.0350723451785743</v>
      </c>
    </row>
    <row r="68" customFormat="false" ht="12.75" hidden="false" customHeight="false" outlineLevel="0" collapsed="false">
      <c r="B68" s="1" t="n">
        <v>38</v>
      </c>
      <c r="D68" s="27" t="n">
        <f aca="false">IF(ISNUMBER(F68),IF(ABS(AI68-1)&lt;0.000001,0,IF(ABS(AI68+1)&lt;0.000001,180,ROUND(DEGREES(ACOS(AI68)),3)))," ")</f>
        <v>76.26</v>
      </c>
      <c r="F68" s="17" t="n">
        <f aca="false">IF(AG68&gt;0.0000001,$U$8*((1/SQRT(1-AG68*AG68))-1),"none")</f>
        <v>298.690303093762</v>
      </c>
      <c r="H68" s="17" t="n">
        <f aca="false">IF(ISNUMBER(F68),$Z$15*(1+AC68/AG68)/(1+$V$15*$Z$15*AI68)/AG68," ")</f>
        <v>0.315954568789225</v>
      </c>
      <c r="J68" s="27" t="n">
        <f aca="false">IF(ISNUMBER(F68),IF( AND( ( (F68*(F68+2*$U$8)*AB68*AB68) &gt; ($E$5*($E$5+2*$U$5)) ), ( B68&lt;90 ) ), 180-AJ68, AJ68)," ")</f>
        <v>21.2566719442202</v>
      </c>
      <c r="L68" s="17" t="n">
        <f aca="false">IF(ISNUMBER(F68),$E$5+$O$10-F68," ")</f>
        <v>316.509696906238</v>
      </c>
      <c r="N68" s="1" t="n">
        <f aca="false">IF(ISNUMBER(P68),B68," ")</f>
        <v>38</v>
      </c>
      <c r="O68" s="27" t="n">
        <f aca="false">IF(ISNUMBER(P68), IF( ABS(AM68-1)&lt;0.000001,0, IF(ABS(AM68+1)&lt;0.000001,180,ROUND(DEGREES(ACOS(AM68)),3)))," ")</f>
        <v>179.864</v>
      </c>
      <c r="P68" s="17" t="n">
        <f aca="false">IF(AK68&gt;0.0000001,$U$8*((1/SQRT(1-AK68*AK68))-1),"none")</f>
        <v>0.00178604940323602</v>
      </c>
      <c r="Q68" s="17" t="n">
        <f aca="false">IF(ISNUMBER(P68),ABS($Z$15*(1+AC68/AK68)/(1+$V$15*$Z$15*AM68)/AK68)," ")</f>
        <v>52984.9431855281</v>
      </c>
      <c r="R68" s="27" t="n">
        <f aca="false">IF(ISNUMBER(P68),IF( AND( ( (P68*(P68+2*$U$8)*AB68*AB68) &gt; ($E$5*($E$5+2*$U$5)) ), ( B68&lt;90 ) ), 180-AN68, AN68)," ")</f>
        <v>0.0363654047079152</v>
      </c>
      <c r="S68" s="17" t="n">
        <f aca="false">IF(ISNUMBER(P68),$E$5+$O$10-P68," ")</f>
        <v>615.198213950597</v>
      </c>
      <c r="AB68" s="1" t="n">
        <f aca="false">COS(RADIANS(B68))</f>
        <v>0.788010753606722</v>
      </c>
      <c r="AC68" s="1" t="n">
        <f aca="false">-$V$15*AB68</f>
        <v>-0.0526612428047493</v>
      </c>
      <c r="AD68" s="1" t="n">
        <f aca="false">$AA$15+AC68*AC68</f>
        <v>1.00274617598975</v>
      </c>
      <c r="AF68" s="1" t="n">
        <f aca="false">AC68*AC68-AD68*$AE$15</f>
        <v>0.00274610175923172</v>
      </c>
      <c r="AG68" s="1" t="n">
        <f aca="false">IF(ISNUMBER(SQRT(AF68)),(-AC68+SQRT(AF68))/AD68,-100)</f>
        <v>0.10477676831921</v>
      </c>
      <c r="AH68" s="1" t="n">
        <f aca="false">(AG68*AB68-$V$15)/((1-$V$15*AG68*AB68)*$Z$15)</f>
        <v>0.237510217057302</v>
      </c>
      <c r="AI68" s="1" t="n">
        <f aca="false">IF(ABS(AH68)&lt;=1,AH68,IF(ABS(AH68)&lt;=1.00001,1*SIGN(AH68),0))</f>
        <v>0.237510217057302</v>
      </c>
      <c r="AJ68" s="17" t="n">
        <f aca="false">DEGREES(ASIN( SQRT( (F68*(F68+2*$U$8)) / (L68*(L68+2*$U$10)) ) * SIN(RADIANS(B68))  ))</f>
        <v>21.2566719442202</v>
      </c>
      <c r="AK68" s="1" t="n">
        <f aca="false">IF(ISNUMBER(SQRT(AF68)),(-AC68-SQRT(AF68))/AD68,-100)</f>
        <v>0.000257275321535337</v>
      </c>
      <c r="AL68" s="1" t="n">
        <f aca="false">(AK68*AB68-$V$15)/((1-$V$15*AK68*AB68)*$Z$15)</f>
        <v>-0.999997186638086</v>
      </c>
      <c r="AM68" s="1" t="n">
        <f aca="false">IF(ABS(AL68)&lt;=1,AL68,IF(ABS(AL68)&lt;=1.00001,1*SIGN(AL68),0))</f>
        <v>-0.999997186638086</v>
      </c>
      <c r="AN68" s="17" t="n">
        <f aca="false">IF(ISNUMBER(P68),DEGREES(ASIN( SQRT( (P68*(P68+2*$U$8)) / (S68*(S68+2*$U$10)) ) * SIN(RADIANS(B68)) ) ),"ignore")</f>
        <v>0.0363654047079152</v>
      </c>
    </row>
    <row r="69" customFormat="false" ht="12.75" hidden="false" customHeight="false" outlineLevel="0" collapsed="false">
      <c r="B69" s="1" t="n">
        <v>39</v>
      </c>
      <c r="D69" s="27" t="n">
        <f aca="false">IF(ISNUMBER(F69),IF(ABS(AI69-1)&lt;0.000001,0,IF(ABS(AI69+1)&lt;0.000001,180,ROUND(DEGREES(ACOS(AI69)),3)))," ")</f>
        <v>78.266</v>
      </c>
      <c r="F69" s="17" t="n">
        <f aca="false">IF(AG69&gt;0.0000001,$U$8*((1/SQRT(1-AG69*AG69))-1),"none")</f>
        <v>290.448348964306</v>
      </c>
      <c r="H69" s="17" t="n">
        <f aca="false">IF(ISNUMBER(F69),$Z$15*(1+AC69/AG69)/(1+$V$15*$Z$15*AI69)/AG69," ")</f>
        <v>0.32042042045586</v>
      </c>
      <c r="J69" s="27" t="n">
        <f aca="false">IF(ISNUMBER(F69),IF( AND( ( (F69*(F69+2*$U$8)*AB69*AB69) &gt; ($E$5*($E$5+2*$U$5)) ), ( B69&lt;90 ) ), 180-AJ69, AJ69)," ")</f>
        <v>21.1465892436526</v>
      </c>
      <c r="L69" s="17" t="n">
        <f aca="false">IF(ISNUMBER(F69),$E$5+$O$10-F69," ")</f>
        <v>324.751651035694</v>
      </c>
      <c r="N69" s="1" t="n">
        <f aca="false">IF(ISNUMBER(P69),B69," ")</f>
        <v>39</v>
      </c>
      <c r="O69" s="27" t="n">
        <f aca="false">IF(ISNUMBER(P69), IF( ABS(AM69-1)&lt;0.000001,0, IF(ABS(AM69+1)&lt;0.000001,180,ROUND(DEGREES(ACOS(AM69)),3)))," ")</f>
        <v>179.859</v>
      </c>
      <c r="P69" s="17" t="n">
        <f aca="false">IF(AK69&gt;0.0000001,$U$8*((1/SQRT(1-AK69*AK69))-1),"none")</f>
        <v>0.00183659165957568</v>
      </c>
      <c r="Q69" s="17" t="n">
        <f aca="false">IF(ISNUMBER(P69),ABS($Z$15*(1+AC69/AK69)/(1+$V$15*$Z$15*AM69)/AK69)," ")</f>
        <v>50809.3449448846</v>
      </c>
      <c r="R69" s="27" t="n">
        <f aca="false">IF(ISNUMBER(P69),IF( AND( ( (P69*(P69+2*$U$8)*AB69*AB69) &gt; ($E$5*($E$5+2*$U$5)) ), ( B69&lt;90 ) ), 180-AN69, AN69)," ")</f>
        <v>0.0376944872912186</v>
      </c>
      <c r="S69" s="17" t="n">
        <f aca="false">IF(ISNUMBER(P69),$E$5+$O$10-P69," ")</f>
        <v>615.198163408341</v>
      </c>
      <c r="AB69" s="1" t="n">
        <f aca="false">COS(RADIANS(B69))</f>
        <v>0.777145961456971</v>
      </c>
      <c r="AC69" s="1" t="n">
        <f aca="false">-$V$15*AB69</f>
        <v>-0.0519351696454651</v>
      </c>
      <c r="AD69" s="1" t="n">
        <f aca="false">$AA$15+AC69*AC69</f>
        <v>1.00267023134212</v>
      </c>
      <c r="AF69" s="1" t="n">
        <f aca="false">AC69*AC69-AD69*$AE$15</f>
        <v>0.0026701591644163</v>
      </c>
      <c r="AG69" s="1" t="n">
        <f aca="false">IF(ISNUMBER(SQRT(AF69)),(-AC69+SQRT(AF69))/AD69,-100)</f>
        <v>0.103332829932959</v>
      </c>
      <c r="AH69" s="1" t="n">
        <f aca="false">(AG69*AB69-$V$15)/((1-$V$15*AG69*AB69)*$Z$15)</f>
        <v>0.203362673130736</v>
      </c>
      <c r="AI69" s="1" t="n">
        <f aca="false">IF(ABS(AH69)&lt;=1,AH69,IF(ABS(AH69)&lt;=1.00001,1*SIGN(AH69),0))</f>
        <v>0.203362673130736</v>
      </c>
      <c r="AJ69" s="17" t="n">
        <f aca="false">DEGREES(ASIN( SQRT( (F69*(F69+2*$U$8)) / (L69*(L69+2*$U$10)) ) * SIN(RADIANS(B69))  ))</f>
        <v>21.1465892436526</v>
      </c>
      <c r="AK69" s="1" t="n">
        <f aca="false">IF(ISNUMBER(SQRT(AF69)),(-AC69-SQRT(AF69))/AD69,-100)</f>
        <v>0.000260890159733724</v>
      </c>
      <c r="AL69" s="1" t="n">
        <f aca="false">(AK69*AB69-$V$15)/((1-$V$15*AK69*AB69)*$Z$15)</f>
        <v>-0.999996977234627</v>
      </c>
      <c r="AM69" s="1" t="n">
        <f aca="false">IF(ABS(AL69)&lt;=1,AL69,IF(ABS(AL69)&lt;=1.00001,1*SIGN(AL69),0))</f>
        <v>-0.999996977234627</v>
      </c>
      <c r="AN69" s="17" t="n">
        <f aca="false">IF(ISNUMBER(P69),DEGREES(ASIN( SQRT( (P69*(P69+2*$U$8)) / (S69*(S69+2*$U$10)) ) * SIN(RADIANS(B69)) ) ),"ignore")</f>
        <v>0.0376944872912186</v>
      </c>
    </row>
    <row r="70" customFormat="false" ht="12.75" hidden="false" customHeight="false" outlineLevel="0" collapsed="false">
      <c r="B70" s="1" t="n">
        <v>40</v>
      </c>
      <c r="D70" s="27" t="n">
        <f aca="false">IF(ISNUMBER(F70),IF(ABS(AI70-1)&lt;0.000001,0,IF(ABS(AI70+1)&lt;0.000001,180,ROUND(DEGREES(ACOS(AI70)),3)))," ")</f>
        <v>80.272</v>
      </c>
      <c r="F70" s="17" t="n">
        <f aca="false">IF(AG70&gt;0.0000001,$U$8*((1/SQRT(1-AG70*AG70))-1),"none")</f>
        <v>282.14627489856</v>
      </c>
      <c r="H70" s="17" t="n">
        <f aca="false">IF(ISNUMBER(F70),$Z$15*(1+AC70/AG70)/(1+$V$15*$Z$15*AI70)/AG70," ")</f>
        <v>0.32511370961729</v>
      </c>
      <c r="J70" s="27" t="n">
        <f aca="false">IF(ISNUMBER(F70),IF( AND( ( (F70*(F70+2*$U$8)*AB70*AB70) &gt; ($E$5*($E$5+2*$U$5)) ), ( B70&lt;90 ) ), 180-AJ70, AJ70)," ")</f>
        <v>21.0140696791917</v>
      </c>
      <c r="L70" s="17" t="n">
        <f aca="false">IF(ISNUMBER(F70),$E$5+$O$10-F70," ")</f>
        <v>333.05372510144</v>
      </c>
      <c r="N70" s="1" t="n">
        <f aca="false">IF(ISNUMBER(P70),B70," ")</f>
        <v>40</v>
      </c>
      <c r="O70" s="27" t="n">
        <f aca="false">IF(ISNUMBER(P70), IF( ABS(AM70-1)&lt;0.000001,0, IF(ABS(AM70+1)&lt;0.000001,180,ROUND(DEGREES(ACOS(AM70)),3)))," ")</f>
        <v>179.854</v>
      </c>
      <c r="P70" s="17" t="n">
        <f aca="false">IF(AK70&gt;0.0000001,$U$8*((1/SQRT(1-AK70*AK70))-1),"none")</f>
        <v>0.00189048781611292</v>
      </c>
      <c r="Q70" s="17" t="n">
        <f aca="false">IF(ISNUMBER(P70),ABS($Z$15*(1+AC70/AK70)/(1+$V$15*$Z$15*AM70)/AK70)," ")</f>
        <v>48648.5063033048</v>
      </c>
      <c r="R70" s="27" t="n">
        <f aca="false">IF(ISNUMBER(P70),IF( AND( ( (P70*(P70+2*$U$8)*AB70*AB70) &gt; ($E$5*($E$5+2*$U$5)) ), ( B70&lt;90 ) ), 180-AN70, AN70)," ")</f>
        <v>0.0390619745237093</v>
      </c>
      <c r="S70" s="17" t="n">
        <f aca="false">IF(ISNUMBER(P70),$E$5+$O$10-P70," ")</f>
        <v>615.198109512184</v>
      </c>
      <c r="AB70" s="1" t="n">
        <f aca="false">COS(RADIANS(B70))</f>
        <v>0.766044443118978</v>
      </c>
      <c r="AC70" s="1" t="n">
        <f aca="false">-$V$15*AB70</f>
        <v>-0.0511932765303996</v>
      </c>
      <c r="AD70" s="1" t="n">
        <f aca="false">$AA$15+AC70*AC70</f>
        <v>1.00259372105793</v>
      </c>
      <c r="AF70" s="1" t="n">
        <f aca="false">AC70*AC70-AD70*$AE$15</f>
        <v>0.00259365094834256</v>
      </c>
      <c r="AG70" s="1" t="n">
        <f aca="false">IF(ISNUMBER(SQRT(AF70)),(-AC70+SQRT(AF70))/AD70,-100)</f>
        <v>0.101856987425664</v>
      </c>
      <c r="AH70" s="1" t="n">
        <f aca="false">(AG70*AB70-$V$15)/((1-$V$15*AG70*AB70)*$Z$15)</f>
        <v>0.168966044080338</v>
      </c>
      <c r="AI70" s="1" t="n">
        <f aca="false">IF(ABS(AH70)&lt;=1,AH70,IF(ABS(AH70)&lt;=1.00001,1*SIGN(AH70),0))</f>
        <v>0.168966044080338</v>
      </c>
      <c r="AJ70" s="17" t="n">
        <f aca="false">DEGREES(ASIN( SQRT( (F70*(F70+2*$U$8)) / (L70*(L70+2*$U$10)) ) * SIN(RADIANS(B70))  ))</f>
        <v>21.0140696791917</v>
      </c>
      <c r="AK70" s="1" t="n">
        <f aca="false">IF(ISNUMBER(SQRT(AF70)),(-AC70-SQRT(AF70))/AD70,-100)</f>
        <v>0.000264690488657499</v>
      </c>
      <c r="AL70" s="1" t="n">
        <f aca="false">(AK70*AB70-$V$15)/((1-$V$15*AK70*AB70)*$Z$15)</f>
        <v>-0.99999675393548</v>
      </c>
      <c r="AM70" s="1" t="n">
        <f aca="false">IF(ABS(AL70)&lt;=1,AL70,IF(ABS(AL70)&lt;=1.00001,1*SIGN(AL70),0))</f>
        <v>-0.99999675393548</v>
      </c>
      <c r="AN70" s="17" t="n">
        <f aca="false">IF(ISNUMBER(P70),DEGREES(ASIN( SQRT( (P70*(P70+2*$U$8)) / (S70*(S70+2*$U$10)) ) * SIN(RADIANS(B70)) ) ),"ignore")</f>
        <v>0.0390619745237093</v>
      </c>
    </row>
    <row r="71" customFormat="false" ht="12.75" hidden="false" customHeight="false" outlineLevel="0" collapsed="false">
      <c r="B71" s="1" t="n">
        <v>41</v>
      </c>
      <c r="D71" s="27" t="n">
        <f aca="false">IF(ISNUMBER(F71),IF(ABS(AI71-1)&lt;0.000001,0,IF(ABS(AI71+1)&lt;0.000001,180,ROUND(DEGREES(ACOS(AI71)),3)))," ")</f>
        <v>82.278</v>
      </c>
      <c r="F71" s="17" t="n">
        <f aca="false">IF(AG71&gt;0.0000001,$U$8*((1/SQRT(1-AG71*AG71))-1),"none")</f>
        <v>273.794220980171</v>
      </c>
      <c r="H71" s="17" t="n">
        <f aca="false">IF(ISNUMBER(F71),$Z$15*(1+AC71/AG71)/(1+$V$15*$Z$15*AI71)/AG71," ")</f>
        <v>0.33004734750629</v>
      </c>
      <c r="J71" s="27" t="n">
        <f aca="false">IF(ISNUMBER(F71),IF( AND( ( (F71*(F71+2*$U$8)*AB71*AB71) &gt; ($E$5*($E$5+2*$U$5)) ), ( B71&lt;90 ) ), 180-AJ71, AJ71)," ")</f>
        <v>20.8600767597826</v>
      </c>
      <c r="L71" s="17" t="n">
        <f aca="false">IF(ISNUMBER(F71),$E$5+$O$10-F71," ")</f>
        <v>341.405779019829</v>
      </c>
      <c r="N71" s="1" t="n">
        <f aca="false">IF(ISNUMBER(P71),B71," ")</f>
        <v>41</v>
      </c>
      <c r="O71" s="27" t="n">
        <f aca="false">IF(ISNUMBER(P71), IF( ABS(AM71-1)&lt;0.000001,0, IF(ABS(AM71+1)&lt;0.000001,180,ROUND(DEGREES(ACOS(AM71)),3)))," ")</f>
        <v>179.849</v>
      </c>
      <c r="P71" s="17" t="n">
        <f aca="false">IF(AK71&gt;0.0000001,$U$8*((1/SQRT(1-AK71*AK71))-1),"none")</f>
        <v>0.00194800650888524</v>
      </c>
      <c r="Q71" s="17" t="n">
        <f aca="false">IF(ISNUMBER(P71),ABS($Z$15*(1+AC71/AK71)/(1+$V$15*$Z$15*AM71)/AK71)," ")</f>
        <v>46506.1497734714</v>
      </c>
      <c r="R71" s="27" t="n">
        <f aca="false">IF(ISNUMBER(P71),IF( AND( ( (P71*(P71+2*$U$8)*AB71*AB71) &gt; ($E$5*($E$5+2*$U$5)) ), ( B71&lt;90 ) ), 180-AN71, AN71)," ")</f>
        <v>0.0404704371833488</v>
      </c>
      <c r="S71" s="17" t="n">
        <f aca="false">IF(ISNUMBER(P71),$E$5+$O$10-P71," ")</f>
        <v>615.198051993491</v>
      </c>
      <c r="AB71" s="1" t="n">
        <f aca="false">COS(RADIANS(B71))</f>
        <v>0.754709580222772</v>
      </c>
      <c r="AC71" s="1" t="n">
        <f aca="false">-$V$15*AB71</f>
        <v>-0.0504357894473825</v>
      </c>
      <c r="AD71" s="1" t="n">
        <f aca="false">$AA$15+AC71*AC71</f>
        <v>1.00251673835319</v>
      </c>
      <c r="AF71" s="1" t="n">
        <f aca="false">AC71*AC71-AD71*$AE$15</f>
        <v>0.00251667032448661</v>
      </c>
      <c r="AG71" s="1" t="n">
        <f aca="false">IF(ISNUMBER(SQRT(AF71)),(-AC71+SQRT(AF71))/AD71,-100)</f>
        <v>0.100349661872458</v>
      </c>
      <c r="AH71" s="1" t="n">
        <f aca="false">(AG71*AB71-$V$15)/((1-$V$15*AG71*AB71)*$Z$15)</f>
        <v>0.134362341660356</v>
      </c>
      <c r="AI71" s="1" t="n">
        <f aca="false">IF(ABS(AH71)&lt;=1,AH71,IF(ABS(AH71)&lt;=1.00001,1*SIGN(AH71),0))</f>
        <v>0.134362341660356</v>
      </c>
      <c r="AJ71" s="17" t="n">
        <f aca="false">DEGREES(ASIN( SQRT( (F71*(F71+2*$U$8)) / (L71*(L71+2*$U$10)) ) * SIN(RADIANS(B71))  ))</f>
        <v>20.8600767597826</v>
      </c>
      <c r="AK71" s="1" t="n">
        <f aca="false">IF(ISNUMBER(SQRT(AF71)),(-AC71-SQRT(AF71))/AD71,-100)</f>
        <v>0.000268686964753518</v>
      </c>
      <c r="AL71" s="1" t="n">
        <f aca="false">(AK71*AB71-$V$15)/((1-$V$15*AK71*AB71)*$Z$15)</f>
        <v>-0.999996515627609</v>
      </c>
      <c r="AM71" s="1" t="n">
        <f aca="false">IF(ABS(AL71)&lt;=1,AL71,IF(ABS(AL71)&lt;=1.00001,1*SIGN(AL71),0))</f>
        <v>-0.999996515627609</v>
      </c>
      <c r="AN71" s="17" t="n">
        <f aca="false">IF(ISNUMBER(P71),DEGREES(ASIN( SQRT( (P71*(P71+2*$U$8)) / (S71*(S71+2*$U$10)) ) * SIN(RADIANS(B71)) ) ),"ignore")</f>
        <v>0.0404704371833488</v>
      </c>
    </row>
    <row r="72" customFormat="false" ht="12.75" hidden="false" customHeight="false" outlineLevel="0" collapsed="false">
      <c r="B72" s="1" t="n">
        <v>42</v>
      </c>
      <c r="D72" s="27" t="n">
        <f aca="false">IF(ISNUMBER(F72),IF(ABS(AI72-1)&lt;0.000001,0,IF(ABS(AI72+1)&lt;0.000001,180,ROUND(DEGREES(ACOS(AI72)),3)))," ")</f>
        <v>84.284</v>
      </c>
      <c r="F72" s="17" t="n">
        <f aca="false">IF(AG72&gt;0.0000001,$U$8*((1/SQRT(1-AG72*AG72))-1),"none")</f>
        <v>265.402383605</v>
      </c>
      <c r="H72" s="17" t="n">
        <f aca="false">IF(ISNUMBER(F72),$Z$15*(1+AC72/AG72)/(1+$V$15*$Z$15*AI72)/AG72," ")</f>
        <v>0.335235357377102</v>
      </c>
      <c r="J72" s="27" t="n">
        <f aca="false">IF(ISNUMBER(F72),IF( AND( ( (F72*(F72+2*$U$8)*AB72*AB72) &gt; ($E$5*($E$5+2*$U$5)) ), ( B72&lt;90 ) ), 180-AJ72, AJ72)," ")</f>
        <v>20.6855385899722</v>
      </c>
      <c r="L72" s="17" t="n">
        <f aca="false">IF(ISNUMBER(F72),$E$5+$O$10-F72," ")</f>
        <v>349.797616395</v>
      </c>
      <c r="N72" s="1" t="n">
        <f aca="false">IF(ISNUMBER(P72),B72," ")</f>
        <v>42</v>
      </c>
      <c r="O72" s="27" t="n">
        <f aca="false">IF(ISNUMBER(P72), IF( ABS(AM72-1)&lt;0.000001,0, IF(ABS(AM72+1)&lt;0.000001,180,ROUND(DEGREES(ACOS(AM72)),3)))," ")</f>
        <v>179.843</v>
      </c>
      <c r="P72" s="17" t="n">
        <f aca="false">IF(AK72&gt;0.0000001,$U$8*((1/SQRT(1-AK72*AK72))-1),"none")</f>
        <v>0.00200944526506613</v>
      </c>
      <c r="Q72" s="17" t="n">
        <f aca="false">IF(ISNUMBER(P72),ABS($Z$15*(1+AC72/AK72)/(1+$V$15*$Z$15*AM72)/AK72)," ")</f>
        <v>44385.9009648632</v>
      </c>
      <c r="R72" s="27" t="n">
        <f aca="false">IF(ISNUMBER(P72),IF( AND( ( (P72*(P72+2*$U$8)*AB72*AB72) &gt; ($E$5*($E$5+2*$U$5)) ), ( B72&lt;90 ) ), 180-AN72, AN72)," ")</f>
        <v>0.0419226558013691</v>
      </c>
      <c r="S72" s="17" t="n">
        <f aca="false">IF(ISNUMBER(P72),$E$5+$O$10-P72," ")</f>
        <v>615.197990554735</v>
      </c>
      <c r="AB72" s="1" t="n">
        <f aca="false">COS(RADIANS(B72))</f>
        <v>0.743144825477394</v>
      </c>
      <c r="AC72" s="1" t="n">
        <f aca="false">-$V$15*AB72</f>
        <v>-0.0496629391343173</v>
      </c>
      <c r="AD72" s="1" t="n">
        <f aca="false">$AA$15+AC72*AC72</f>
        <v>1.00243937701947</v>
      </c>
      <c r="AF72" s="1" t="n">
        <f aca="false">AC72*AC72-AD72*$AE$15</f>
        <v>0.00243931108188065</v>
      </c>
      <c r="AG72" s="1" t="n">
        <f aca="false">IF(ISNUMBER(SQRT(AF72)),(-AC72+SQRT(AF72))/AD72,-100)</f>
        <v>0.0988112834390236</v>
      </c>
      <c r="AH72" s="1" t="n">
        <f aca="false">(AG72*AB72-$V$15)/((1-$V$15*AG72*AB72)*$Z$15)</f>
        <v>0.0995938109343015</v>
      </c>
      <c r="AI72" s="1" t="n">
        <f aca="false">IF(ABS(AH72)&lt;=1,AH72,IF(ABS(AH72)&lt;=1.00001,1*SIGN(AH72),0))</f>
        <v>0.0995938109343015</v>
      </c>
      <c r="AJ72" s="17" t="n">
        <f aca="false">DEGREES(ASIN( SQRT( (F72*(F72+2*$U$8)) / (L72*(L72+2*$U$10)) ) * SIN(RADIANS(B72))  ))</f>
        <v>20.6855385899722</v>
      </c>
      <c r="AK72" s="1" t="n">
        <f aca="false">IF(ISNUMBER(SQRT(AF72)),(-AC72-SQRT(AF72))/AD72,-100)</f>
        <v>0.000272891171073798</v>
      </c>
      <c r="AL72" s="1" t="n">
        <f aca="false">(AK72*AB72-$V$15)/((1-$V$15*AK72*AB72)*$Z$15)</f>
        <v>-0.999996261078456</v>
      </c>
      <c r="AM72" s="1" t="n">
        <f aca="false">IF(ABS(AL72)&lt;=1,AL72,IF(ABS(AL72)&lt;=1.00001,1*SIGN(AL72),0))</f>
        <v>-0.999996261078456</v>
      </c>
      <c r="AN72" s="17" t="n">
        <f aca="false">IF(ISNUMBER(P72),DEGREES(ASIN( SQRT( (P72*(P72+2*$U$8)) / (S72*(S72+2*$U$10)) ) * SIN(RADIANS(B72)) ) ),"ignore")</f>
        <v>0.0419226558013691</v>
      </c>
    </row>
    <row r="73" customFormat="false" ht="12.75" hidden="false" customHeight="false" outlineLevel="0" collapsed="false">
      <c r="B73" s="1" t="n">
        <v>43</v>
      </c>
      <c r="D73" s="27" t="n">
        <f aca="false">IF(ISNUMBER(F73),IF(ABS(AI73-1)&lt;0.000001,0,IF(ABS(AI73+1)&lt;0.000001,180,ROUND(DEGREES(ACOS(AI73)),3)))," ")</f>
        <v>86.29</v>
      </c>
      <c r="F73" s="17" t="n">
        <f aca="false">IF(AG73&gt;0.0000001,$U$8*((1/SQRT(1-AG73*AG73))-1),"none")</f>
        <v>256.981002953326</v>
      </c>
      <c r="H73" s="17" t="n">
        <f aca="false">IF(ISNUMBER(F73),$Z$15*(1+AC73/AG73)/(1+$V$15*$Z$15*AI73)/AG73," ")</f>
        <v>0.340692991514014</v>
      </c>
      <c r="J73" s="27" t="n">
        <f aca="false">IF(ISNUMBER(F73),IF( AND( ( (F73*(F73+2*$U$8)*AB73*AB73) &gt; ($E$5*($E$5+2*$U$5)) ), ( B73&lt;90 ) ), 180-AJ73, AJ73)," ")</f>
        <v>20.4913481377073</v>
      </c>
      <c r="L73" s="17" t="n">
        <f aca="false">IF(ISNUMBER(F73),$E$5+$O$10-F73," ")</f>
        <v>358.218997046675</v>
      </c>
      <c r="N73" s="1" t="n">
        <f aca="false">IF(ISNUMBER(P73),B73," ")</f>
        <v>43</v>
      </c>
      <c r="O73" s="27" t="n">
        <f aca="false">IF(ISNUMBER(P73), IF( ABS(AM73-1)&lt;0.000001,0, IF(ABS(AM73+1)&lt;0.000001,180,ROUND(DEGREES(ACOS(AM73)),3)))," ")</f>
        <v>179.838</v>
      </c>
      <c r="P73" s="17" t="n">
        <f aca="false">IF(AK73&gt;0.0000001,$U$8*((1/SQRT(1-AK73*AK73))-1),"none")</f>
        <v>0.00207513414581256</v>
      </c>
      <c r="Q73" s="17" t="n">
        <f aca="false">IF(ISNUMBER(P73),ABS($Z$15*(1+AC73/AK73)/(1+$V$15*$Z$15*AM73)/AK73)," ")</f>
        <v>42291.2793306422</v>
      </c>
      <c r="R73" s="27" t="n">
        <f aca="false">IF(ISNUMBER(P73),IF( AND( ( (P73*(P73+2*$U$8)*AB73*AB73) &gt; ($E$5*($E$5+2*$U$5)) ), ( B73&lt;90 ) ), 180-AN73, AN73)," ")</f>
        <v>0.0434216424220224</v>
      </c>
      <c r="S73" s="17" t="n">
        <f aca="false">IF(ISNUMBER(P73),$E$5+$O$10-P73," ")</f>
        <v>615.197924865854</v>
      </c>
      <c r="AB73" s="1" t="n">
        <f aca="false">COS(RADIANS(B73))</f>
        <v>0.731353701619171</v>
      </c>
      <c r="AC73" s="1" t="n">
        <f aca="false">-$V$15*AB73</f>
        <v>-0.0488749610088961</v>
      </c>
      <c r="AD73" s="1" t="n">
        <f aca="false">$AA$15+AC73*AC73</f>
        <v>1.00236173130963</v>
      </c>
      <c r="AF73" s="1" t="n">
        <f aca="false">AC73*AC73-AD73*$AE$15</f>
        <v>0.00236166747084553</v>
      </c>
      <c r="AG73" s="1" t="n">
        <f aca="false">IF(ISNUMBER(SQRT(AF73)),(-AC73+SQRT(AF73))/AD73,-100)</f>
        <v>0.0972422911927739</v>
      </c>
      <c r="AH73" s="1" t="n">
        <f aca="false">(AG73*AB73-$V$15)/((1-$V$15*AG73*AB73)*$Z$15)</f>
        <v>0.0647028783704773</v>
      </c>
      <c r="AI73" s="1" t="n">
        <f aca="false">IF(ABS(AH73)&lt;=1,AH73,IF(ABS(AH73)&lt;=1.00001,1*SIGN(AH73),0))</f>
        <v>0.0647028783704773</v>
      </c>
      <c r="AJ73" s="17" t="n">
        <f aca="false">DEGREES(ASIN( SQRT( (F73*(F73+2*$U$8)) / (L73*(L73+2*$U$10)) ) * SIN(RADIANS(B73))  ))</f>
        <v>20.4913481377073</v>
      </c>
      <c r="AK73" s="1" t="n">
        <f aca="false">IF(ISNUMBER(SQRT(AF73)),(-AC73-SQRT(AF73))/AD73,-100)</f>
        <v>0.000277315716078537</v>
      </c>
      <c r="AL73" s="1" t="n">
        <f aca="false">(AK73*AB73-$V$15)/((1-$V$15*AK73*AB73)*$Z$15)</f>
        <v>-0.999995988920425</v>
      </c>
      <c r="AM73" s="1" t="n">
        <f aca="false">IF(ABS(AL73)&lt;=1,AL73,IF(ABS(AL73)&lt;=1.00001,1*SIGN(AL73),0))</f>
        <v>-0.999995988920425</v>
      </c>
      <c r="AN73" s="17" t="n">
        <f aca="false">IF(ISNUMBER(P73),DEGREES(ASIN( SQRT( (P73*(P73+2*$U$8)) / (S73*(S73+2*$U$10)) ) * SIN(RADIANS(B73)) ) ),"ignore")</f>
        <v>0.0434216424220224</v>
      </c>
    </row>
    <row r="74" customFormat="false" ht="12.75" hidden="false" customHeight="false" outlineLevel="0" collapsed="false">
      <c r="B74" s="1" t="n">
        <v>44</v>
      </c>
      <c r="D74" s="27" t="n">
        <f aca="false">IF(ISNUMBER(F74),IF(ABS(AI74-1)&lt;0.000001,0,IF(ABS(AI74+1)&lt;0.000001,180,ROUND(DEGREES(ACOS(AI74)),3)))," ")</f>
        <v>88.296</v>
      </c>
      <c r="F74" s="17" t="n">
        <f aca="false">IF(AG74&gt;0.0000001,$U$8*((1/SQRT(1-AG74*AG74))-1),"none")</f>
        <v>248.540350430749</v>
      </c>
      <c r="H74" s="17" t="n">
        <f aca="false">IF(ISNUMBER(F74),$Z$15*(1+AC74/AG74)/(1+$V$15*$Z$15*AI74)/AG74," ")</f>
        <v>0.346436863557241</v>
      </c>
      <c r="J74" s="27" t="n">
        <f aca="false">IF(ISNUMBER(F74),IF( AND( ( (F74*(F74+2*$U$8)*AB74*AB74) &gt; ($E$5*($E$5+2*$U$5)) ), ( B74&lt;90 ) ), 180-AJ74, AJ74)," ")</f>
        <v>20.2783637196986</v>
      </c>
      <c r="L74" s="17" t="n">
        <f aca="false">IF(ISNUMBER(F74),$E$5+$O$10-F74," ")</f>
        <v>366.659649569251</v>
      </c>
      <c r="N74" s="1" t="n">
        <f aca="false">IF(ISNUMBER(P74),B74," ")</f>
        <v>44</v>
      </c>
      <c r="O74" s="27" t="n">
        <f aca="false">IF(ISNUMBER(P74), IF( ABS(AM74-1)&lt;0.000001,0, IF(ABS(AM74+1)&lt;0.000001,180,ROUND(DEGREES(ACOS(AM74)),3)))," ")</f>
        <v>179.832</v>
      </c>
      <c r="P74" s="17" t="n">
        <f aca="false">IF(AK74&gt;0.0000001,$U$8*((1/SQRT(1-AK74*AK74))-1),"none")</f>
        <v>0.00214544016801081</v>
      </c>
      <c r="Q74" s="17" t="n">
        <f aca="false">IF(ISNUMBER(P74),ABS($Z$15*(1+AC74/AK74)/(1+$V$15*$Z$15*AM74)/AK74)," ")</f>
        <v>40225.6892194321</v>
      </c>
      <c r="R74" s="27" t="n">
        <f aca="false">IF(ISNUMBER(P74),IF( AND( ( (P74*(P74+2*$U$8)*AB74*AB74) &gt; ($E$5*($E$5+2*$U$5)) ), ( B74&lt;90 ) ), 180-AN74, AN74)," ")</f>
        <v>0.0449706674002673</v>
      </c>
      <c r="S74" s="17" t="n">
        <f aca="false">IF(ISNUMBER(P74),$E$5+$O$10-P74," ")</f>
        <v>615.197854559832</v>
      </c>
      <c r="AB74" s="1" t="n">
        <f aca="false">COS(RADIANS(B74))</f>
        <v>0.719339800338651</v>
      </c>
      <c r="AC74" s="1" t="n">
        <f aca="false">-$V$15*AB74</f>
        <v>-0.0480720950968891</v>
      </c>
      <c r="AD74" s="1" t="n">
        <f aca="false">$AA$15+AC74*AC74</f>
        <v>1.00228389582302</v>
      </c>
      <c r="AF74" s="1" t="n">
        <f aca="false">AC74*AC74-AD74*$AE$15</f>
        <v>0.0022838340881612</v>
      </c>
      <c r="AG74" s="1" t="n">
        <f aca="false">IF(ISNUMBER(SQRT(AF74)),(-AC74+SQRT(AF74))/AD74,-100)</f>
        <v>0.0956431328964474</v>
      </c>
      <c r="AH74" s="1" t="n">
        <f aca="false">(AG74*AB74-$V$15)/((1-$V$15*AG74*AB74)*$Z$15)</f>
        <v>0.0297320998080292</v>
      </c>
      <c r="AI74" s="1" t="n">
        <f aca="false">IF(ABS(AH74)&lt;=1,AH74,IF(ABS(AH74)&lt;=1.00001,1*SIGN(AH74),0))</f>
        <v>0.0297320998080292</v>
      </c>
      <c r="AJ74" s="17" t="n">
        <f aca="false">DEGREES(ASIN( SQRT( (F74*(F74+2*$U$8)) / (L74*(L74+2*$U$10)) ) * SIN(RADIANS(B74))  ))</f>
        <v>20.2783637196986</v>
      </c>
      <c r="AK74" s="1" t="n">
        <f aca="false">IF(ISNUMBER(SQRT(AF74)),(-AC74-SQRT(AF74))/AD74,-100)</f>
        <v>0.000281974345578372</v>
      </c>
      <c r="AL74" s="1" t="n">
        <f aca="false">(AK74*AB74-$V$15)/((1-$V$15*AK74*AB74)*$Z$15)</f>
        <v>-0.999995697632962</v>
      </c>
      <c r="AM74" s="1" t="n">
        <f aca="false">IF(ABS(AL74)&lt;=1,AL74,IF(ABS(AL74)&lt;=1.00001,1*SIGN(AL74),0))</f>
        <v>-0.999995697632962</v>
      </c>
      <c r="AN74" s="17" t="n">
        <f aca="false">IF(ISNUMBER(P74),DEGREES(ASIN( SQRT( (P74*(P74+2*$U$8)) / (S74*(S74+2*$U$10)) ) * SIN(RADIANS(B74)) ) ),"ignore")</f>
        <v>0.0449706674002673</v>
      </c>
    </row>
    <row r="75" customFormat="false" ht="12.75" hidden="false" customHeight="false" outlineLevel="0" collapsed="false">
      <c r="B75" s="1" t="n">
        <v>45</v>
      </c>
      <c r="D75" s="27" t="n">
        <f aca="false">IF(ISNUMBER(F75),IF(ABS(AI75-1)&lt;0.000001,0,IF(ABS(AI75+1)&lt;0.000001,180,ROUND(DEGREES(ACOS(AI75)),3)))," ")</f>
        <v>90.302</v>
      </c>
      <c r="F75" s="17" t="n">
        <f aca="false">IF(AG75&gt;0.0000001,$U$8*((1/SQRT(1-AG75*AG75))-1),"none")</f>
        <v>240.090716093474</v>
      </c>
      <c r="H75" s="17" t="n">
        <f aca="false">IF(ISNUMBER(F75),$Z$15*(1+AC75/AG75)/(1+$V$15*$Z$15*AI75)/AG75," ")</f>
        <v>0.352485098524047</v>
      </c>
      <c r="J75" s="27" t="n">
        <f aca="false">IF(ISNUMBER(F75),IF( AND( ( (F75*(F75+2*$U$8)*AB75*AB75) &gt; ($E$5*($E$5+2*$U$5)) ), ( B75&lt;90 ) ), 180-AJ75, AJ75)," ")</f>
        <v>20.0474096596433</v>
      </c>
      <c r="L75" s="17" t="n">
        <f aca="false">IF(ISNUMBER(F75),$E$5+$O$10-F75," ")</f>
        <v>375.109283906526</v>
      </c>
      <c r="N75" s="1" t="n">
        <f aca="false">IF(ISNUMBER(P75),B75," ")</f>
        <v>45</v>
      </c>
      <c r="O75" s="27" t="n">
        <f aca="false">IF(ISNUMBER(P75), IF( ABS(AM75-1)&lt;0.000001,0, IF(ABS(AM75+1)&lt;0.000001,180,ROUND(DEGREES(ACOS(AM75)),3)))," ")</f>
        <v>179.826</v>
      </c>
      <c r="P75" s="17" t="n">
        <f aca="false">IF(AK75&gt;0.0000001,$U$8*((1/SQRT(1-AK75*AK75))-1),"none")</f>
        <v>0.00222077226525961</v>
      </c>
      <c r="Q75" s="17" t="n">
        <f aca="false">IF(ISNUMBER(P75),ABS($Z$15*(1+AC75/AK75)/(1+$V$15*$Z$15*AM75)/AK75)," ")</f>
        <v>38192.4112562822</v>
      </c>
      <c r="R75" s="27" t="n">
        <f aca="false">IF(ISNUMBER(P75),IF( AND( ( (P75*(P75+2*$U$8)*AB75*AB75) &gt; ($E$5*($E$5+2*$U$5)) ), ( B75&lt;90 ) ), 180-AN75, AN75)," ")</f>
        <v>0.0465732881215047</v>
      </c>
      <c r="S75" s="17" t="n">
        <f aca="false">IF(ISNUMBER(P75),$E$5+$O$10-P75," ")</f>
        <v>615.197779227735</v>
      </c>
      <c r="AB75" s="1" t="n">
        <f aca="false">COS(RADIANS(B75))</f>
        <v>0.707106781186548</v>
      </c>
      <c r="AC75" s="1" t="n">
        <f aca="false">-$V$15*AB75</f>
        <v>-0.0472545859590309</v>
      </c>
      <c r="AD75" s="1" t="n">
        <f aca="false">$AA$15+AC75*AC75</f>
        <v>1.00220596539017</v>
      </c>
      <c r="AF75" s="1" t="n">
        <f aca="false">AC75*AC75-AD75*$AE$15</f>
        <v>0.00220590576181516</v>
      </c>
      <c r="AG75" s="1" t="n">
        <f aca="false">IF(ISNUMBER(SQRT(AF75)),(-AC75+SQRT(AF75))/AD75,-100)</f>
        <v>0.0940142647819583</v>
      </c>
      <c r="AH75" s="1" t="n">
        <f aca="false">(AG75*AB75-$V$15)/((1-$V$15*AG75*AB75)*$Z$15)</f>
        <v>-0.00527589164197249</v>
      </c>
      <c r="AI75" s="1" t="n">
        <f aca="false">IF(ABS(AH75)&lt;=1,AH75,IF(ABS(AH75)&lt;=1.00001,1*SIGN(AH75),0))</f>
        <v>-0.00527589164197249</v>
      </c>
      <c r="AJ75" s="17" t="n">
        <f aca="false">DEGREES(ASIN( SQRT( (F75*(F75+2*$U$8)) / (L75*(L75+2*$U$10)) ) * SIN(RADIANS(B75))  ))</f>
        <v>20.0474096596433</v>
      </c>
      <c r="AK75" s="1" t="n">
        <f aca="false">IF(ISNUMBER(SQRT(AF75)),(-AC75-SQRT(AF75))/AD75,-100)</f>
        <v>0.000286882069894797</v>
      </c>
      <c r="AL75" s="1" t="n">
        <f aca="false">(AK75*AB75-$V$15)/((1-$V$15*AK75*AB75)*$Z$15)</f>
        <v>-0.999995385521773</v>
      </c>
      <c r="AM75" s="1" t="n">
        <f aca="false">IF(ABS(AL75)&lt;=1,AL75,IF(ABS(AL75)&lt;=1.00001,1*SIGN(AL75),0))</f>
        <v>-0.999995385521773</v>
      </c>
      <c r="AN75" s="17" t="n">
        <f aca="false">IF(ISNUMBER(P75),DEGREES(ASIN( SQRT( (P75*(P75+2*$U$8)) / (S75*(S75+2*$U$10)) ) * SIN(RADIANS(B75)) ) ),"ignore")</f>
        <v>0.0465732881215047</v>
      </c>
    </row>
    <row r="76" customFormat="false" ht="12.75" hidden="false" customHeight="false" outlineLevel="0" collapsed="false">
      <c r="B76" s="1" t="n">
        <v>46</v>
      </c>
      <c r="D76" s="27" t="n">
        <f aca="false">IF(ISNUMBER(F76),IF(ABS(AI76-1)&lt;0.000001,0,IF(ABS(AI76+1)&lt;0.000001,180,ROUND(DEGREES(ACOS(AI76)),3)))," ")</f>
        <v>92.308</v>
      </c>
      <c r="F76" s="17" t="n">
        <f aca="false">IF(AG76&gt;0.0000001,$U$8*((1/SQRT(1-AG76*AG76))-1),"none")</f>
        <v>231.642396073244</v>
      </c>
      <c r="H76" s="17" t="n">
        <f aca="false">IF(ISNUMBER(F76),$Z$15*(1+AC76/AG76)/(1+$V$15*$Z$15*AI76)/AG76," ")</f>
        <v>0.358857503335229</v>
      </c>
      <c r="J76" s="27" t="n">
        <f aca="false">IF(ISNUMBER(F76),IF( AND( ( (F76*(F76+2*$U$8)*AB76*AB76) &gt; ($E$5*($E$5+2*$U$5)) ), ( B76&lt;90 ) ), 180-AJ76, AJ76)," ")</f>
        <v>19.7992770809534</v>
      </c>
      <c r="L76" s="17" t="n">
        <f aca="false">IF(ISNUMBER(F76),$E$5+$O$10-F76," ")</f>
        <v>383.557603926757</v>
      </c>
      <c r="N76" s="1" t="n">
        <f aca="false">IF(ISNUMBER(P76),B76," ")</f>
        <v>46</v>
      </c>
      <c r="O76" s="27" t="n">
        <f aca="false">IF(ISNUMBER(P76), IF( ABS(AM76-1)&lt;0.000001,0, IF(ABS(AM76+1)&lt;0.000001,180,ROUND(DEGREES(ACOS(AM76)),3)))," ")</f>
        <v>179.82</v>
      </c>
      <c r="P76" s="17" t="n">
        <f aca="false">IF(AK76&gt;0.0000001,$U$8*((1/SQRT(1-AK76*AK76))-1),"none")</f>
        <v>0.00230158714758202</v>
      </c>
      <c r="Q76" s="17" t="n">
        <f aca="false">IF(ISNUMBER(P76),ABS($Z$15*(1+AC76/AK76)/(1+$V$15*$Z$15*AM76)/AK76)," ")</f>
        <v>36194.5940761993</v>
      </c>
      <c r="R76" s="27" t="n">
        <f aca="false">IF(ISNUMBER(P76),IF( AND( ( (P76*(P76+2*$U$8)*AB76*AB76) &gt; ($E$5*($E$5+2*$U$5)) ), ( B76&lt;90 ) ), 180-AN76, AN76)," ")</f>
        <v>0.0482333826107887</v>
      </c>
      <c r="S76" s="17" t="n">
        <f aca="false">IF(ISNUMBER(P76),$E$5+$O$10-P76," ")</f>
        <v>615.197698412852</v>
      </c>
      <c r="AB76" s="1" t="n">
        <f aca="false">COS(RADIANS(B76))</f>
        <v>0.694658370458997</v>
      </c>
      <c r="AC76" s="1" t="n">
        <f aca="false">-$V$15*AB76</f>
        <v>-0.046422682616524</v>
      </c>
      <c r="AD76" s="1" t="n">
        <f aca="false">$AA$15+AC76*AC76</f>
        <v>1.00212803495733</v>
      </c>
      <c r="AF76" s="1" t="n">
        <f aca="false">AC76*AC76-AD76*$AE$15</f>
        <v>0.00212797743546912</v>
      </c>
      <c r="AG76" s="1" t="n">
        <f aca="false">IF(ISNUMBER(SQRT(AF76)),(-AC76+SQRT(AF76))/AD76,-100)</f>
        <v>0.0923561513019431</v>
      </c>
      <c r="AH76" s="1" t="n">
        <f aca="false">(AG76*AB76-$V$15)/((1-$V$15*AG76*AB76)*$Z$15)</f>
        <v>-0.0402784376965721</v>
      </c>
      <c r="AI76" s="1" t="n">
        <f aca="false">IF(ABS(AH76)&lt;=1,AH76,IF(ABS(AH76)&lt;=1.00001,1*SIGN(AH76),0))</f>
        <v>-0.0402784376965721</v>
      </c>
      <c r="AJ76" s="17" t="n">
        <f aca="false">DEGREES(ASIN( SQRT( (F76*(F76+2*$U$8)) / (L76*(L76+2*$U$10)) ) * SIN(RADIANS(B76))  ))</f>
        <v>19.7992770809534</v>
      </c>
      <c r="AK76" s="1" t="n">
        <f aca="false">IF(ISNUMBER(SQRT(AF76)),(-AC76-SQRT(AF76))/AD76,-100)</f>
        <v>0.00029205530870384</v>
      </c>
      <c r="AL76" s="1" t="n">
        <f aca="false">(AK76*AB76-$V$15)/((1-$V$15*AK76*AB76)*$Z$15)</f>
        <v>-0.999995050694645</v>
      </c>
      <c r="AM76" s="1" t="n">
        <f aca="false">IF(ABS(AL76)&lt;=1,AL76,IF(ABS(AL76)&lt;=1.00001,1*SIGN(AL76),0))</f>
        <v>-0.999995050694645</v>
      </c>
      <c r="AN76" s="17" t="n">
        <f aca="false">IF(ISNUMBER(P76),DEGREES(ASIN( SQRT( (P76*(P76+2*$U$8)) / (S76*(S76+2*$U$10)) ) * SIN(RADIANS(B76)) ) ),"ignore")</f>
        <v>0.0482333826107887</v>
      </c>
    </row>
    <row r="77" customFormat="false" ht="12.75" hidden="false" customHeight="false" outlineLevel="0" collapsed="false">
      <c r="B77" s="1" t="n">
        <v>47</v>
      </c>
      <c r="D77" s="27" t="n">
        <f aca="false">IF(ISNUMBER(F77),IF(ABS(AI77-1)&lt;0.000001,0,IF(ABS(AI77+1)&lt;0.000001,180,ROUND(DEGREES(ACOS(AI77)),3)))," ")</f>
        <v>94.315</v>
      </c>
      <c r="F77" s="17" t="n">
        <f aca="false">IF(AG77&gt;0.0000001,$U$8*((1/SQRT(1-AG77*AG77))-1),"none")</f>
        <v>223.205680017398</v>
      </c>
      <c r="H77" s="17" t="n">
        <f aca="false">IF(ISNUMBER(F77),$Z$15*(1+AC77/AG77)/(1+$V$15*$Z$15*AI77)/AG77," ")</f>
        <v>0.365575761179512</v>
      </c>
      <c r="J77" s="27" t="n">
        <f aca="false">IF(ISNUMBER(F77),IF( AND( ( (F77*(F77+2*$U$8)*AB77*AB77) &gt; ($E$5*($E$5+2*$U$5)) ), ( B77&lt;90 ) ), 180-AJ77, AJ77)," ")</f>
        <v>19.5347248012379</v>
      </c>
      <c r="L77" s="17" t="n">
        <f aca="false">IF(ISNUMBER(F77),$E$5+$O$10-F77," ")</f>
        <v>391.994319982602</v>
      </c>
      <c r="N77" s="1" t="n">
        <f aca="false">IF(ISNUMBER(P77),B77," ")</f>
        <v>47</v>
      </c>
      <c r="O77" s="27" t="n">
        <f aca="false">IF(ISNUMBER(P77), IF( ABS(AM77-1)&lt;0.000001,0, IF(ABS(AM77+1)&lt;0.000001,180,ROUND(DEGREES(ACOS(AM77)),3)))," ")</f>
        <v>179.813</v>
      </c>
      <c r="P77" s="17" t="n">
        <f aca="false">IF(AK77&gt;0.0000001,$U$8*((1/SQRT(1-AK77*AK77))-1),"none")</f>
        <v>0.00238839610779847</v>
      </c>
      <c r="Q77" s="17" t="n">
        <f aca="false">IF(ISNUMBER(P77),ABS($Z$15*(1+AC77/AK77)/(1+$V$15*$Z$15*AM77)/AK77)," ")</f>
        <v>34235.2464327293</v>
      </c>
      <c r="R77" s="27" t="n">
        <f aca="false">IF(ISNUMBER(P77),IF( AND( ( (P77*(P77+2*$U$8)*AB77*AB77) &gt; ($E$5*($E$5+2*$U$5)) ), ( B77&lt;90 ) ), 180-AN77, AN77)," ")</f>
        <v>0.0499551875751839</v>
      </c>
      <c r="S77" s="17" t="n">
        <f aca="false">IF(ISNUMBER(P77),$E$5+$O$10-P77," ")</f>
        <v>615.197611603892</v>
      </c>
      <c r="AB77" s="1" t="n">
        <f aca="false">COS(RADIANS(B77))</f>
        <v>0.681998360062499</v>
      </c>
      <c r="AC77" s="1" t="n">
        <f aca="false">-$V$15*AB77</f>
        <v>-0.0455766384751856</v>
      </c>
      <c r="AD77" s="1" t="n">
        <f aca="false">$AA$15+AC77*AC77</f>
        <v>1.00205019947071</v>
      </c>
      <c r="AF77" s="1" t="n">
        <f aca="false">AC77*AC77-AD77*$AE$15</f>
        <v>0.0020501440527848</v>
      </c>
      <c r="AG77" s="1" t="n">
        <f aca="false">IF(ISNUMBER(SQRT(AF77)),(-AC77+SQRT(AF77))/AD77,-100)</f>
        <v>0.0906692648559961</v>
      </c>
      <c r="AH77" s="1" t="n">
        <f aca="false">(AG77*AB77-$V$15)/((1-$V$15*AG77*AB77)*$Z$15)</f>
        <v>-0.0752329069386154</v>
      </c>
      <c r="AI77" s="1" t="n">
        <f aca="false">IF(ABS(AH77)&lt;=1,AH77,IF(ABS(AH77)&lt;=1.00001,1*SIGN(AH77),0))</f>
        <v>-0.0752329069386154</v>
      </c>
      <c r="AJ77" s="17" t="n">
        <f aca="false">DEGREES(ASIN( SQRT( (F77*(F77+2*$U$8)) / (L77*(L77+2*$U$10)) ) * SIN(RADIANS(B77))  ))</f>
        <v>19.5347248012379</v>
      </c>
      <c r="AK77" s="1" t="n">
        <f aca="false">IF(ISNUMBER(SQRT(AF77)),(-AC77-SQRT(AF77))/AD77,-100)</f>
        <v>0.000297512056496904</v>
      </c>
      <c r="AL77" s="1" t="n">
        <f aca="false">(AK77*AB77-$V$15)/((1-$V$15*AK77*AB77)*$Z$15)</f>
        <v>-0.999994691033238</v>
      </c>
      <c r="AM77" s="1" t="n">
        <f aca="false">IF(ABS(AL77)&lt;=1,AL77,IF(ABS(AL77)&lt;=1.00001,1*SIGN(AL77),0))</f>
        <v>-0.999994691033238</v>
      </c>
      <c r="AN77" s="17" t="n">
        <f aca="false">IF(ISNUMBER(P77),DEGREES(ASIN( SQRT( (P77*(P77+2*$U$8)) / (S77*(S77+2*$U$10)) ) * SIN(RADIANS(B77)) ) ),"ignore")</f>
        <v>0.0499551875751839</v>
      </c>
    </row>
    <row r="78" customFormat="false" ht="12.75" hidden="false" customHeight="false" outlineLevel="0" collapsed="false">
      <c r="B78" s="1" t="n">
        <v>48</v>
      </c>
      <c r="D78" s="27" t="n">
        <f aca="false">IF(ISNUMBER(F78),IF(ABS(AI78-1)&lt;0.000001,0,IF(ABS(AI78+1)&lt;0.000001,180,ROUND(DEGREES(ACOS(AI78)),3)))," ")</f>
        <v>96.321</v>
      </c>
      <c r="F78" s="17" t="n">
        <f aca="false">IF(AG78&gt;0.0000001,$U$8*((1/SQRT(1-AG78*AG78))-1),"none")</f>
        <v>214.790838559055</v>
      </c>
      <c r="H78" s="17" t="n">
        <f aca="false">IF(ISNUMBER(F78),$Z$15*(1+AC78/AG78)/(1+$V$15*$Z$15*AI78)/AG78," ")</f>
        <v>0.372663653682682</v>
      </c>
      <c r="J78" s="27" t="n">
        <f aca="false">IF(ISNUMBER(F78),IF( AND( ( (F78*(F78+2*$U$8)*AB78*AB78) &gt; ($E$5*($E$5+2*$U$5)) ), ( B78&lt;90 ) ), 180-AJ78, AJ78)," ")</f>
        <v>19.2544803006331</v>
      </c>
      <c r="L78" s="17" t="n">
        <f aca="false">IF(ISNUMBER(F78),$E$5+$O$10-F78," ")</f>
        <v>400.409161440945</v>
      </c>
      <c r="N78" s="1" t="n">
        <f aca="false">IF(ISNUMBER(P78),B78," ")</f>
        <v>48</v>
      </c>
      <c r="O78" s="27" t="n">
        <f aca="false">IF(ISNUMBER(P78), IF( ABS(AM78-1)&lt;0.000001,0, IF(ABS(AM78+1)&lt;0.000001,180,ROUND(DEGREES(ACOS(AM78)),3)))," ")</f>
        <v>179.807</v>
      </c>
      <c r="P78" s="17" t="n">
        <f aca="false">IF(AK78&gt;0.0000001,$U$8*((1/SQRT(1-AK78*AK78))-1),"none")</f>
        <v>0.00248177300223871</v>
      </c>
      <c r="Q78" s="17" t="n">
        <f aca="false">IF(ISNUMBER(P78),ABS($Z$15*(1+AC78/AK78)/(1+$V$15*$Z$15*AM78)/AK78)," ")</f>
        <v>32317.2297029807</v>
      </c>
      <c r="R78" s="27" t="n">
        <f aca="false">IF(ISNUMBER(P78),IF( AND( ( (P78*(P78+2*$U$8)*AB78*AB78) &gt; ($E$5*($E$5+2*$U$5)) ), ( B78&lt;90 ) ), 180-AN78, AN78)," ")</f>
        <v>0.0517433420684374</v>
      </c>
      <c r="S78" s="17" t="n">
        <f aca="false">IF(ISNUMBER(P78),$E$5+$O$10-P78," ")</f>
        <v>615.197518226998</v>
      </c>
      <c r="AB78" s="1" t="n">
        <f aca="false">COS(RADIANS(B78))</f>
        <v>0.669130606358858</v>
      </c>
      <c r="AC78" s="1" t="n">
        <f aca="false">-$V$15*AB78</f>
        <v>-0.0447167112482567</v>
      </c>
      <c r="AD78" s="1" t="n">
        <f aca="false">$AA$15+AC78*AC78</f>
        <v>1.00197255376087</v>
      </c>
      <c r="AF78" s="1" t="n">
        <f aca="false">AC78*AC78-AD78*$AE$15</f>
        <v>0.00197250044174967</v>
      </c>
      <c r="AG78" s="1" t="n">
        <f aca="false">IF(ISNUMBER(SQRT(AF78)),(-AC78+SQRT(AF78))/AD78,-100)</f>
        <v>0.0889540854880078</v>
      </c>
      <c r="AH78" s="1" t="n">
        <f aca="false">(AG78*AB78-$V$15)/((1-$V$15*AG78*AB78)*$Z$15)</f>
        <v>-0.110096746729551</v>
      </c>
      <c r="AI78" s="1" t="n">
        <f aca="false">IF(ABS(AH78)&lt;=1,AH78,IF(ABS(AH78)&lt;=1.00001,1*SIGN(AH78),0))</f>
        <v>-0.110096746729551</v>
      </c>
      <c r="AJ78" s="17" t="n">
        <f aca="false">DEGREES(ASIN( SQRT( (F78*(F78+2*$U$8)) / (L78*(L78+2*$U$10)) ) * SIN(RADIANS(B78))  ))</f>
        <v>19.2544803006331</v>
      </c>
      <c r="AK78" s="1" t="n">
        <f aca="false">IF(ISNUMBER(SQRT(AF78)),(-AC78-SQRT(AF78))/AD78,-100)</f>
        <v>0.000303272072164901</v>
      </c>
      <c r="AL78" s="1" t="n">
        <f aca="false">(AK78*AB78-$V$15)/((1-$V$15*AK78*AB78)*$Z$15)</f>
        <v>-0.999994304160042</v>
      </c>
      <c r="AM78" s="1" t="n">
        <f aca="false">IF(ABS(AL78)&lt;=1,AL78,IF(ABS(AL78)&lt;=1.00001,1*SIGN(AL78),0))</f>
        <v>-0.999994304160042</v>
      </c>
      <c r="AN78" s="17" t="n">
        <f aca="false">IF(ISNUMBER(P78),DEGREES(ASIN( SQRT( (P78*(P78+2*$U$8)) / (S78*(S78+2*$U$10)) ) * SIN(RADIANS(B78)) ) ),"ignore")</f>
        <v>0.0517433420684374</v>
      </c>
    </row>
    <row r="79" customFormat="false" ht="12.75" hidden="false" customHeight="false" outlineLevel="0" collapsed="false">
      <c r="B79" s="1" t="n">
        <v>49</v>
      </c>
      <c r="D79" s="27" t="n">
        <f aca="false">IF(ISNUMBER(F79),IF(ABS(AI79-1)&lt;0.000001,0,IF(ABS(AI79+1)&lt;0.000001,180,ROUND(DEGREES(ACOS(AI79)),3)))," ")</f>
        <v>98.327</v>
      </c>
      <c r="F79" s="17" t="n">
        <f aca="false">IF(AG79&gt;0.0000001,$U$8*((1/SQRT(1-AG79*AG79))-1),"none")</f>
        <v>206.408110832333</v>
      </c>
      <c r="H79" s="17" t="n">
        <f aca="false">IF(ISNUMBER(F79),$Z$15*(1+AC79/AG79)/(1+$V$15*$Z$15*AI79)/AG79," ")</f>
        <v>0.380147315621464</v>
      </c>
      <c r="J79" s="27" t="n">
        <f aca="false">IF(ISNUMBER(F79),IF( AND( ( (F79*(F79+2*$U$8)*AB79*AB79) &gt; ($E$5*($E$5+2*$U$5)) ), ( B79&lt;90 ) ), 180-AJ79, AJ79)," ")</f>
        <v>18.9592407402709</v>
      </c>
      <c r="L79" s="17" t="n">
        <f aca="false">IF(ISNUMBER(F79),$E$5+$O$10-F79," ")</f>
        <v>408.791889167667</v>
      </c>
      <c r="N79" s="1" t="n">
        <f aca="false">IF(ISNUMBER(P79),B79," ")</f>
        <v>49</v>
      </c>
      <c r="O79" s="27" t="n">
        <f aca="false">IF(ISNUMBER(P79), IF( ABS(AM79-1)&lt;0.000001,0, IF(ABS(AM79+1)&lt;0.000001,180,ROUND(DEGREES(ACOS(AM79)),3)))," ")</f>
        <v>179.8</v>
      </c>
      <c r="P79" s="17" t="n">
        <f aca="false">IF(AK79&gt;0.0000001,$U$8*((1/SQRT(1-AK79*AK79))-1),"none")</f>
        <v>0.00258236356157242</v>
      </c>
      <c r="Q79" s="17" t="n">
        <f aca="false">IF(ISNUMBER(P79),ABS($Z$15*(1+AC79/AK79)/(1+$V$15*$Z$15*AM79)/AK79)," ")</f>
        <v>30443.2508093989</v>
      </c>
      <c r="R79" s="27" t="n">
        <f aca="false">IF(ISNUMBER(P79),IF( AND( ( (P79*(P79+2*$U$8)*AB79*AB79) &gt; ($E$5*($E$5+2*$U$5)) ), ( B79&lt;90 ) ), 180-AN79, AN79)," ")</f>
        <v>0.0536029369302793</v>
      </c>
      <c r="S79" s="17" t="n">
        <f aca="false">IF(ISNUMBER(P79),$E$5+$O$10-P79," ")</f>
        <v>615.197417636438</v>
      </c>
      <c r="AB79" s="1" t="n">
        <f aca="false">COS(RADIANS(B79))</f>
        <v>0.656059028990507</v>
      </c>
      <c r="AC79" s="1" t="n">
        <f aca="false">-$V$15*AB79</f>
        <v>-0.0438431628779012</v>
      </c>
      <c r="AD79" s="1" t="n">
        <f aca="false">$AA$15+AC79*AC79</f>
        <v>1.00189519242715</v>
      </c>
      <c r="AF79" s="1" t="n">
        <f aca="false">AC79*AC79-AD79*$AE$15</f>
        <v>0.00189514119914371</v>
      </c>
      <c r="AG79" s="1" t="n">
        <f aca="false">IF(ISNUMBER(SQRT(AF79)),(-AC79+SQRT(AF79))/AD79,-100)</f>
        <v>0.0872111005503358</v>
      </c>
      <c r="AH79" s="1" t="n">
        <f aca="false">(AG79*AB79-$V$15)/((1-$V$15*AG79*AB79)*$Z$15)</f>
        <v>-0.14482753493537</v>
      </c>
      <c r="AI79" s="1" t="n">
        <f aca="false">IF(ABS(AH79)&lt;=1,AH79,IF(ABS(AH79)&lt;=1.00001,1*SIGN(AH79),0))</f>
        <v>-0.14482753493537</v>
      </c>
      <c r="AJ79" s="17" t="n">
        <f aca="false">DEGREES(ASIN( SQRT( (F79*(F79+2*$U$8)) / (L79*(L79+2*$U$10)) ) * SIN(RADIANS(B79))  ))</f>
        <v>18.9592407402709</v>
      </c>
      <c r="AK79" s="1" t="n">
        <f aca="false">IF(ISNUMBER(SQRT(AF79)),(-AC79-SQRT(AF79))/AD79,-100)</f>
        <v>0.000309357096912784</v>
      </c>
      <c r="AL79" s="1" t="n">
        <f aca="false">(AK79*AB79-$V$15)/((1-$V$15*AK79*AB79)*$Z$15)</f>
        <v>-0.999993887399545</v>
      </c>
      <c r="AM79" s="1" t="n">
        <f aca="false">IF(ABS(AL79)&lt;=1,AL79,IF(ABS(AL79)&lt;=1.00001,1*SIGN(AL79),0))</f>
        <v>-0.999993887399545</v>
      </c>
      <c r="AN79" s="17" t="n">
        <f aca="false">IF(ISNUMBER(P79),DEGREES(ASIN( SQRT( (P79*(P79+2*$U$8)) / (S79*(S79+2*$U$10)) ) * SIN(RADIANS(B79)) ) ),"ignore")</f>
        <v>0.0536029369302793</v>
      </c>
    </row>
    <row r="80" customFormat="false" ht="12.75" hidden="false" customHeight="false" outlineLevel="0" collapsed="false">
      <c r="B80" s="1" t="n">
        <v>50</v>
      </c>
      <c r="D80" s="27" t="n">
        <f aca="false">IF(ISNUMBER(F80),IF(ABS(AI80-1)&lt;0.000001,0,IF(ABS(AI80+1)&lt;0.000001,180,ROUND(DEGREES(ACOS(AI80)),3)))," ")</f>
        <v>100.334</v>
      </c>
      <c r="F80" s="17" t="n">
        <f aca="false">IF(AG80&gt;0.0000001,$U$8*((1/SQRT(1-AG80*AG80))-1),"none")</f>
        <v>198.067692047455</v>
      </c>
      <c r="H80" s="17" t="n">
        <f aca="false">IF(ISNUMBER(F80),$Z$15*(1+AC80/AG80)/(1+$V$15*$Z$15*AI80)/AG80," ")</f>
        <v>0.388055527869098</v>
      </c>
      <c r="J80" s="27" t="n">
        <f aca="false">IF(ISNUMBER(F80),IF( AND( ( (F80*(F80+2*$U$8)*AB80*AB80) &gt; ($E$5*($E$5+2*$U$5)) ), ( B80&lt;90 ) ), 180-AJ80, AJ80)," ")</f>
        <v>18.6496740107615</v>
      </c>
      <c r="L80" s="17" t="n">
        <f aca="false">IF(ISNUMBER(F80),$E$5+$O$10-F80," ")</f>
        <v>417.132307952545</v>
      </c>
      <c r="N80" s="1" t="n">
        <f aca="false">IF(ISNUMBER(P80),B80," ")</f>
        <v>50</v>
      </c>
      <c r="O80" s="27" t="n">
        <f aca="false">IF(ISNUMBER(P80), IF( ABS(AM80-1)&lt;0.000001,0, IF(ABS(AM80+1)&lt;0.000001,180,ROUND(DEGREES(ACOS(AM80)),3)))," ")</f>
        <v>179.792</v>
      </c>
      <c r="P80" s="17" t="n">
        <f aca="false">IF(AK80&gt;0.0000001,$U$8*((1/SQRT(1-AK80*AK80))-1),"none")</f>
        <v>0.00269089658297888</v>
      </c>
      <c r="Q80" s="17" t="n">
        <f aca="false">IF(ISNUMBER(P80),ABS($Z$15*(1+AC80/AK80)/(1+$V$15*$Z$15*AM80)/AK80)," ")</f>
        <v>28615.855577489</v>
      </c>
      <c r="R80" s="27" t="n">
        <f aca="false">IF(ISNUMBER(P80),IF( AND( ( (P80*(P80+2*$U$8)*AB80*AB80) &gt; ($E$5*($E$5+2*$U$5)) ), ( B80&lt;90 ) ), 180-AN80, AN80)," ")</f>
        <v>0.0555395739046926</v>
      </c>
      <c r="S80" s="17" t="n">
        <f aca="false">IF(ISNUMBER(P80),$E$5+$O$10-P80," ")</f>
        <v>615.197309103417</v>
      </c>
      <c r="AB80" s="1" t="n">
        <f aca="false">COS(RADIANS(B80))</f>
        <v>0.642787609686539</v>
      </c>
      <c r="AC80" s="1" t="n">
        <f aca="false">-$V$15*AB80</f>
        <v>-0.0429562594554148</v>
      </c>
      <c r="AD80" s="1" t="n">
        <f aca="false">$AA$15+AC80*AC80</f>
        <v>1.00181820972241</v>
      </c>
      <c r="AF80" s="1" t="n">
        <f aca="false">AC80*AC80-AD80*$AE$15</f>
        <v>0.00181816057528776</v>
      </c>
      <c r="AG80" s="1" t="n">
        <f aca="false">IF(ISNUMBER(SQRT(AF80)),(-AC80+SQRT(AF80))/AD80,-100)</f>
        <v>0.0854408043296736</v>
      </c>
      <c r="AH80" s="1" t="n">
        <f aca="false">(AG80*AB80-$V$15)/((1-$V$15*AG80*AB80)*$Z$15)</f>
        <v>-0.179383031404886</v>
      </c>
      <c r="AI80" s="1" t="n">
        <f aca="false">IF(ABS(AH80)&lt;=1,AH80,IF(ABS(AH80)&lt;=1.00001,1*SIGN(AH80),0))</f>
        <v>-0.179383031404886</v>
      </c>
      <c r="AJ80" s="17" t="n">
        <f aca="false">DEGREES(ASIN( SQRT( (F80*(F80+2*$U$8)) / (L80*(L80+2*$U$10)) ) * SIN(RADIANS(B80))  ))</f>
        <v>18.6496740107615</v>
      </c>
      <c r="AK80" s="1" t="n">
        <f aca="false">IF(ISNUMBER(SQRT(AF80)),(-AC80-SQRT(AF80))/AD80,-100)</f>
        <v>0.000315791105574589</v>
      </c>
      <c r="AL80" s="1" t="n">
        <f aca="false">(AK80*AB80-$V$15)/((1-$V$15*AK80*AB80)*$Z$15)</f>
        <v>-0.999993437732399</v>
      </c>
      <c r="AM80" s="1" t="n">
        <f aca="false">IF(ABS(AL80)&lt;=1,AL80,IF(ABS(AL80)&lt;=1.00001,1*SIGN(AL80),0))</f>
        <v>-0.999993437732399</v>
      </c>
      <c r="AN80" s="17" t="n">
        <f aca="false">IF(ISNUMBER(P80),DEGREES(ASIN( SQRT( (P80*(P80+2*$U$8)) / (S80*(S80+2*$U$10)) ) * SIN(RADIANS(B80)) ) ),"ignore")</f>
        <v>0.0555395739046926</v>
      </c>
    </row>
    <row r="81" customFormat="false" ht="12.75" hidden="false" customHeight="false" outlineLevel="0" collapsed="false">
      <c r="B81" s="1" t="n">
        <v>51</v>
      </c>
      <c r="D81" s="27" t="n">
        <f aca="false">IF(ISNUMBER(F81),IF(ABS(AI81-1)&lt;0.000001,0,IF(ABS(AI81+1)&lt;0.000001,180,ROUND(DEGREES(ACOS(AI81)),3)))," ")</f>
        <v>102.341</v>
      </c>
      <c r="F81" s="17" t="n">
        <f aca="false">IF(AG81&gt;0.0000001,$U$8*((1/SQRT(1-AG81*AG81))-1),"none")</f>
        <v>189.779721139985</v>
      </c>
      <c r="H81" s="17" t="n">
        <f aca="false">IF(ISNUMBER(F81),$Z$15*(1+AC81/AG81)/(1+$V$15*$Z$15*AI81)/AG81," ")</f>
        <v>0.396420055424492</v>
      </c>
      <c r="J81" s="27" t="n">
        <f aca="false">IF(ISNUMBER(F81),IF( AND( ( (F81*(F81+2*$U$8)*AB81*AB81) &gt; ($E$5*($E$5+2*$U$5)) ), ( B81&lt;90 ) ), 180-AJ81, AJ81)," ")</f>
        <v>18.3264197935563</v>
      </c>
      <c r="L81" s="17" t="n">
        <f aca="false">IF(ISNUMBER(F81),$E$5+$O$10-F81," ")</f>
        <v>425.420278860015</v>
      </c>
      <c r="N81" s="1" t="n">
        <f aca="false">IF(ISNUMBER(P81),B81," ")</f>
        <v>51</v>
      </c>
      <c r="O81" s="27" t="n">
        <f aca="false">IF(ISNUMBER(P81), IF( ABS(AM81-1)&lt;0.000001,0, IF(ABS(AM81+1)&lt;0.000001,180,ROUND(DEGREES(ACOS(AM81)),3)))," ")</f>
        <v>179.785</v>
      </c>
      <c r="P81" s="17" t="n">
        <f aca="false">IF(AK81&gt;0.0000001,$U$8*((1/SQRT(1-AK81*AK81))-1),"none")</f>
        <v>0.00280819689580814</v>
      </c>
      <c r="Q81" s="17" t="n">
        <f aca="false">IF(ISNUMBER(P81),ABS($Z$15*(1+AC81/AK81)/(1+$V$15*$Z$15*AM81)/AK81)," ")</f>
        <v>26837.4225474409</v>
      </c>
      <c r="R81" s="27" t="n">
        <f aca="false">IF(ISNUMBER(P81),IF( AND( ( (P81*(P81+2*$U$8)*AB81*AB81) &gt; ($E$5*($E$5+2*$U$5)) ), ( B81&lt;90 ) ), 180-AN81, AN81)," ")</f>
        <v>0.0575594310021513</v>
      </c>
      <c r="S81" s="17" t="n">
        <f aca="false">IF(ISNUMBER(P81),$E$5+$O$10-P81," ")</f>
        <v>615.197191803104</v>
      </c>
      <c r="AB81" s="1" t="n">
        <f aca="false">COS(RADIANS(B81))</f>
        <v>0.629320391049838</v>
      </c>
      <c r="AC81" s="1" t="n">
        <f aca="false">-$V$15*AB81</f>
        <v>-0.0420562711401717</v>
      </c>
      <c r="AD81" s="1" t="n">
        <f aca="false">$AA$15+AC81*AC81</f>
        <v>1.00174169943823</v>
      </c>
      <c r="AF81" s="1" t="n">
        <f aca="false">AC81*AC81-AD81*$AE$15</f>
        <v>0.00174165235921402</v>
      </c>
      <c r="AG81" s="1" t="n">
        <f aca="false">IF(ISNUMBER(SQRT(AF81)),(-AC81+SQRT(AF81))/AD81,-100)</f>
        <v>0.0836436976284258</v>
      </c>
      <c r="AH81" s="1" t="n">
        <f aca="false">(AG81*AB81-$V$15)/((1-$V$15*AG81*AB81)*$Z$15)</f>
        <v>-0.213721229140406</v>
      </c>
      <c r="AI81" s="1" t="n">
        <f aca="false">IF(ABS(AH81)&lt;=1,AH81,IF(ABS(AH81)&lt;=1.00001,1*SIGN(AH81),0))</f>
        <v>-0.213721229140406</v>
      </c>
      <c r="AJ81" s="17" t="n">
        <f aca="false">DEGREES(ASIN( SQRT( (F81*(F81+2*$U$8)) / (L81*(L81+2*$U$10)) ) * SIN(RADIANS(B81))  ))</f>
        <v>18.3264197935563</v>
      </c>
      <c r="AK81" s="1" t="n">
        <f aca="false">IF(ISNUMBER(SQRT(AF81)),(-AC81-SQRT(AF81))/AD81,-100)</f>
        <v>0.000322600597467431</v>
      </c>
      <c r="AL81" s="1" t="n">
        <f aca="false">(AK81*AB81-$V$15)/((1-$V$15*AK81*AB81)*$Z$15)</f>
        <v>-0.999992951741123</v>
      </c>
      <c r="AM81" s="1" t="n">
        <f aca="false">IF(ABS(AL81)&lt;=1,AL81,IF(ABS(AL81)&lt;=1.00001,1*SIGN(AL81),0))</f>
        <v>-0.999992951741123</v>
      </c>
      <c r="AN81" s="17" t="n">
        <f aca="false">IF(ISNUMBER(P81),DEGREES(ASIN( SQRT( (P81*(P81+2*$U$8)) / (S81*(S81+2*$U$10)) ) * SIN(RADIANS(B81)) ) ),"ignore")</f>
        <v>0.0575594310021513</v>
      </c>
    </row>
    <row r="82" customFormat="false" ht="12.75" hidden="false" customHeight="false" outlineLevel="0" collapsed="false">
      <c r="B82" s="1" t="n">
        <v>52</v>
      </c>
      <c r="D82" s="27" t="n">
        <f aca="false">IF(ISNUMBER(F82),IF(ABS(AI82-1)&lt;0.000001,0,IF(ABS(AI82+1)&lt;0.000001,180,ROUND(DEGREES(ACOS(AI82)),3)))," ")</f>
        <v>104.347</v>
      </c>
      <c r="F82" s="17" t="n">
        <f aca="false">IF(AG82&gt;0.0000001,$U$8*((1/SQRT(1-AG82*AG82))-1),"none")</f>
        <v>181.554268508568</v>
      </c>
      <c r="H82" s="17" t="n">
        <f aca="false">IF(ISNUMBER(F82),$Z$15*(1+AC82/AG82)/(1+$V$15*$Z$15*AI82)/AG82," ")</f>
        <v>0.405276038817097</v>
      </c>
      <c r="J82" s="27" t="n">
        <f aca="false">IF(ISNUMBER(F82),IF( AND( ( (F82*(F82+2*$U$8)*AB82*AB82) &gt; ($E$5*($E$5+2*$U$5)) ), ( B82&lt;90 ) ), 180-AJ82, AJ82)," ")</f>
        <v>17.9900906205837</v>
      </c>
      <c r="L82" s="17" t="n">
        <f aca="false">IF(ISNUMBER(F82),$E$5+$O$10-F82," ")</f>
        <v>433.645731491432</v>
      </c>
      <c r="N82" s="1" t="n">
        <f aca="false">IF(ISNUMBER(P82),B82," ")</f>
        <v>52</v>
      </c>
      <c r="O82" s="27" t="n">
        <f aca="false">IF(ISNUMBER(P82), IF( ABS(AM82-1)&lt;0.000001,0, IF(ABS(AM82+1)&lt;0.000001,180,ROUND(DEGREES(ACOS(AM82)),3)))," ")</f>
        <v>179.777</v>
      </c>
      <c r="P82" s="17" t="n">
        <f aca="false">IF(AK82&gt;0.0000001,$U$8*((1/SQRT(1-AK82*AK82))-1),"none")</f>
        <v>0.00293520105937786</v>
      </c>
      <c r="Q82" s="17" t="n">
        <f aca="false">IF(ISNUMBER(P82),ABS($Z$15*(1+AC82/AK82)/(1+$V$15*$Z$15*AM82)/AK82)," ")</f>
        <v>25110.1572563994</v>
      </c>
      <c r="R82" s="27" t="n">
        <f aca="false">IF(ISNUMBER(P82),IF( AND( ( (P82*(P82+2*$U$8)*AB82*AB82) &gt; ($E$5*($E$5+2*$U$5)) ), ( B82&lt;90 ) ), 180-AN82, AN82)," ")</f>
        <v>0.0596693411709519</v>
      </c>
      <c r="S82" s="17" t="n">
        <f aca="false">IF(ISNUMBER(P82),$E$5+$O$10-P82," ")</f>
        <v>615.197064798941</v>
      </c>
      <c r="AB82" s="1" t="n">
        <f aca="false">COS(RADIANS(B82))</f>
        <v>0.615661475325658</v>
      </c>
      <c r="AC82" s="1" t="n">
        <f aca="false">-$V$15*AB82</f>
        <v>-0.0411434720773309</v>
      </c>
      <c r="AD82" s="1" t="n">
        <f aca="false">$AA$15+AC82*AC82</f>
        <v>1.00166575479059</v>
      </c>
      <c r="AF82" s="1" t="n">
        <f aca="false">AC82*AC82-AD82*$AE$15</f>
        <v>0.0016657097643986</v>
      </c>
      <c r="AG82" s="1" t="n">
        <f aca="false">IF(ISNUMBER(SQRT(AF82)),(-AC82+SQRT(AF82))/AD82,-100)</f>
        <v>0.0818202872940757</v>
      </c>
      <c r="AH82" s="1" t="n">
        <f aca="false">(AG82*AB82-$V$15)/((1-$V$15*AG82*AB82)*$Z$15)</f>
        <v>-0.24780040510221</v>
      </c>
      <c r="AI82" s="1" t="n">
        <f aca="false">IF(ABS(AH82)&lt;=1,AH82,IF(ABS(AH82)&lt;=1.00001,1*SIGN(AH82),0))</f>
        <v>-0.24780040510221</v>
      </c>
      <c r="AJ82" s="17" t="n">
        <f aca="false">DEGREES(ASIN( SQRT( (F82*(F82+2*$U$8)) / (L82*(L82+2*$U$10)) ) * SIN(RADIANS(B82))  ))</f>
        <v>17.9900906205837</v>
      </c>
      <c r="AK82" s="1" t="n">
        <f aca="false">IF(ISNUMBER(SQRT(AF82)),(-AC82-SQRT(AF82))/AD82,-100)</f>
        <v>0.000329814934251783</v>
      </c>
      <c r="AL82" s="1" t="n">
        <f aca="false">(AK82*AB82-$V$15)/((1-$V$15*AK82*AB82)*$Z$15)</f>
        <v>-0.99999242554549</v>
      </c>
      <c r="AM82" s="1" t="n">
        <f aca="false">IF(ABS(AL82)&lt;=1,AL82,IF(ABS(AL82)&lt;=1.00001,1*SIGN(AL82),0))</f>
        <v>-0.99999242554549</v>
      </c>
      <c r="AN82" s="17" t="n">
        <f aca="false">IF(ISNUMBER(P82),DEGREES(ASIN( SQRT( (P82*(P82+2*$U$8)) / (S82*(S82+2*$U$10)) ) * SIN(RADIANS(B82)) ) ),"ignore")</f>
        <v>0.0596693411709519</v>
      </c>
    </row>
    <row r="83" customFormat="false" ht="12.75" hidden="false" customHeight="false" outlineLevel="0" collapsed="false">
      <c r="B83" s="1" t="n">
        <v>53</v>
      </c>
      <c r="D83" s="27" t="n">
        <f aca="false">IF(ISNUMBER(F83),IF(ABS(AI83-1)&lt;0.000001,0,IF(ABS(AI83+1)&lt;0.000001,180,ROUND(DEGREES(ACOS(AI83)),3)))," ")</f>
        <v>106.354</v>
      </c>
      <c r="F83" s="17" t="n">
        <f aca="false">IF(AG83&gt;0.0000001,$U$8*((1/SQRT(1-AG83*AG83))-1),"none")</f>
        <v>173.401323854773</v>
      </c>
      <c r="H83" s="17" t="n">
        <f aca="false">IF(ISNUMBER(F83),$Z$15*(1+AC83/AG83)/(1+$V$15*$Z$15*AI83)/AG83," ")</f>
        <v>0.414662448969455</v>
      </c>
      <c r="J83" s="27" t="n">
        <f aca="false">IF(ISNUMBER(F83),IF( AND( ( (F83*(F83+2*$U$8)*AB83*AB83) &gt; ($E$5*($E$5+2*$U$5)) ), ( B83&lt;90 ) ), 180-AJ83, AJ83)," ")</f>
        <v>17.6412729195279</v>
      </c>
      <c r="L83" s="17" t="n">
        <f aca="false">IF(ISNUMBER(F83),$E$5+$O$10-F83," ")</f>
        <v>441.798676145227</v>
      </c>
      <c r="N83" s="1" t="n">
        <f aca="false">IF(ISNUMBER(P83),B83," ")</f>
        <v>53</v>
      </c>
      <c r="O83" s="27" t="n">
        <f aca="false">IF(ISNUMBER(P83), IF( ABS(AM83-1)&lt;0.000001,0, IF(ABS(AM83+1)&lt;0.000001,180,ROUND(DEGREES(ACOS(AM83)),3)))," ")</f>
        <v>179.769</v>
      </c>
      <c r="P83" s="17" t="n">
        <f aca="false">IF(AK83&gt;0.0000001,$U$8*((1/SQRT(1-AK83*AK83))-1),"none")</f>
        <v>0.00307297594868543</v>
      </c>
      <c r="Q83" s="17" t="n">
        <f aca="false">IF(ISNUMBER(P83),ABS($Z$15*(1+AC83/AK83)/(1+$V$15*$Z$15*AM83)/AK83)," ")</f>
        <v>23436.087006829</v>
      </c>
      <c r="R83" s="27" t="n">
        <f aca="false">IF(ISNUMBER(P83),IF( AND( ( (P83*(P83+2*$U$8)*AB83*AB83) &gt; ($E$5*($E$5+2*$U$5)) ), ( B83&lt;90 ) ), 180-AN83, AN83)," ")</f>
        <v>0.0618768822119605</v>
      </c>
      <c r="S83" s="17" t="n">
        <f aca="false">IF(ISNUMBER(P83),$E$5+$O$10-P83," ")</f>
        <v>615.196927024051</v>
      </c>
      <c r="AB83" s="1" t="n">
        <f aca="false">COS(RADIANS(B83))</f>
        <v>0.601815023152048</v>
      </c>
      <c r="AC83" s="1" t="n">
        <f aca="false">-$V$15*AB83</f>
        <v>-0.0402181403143297</v>
      </c>
      <c r="AD83" s="1" t="n">
        <f aca="false">$AA$15+AC83*AC83</f>
        <v>1.00159046830636</v>
      </c>
      <c r="AF83" s="1" t="n">
        <f aca="false">AC83*AC83-AD83*$AE$15</f>
        <v>0.00159042531519521</v>
      </c>
      <c r="AG83" s="1" t="n">
        <f aca="false">IF(ISNUMBER(SQRT(AF83)),(-AC83+SQRT(AF83))/AD83,-100)</f>
        <v>0.079971085687376</v>
      </c>
      <c r="AH83" s="1" t="n">
        <f aca="false">(AG83*AB83-$V$15)/((1-$V$15*AG83*AB83)*$Z$15)</f>
        <v>-0.281579170589494</v>
      </c>
      <c r="AI83" s="1" t="n">
        <f aca="false">IF(ABS(AH83)&lt;=1,AH83,IF(ABS(AH83)&lt;=1.00001,1*SIGN(AH83),0))</f>
        <v>-0.281579170589494</v>
      </c>
      <c r="AJ83" s="17" t="n">
        <f aca="false">DEGREES(ASIN( SQRT( (F83*(F83+2*$U$8)) / (L83*(L83+2*$U$10)) ) * SIN(RADIANS(B83))  ))</f>
        <v>17.6412729195279</v>
      </c>
      <c r="AK83" s="1" t="n">
        <f aca="false">IF(ISNUMBER(SQRT(AF83)),(-AC83-SQRT(AF83))/AD83,-100)</f>
        <v>0.000337466733928105</v>
      </c>
      <c r="AL83" s="1" t="n">
        <f aca="false">(AK83*AB83-$V$15)/((1-$V$15*AK83*AB83)*$Z$15)</f>
        <v>-0.999991854725302</v>
      </c>
      <c r="AM83" s="1" t="n">
        <f aca="false">IF(ABS(AL83)&lt;=1,AL83,IF(ABS(AL83)&lt;=1.00001,1*SIGN(AL83),0))</f>
        <v>-0.999991854725302</v>
      </c>
      <c r="AN83" s="17" t="n">
        <f aca="false">IF(ISNUMBER(P83),DEGREES(ASIN( SQRT( (P83*(P83+2*$U$8)) / (S83*(S83+2*$U$10)) ) * SIN(RADIANS(B83)) ) ),"ignore")</f>
        <v>0.0618768822119605</v>
      </c>
    </row>
    <row r="84" customFormat="false" ht="12.75" hidden="false" customHeight="false" outlineLevel="0" collapsed="false">
      <c r="B84" s="1" t="n">
        <v>54</v>
      </c>
      <c r="D84" s="27" t="n">
        <f aca="false">IF(ISNUMBER(F84),IF(ABS(AI84-1)&lt;0.000001,0,IF(ABS(AI84+1)&lt;0.000001,180,ROUND(DEGREES(ACOS(AI84)),3)))," ")</f>
        <v>108.362</v>
      </c>
      <c r="F84" s="17" t="n">
        <f aca="false">IF(AG84&gt;0.0000001,$U$8*((1/SQRT(1-AG84*AG84))-1),"none")</f>
        <v>165.3307841387</v>
      </c>
      <c r="H84" s="17" t="n">
        <f aca="false">IF(ISNUMBER(F84),$Z$15*(1+AC84/AG84)/(1+$V$15*$Z$15*AI84)/AG84," ")</f>
        <v>0.424622617835332</v>
      </c>
      <c r="J84" s="27" t="n">
        <f aca="false">IF(ISNUMBER(F84),IF( AND( ( (F84*(F84+2*$U$8)*AB84*AB84) &gt; ($E$5*($E$5+2*$U$5)) ), ( B84&lt;90 ) ), 180-AJ84, AJ84)," ")</f>
        <v>17.2805280337229</v>
      </c>
      <c r="L84" s="17" t="n">
        <f aca="false">IF(ISNUMBER(F84),$E$5+$O$10-F84," ")</f>
        <v>449.8692158613</v>
      </c>
      <c r="N84" s="1" t="n">
        <f aca="false">IF(ISNUMBER(P84),B84," ")</f>
        <v>54</v>
      </c>
      <c r="O84" s="27" t="n">
        <f aca="false">IF(ISNUMBER(P84), IF( ABS(AM84-1)&lt;0.000001,0, IF(ABS(AM84+1)&lt;0.000001,180,ROUND(DEGREES(ACOS(AM84)),3)))," ")</f>
        <v>179.76</v>
      </c>
      <c r="P84" s="17" t="n">
        <f aca="false">IF(AK84&gt;0.0000001,$U$8*((1/SQRT(1-AK84*AK84))-1),"none")</f>
        <v>0.00322274113874722</v>
      </c>
      <c r="Q84" s="17" t="n">
        <f aca="false">IF(ISNUMBER(P84),ABS($Z$15*(1+AC84/AK84)/(1+$V$15*$Z$15*AM84)/AK84)," ")</f>
        <v>21817.0561350451</v>
      </c>
      <c r="R84" s="27" t="n">
        <f aca="false">IF(ISNUMBER(P84),IF( AND( ( (P84*(P84+2*$U$8)*AB84*AB84) &gt; ($E$5*($E$5+2*$U$5)) ), ( B84&lt;90 ) ), 180-AN84, AN84)," ")</f>
        <v>0.0641904826962108</v>
      </c>
      <c r="S84" s="17" t="n">
        <f aca="false">IF(ISNUMBER(P84),$E$5+$O$10-P84," ")</f>
        <v>615.196777258861</v>
      </c>
      <c r="AB84" s="1" t="n">
        <f aca="false">COS(RADIANS(B84))</f>
        <v>0.587785252292473</v>
      </c>
      <c r="AC84" s="1" t="n">
        <f aca="false">-$V$15*AB84</f>
        <v>-0.0392805577161869</v>
      </c>
      <c r="AD84" s="1" t="n">
        <f aca="false">$AA$15+AC84*AC84</f>
        <v>1.00151593171051</v>
      </c>
      <c r="AF84" s="1" t="n">
        <f aca="false">AC84*AC84-AD84*$AE$15</f>
        <v>0.00151589073410854</v>
      </c>
      <c r="AG84" s="1" t="n">
        <f aca="false">IF(ISNUMBER(SQRT(AF84)),(-AC84+SQRT(AF84))/AD84,-100)</f>
        <v>0.0780966100781051</v>
      </c>
      <c r="AH84" s="1" t="n">
        <f aca="false">(AG84*AB84-$V$15)/((1-$V$15*AG84*AB84)*$Z$15)</f>
        <v>-0.31501652114215</v>
      </c>
      <c r="AI84" s="1" t="n">
        <f aca="false">IF(ABS(AH84)&lt;=1,AH84,IF(ABS(AH84)&lt;=1.00001,1*SIGN(AH84),0))</f>
        <v>-0.31501652114215</v>
      </c>
      <c r="AJ84" s="17" t="n">
        <f aca="false">DEGREES(ASIN( SQRT( (F84*(F84+2*$U$8)) / (L84*(L84+2*$U$10)) ) * SIN(RADIANS(B84))  ))</f>
        <v>17.2805280337229</v>
      </c>
      <c r="AK84" s="1" t="n">
        <f aca="false">IF(ISNUMBER(SQRT(AF84)),(-AC84-SQRT(AF84))/AD84,-100)</f>
        <v>0.000345592332192916</v>
      </c>
      <c r="AL84" s="1" t="n">
        <f aca="false">(AK84*AB84-$V$15)/((1-$V$15*AK84*AB84)*$Z$15)</f>
        <v>-0.999991234227641</v>
      </c>
      <c r="AM84" s="1" t="n">
        <f aca="false">IF(ABS(AL84)&lt;=1,AL84,IF(ABS(AL84)&lt;=1.00001,1*SIGN(AL84),0))</f>
        <v>-0.999991234227641</v>
      </c>
      <c r="AN84" s="17" t="n">
        <f aca="false">IF(ISNUMBER(P84),DEGREES(ASIN( SQRT( (P84*(P84+2*$U$8)) / (S84*(S84+2*$U$10)) ) * SIN(RADIANS(B84)) ) ),"ignore")</f>
        <v>0.0641904826962108</v>
      </c>
    </row>
    <row r="85" customFormat="false" ht="12.75" hidden="false" customHeight="false" outlineLevel="0" collapsed="false">
      <c r="B85" s="1" t="n">
        <v>55</v>
      </c>
      <c r="D85" s="27" t="n">
        <f aca="false">IF(ISNUMBER(F85),IF(ABS(AI85-1)&lt;0.000001,0,IF(ABS(AI85+1)&lt;0.000001,180,ROUND(DEGREES(ACOS(AI85)),3)))," ")</f>
        <v>110.369</v>
      </c>
      <c r="F85" s="17" t="n">
        <f aca="false">IF(AG85&gt;0.0000001,$U$8*((1/SQRT(1-AG85*AG85))-1),"none")</f>
        <v>157.352441663167</v>
      </c>
      <c r="H85" s="17" t="n">
        <f aca="false">IF(ISNUMBER(F85),$Z$15*(1+AC85/AG85)/(1+$V$15*$Z$15*AI85)/AG85," ")</f>
        <v>0.435204859940634</v>
      </c>
      <c r="J85" s="27" t="n">
        <f aca="false">IF(ISNUMBER(F85),IF( AND( ( (F85*(F85+2*$U$8)*AB85*AB85) &gt; ($E$5*($E$5+2*$U$5)) ), ( B85&lt;90 ) ), 180-AJ85, AJ85)," ")</f>
        <v>16.9083932067218</v>
      </c>
      <c r="L85" s="17" t="n">
        <f aca="false">IF(ISNUMBER(F85),$E$5+$O$10-F85," ")</f>
        <v>457.847558336833</v>
      </c>
      <c r="N85" s="1" t="n">
        <f aca="false">IF(ISNUMBER(P85),B85," ")</f>
        <v>55</v>
      </c>
      <c r="O85" s="27" t="n">
        <f aca="false">IF(ISNUMBER(P85), IF( ABS(AM85-1)&lt;0.000001,0, IF(ABS(AM85+1)&lt;0.000001,180,ROUND(DEGREES(ACOS(AM85)),3)))," ")</f>
        <v>179.751</v>
      </c>
      <c r="P85" s="17" t="n">
        <f aca="false">IF(AK85&gt;0.0000001,$U$8*((1/SQRT(1-AK85*AK85))-1),"none")</f>
        <v>0.00338589593836167</v>
      </c>
      <c r="Q85" s="17" t="n">
        <f aca="false">IF(ISNUMBER(P85),ABS($Z$15*(1+AC85/AK85)/(1+$V$15*$Z$15*AM85)/AK85)," ")</f>
        <v>20254.7217926919</v>
      </c>
      <c r="R85" s="27" t="n">
        <f aca="false">IF(ISNUMBER(P85),IF( AND( ( (P85*(P85+2*$U$8)*AB85*AB85) &gt; ($E$5*($E$5+2*$U$5)) ), ( B85&lt;90 ) ), 180-AN85, AN85)," ")</f>
        <v>0.0666195466722438</v>
      </c>
      <c r="S85" s="17" t="n">
        <f aca="false">IF(ISNUMBER(P85),$E$5+$O$10-P85," ")</f>
        <v>615.196614104062</v>
      </c>
      <c r="AB85" s="1" t="n">
        <f aca="false">COS(RADIANS(B85))</f>
        <v>0.573576436351046</v>
      </c>
      <c r="AC85" s="1" t="n">
        <f aca="false">-$V$15*AB85</f>
        <v>-0.0383310098796444</v>
      </c>
      <c r="AD85" s="1" t="n">
        <f aca="false">$AA$15+AC85*AC85</f>
        <v>1.00144223581441</v>
      </c>
      <c r="AF85" s="1" t="n">
        <f aca="false">AC85*AC85-AD85*$AE$15</f>
        <v>0.00144219683004446</v>
      </c>
      <c r="AG85" s="1" t="n">
        <f aca="false">IF(ISNUMBER(SQRT(AF85)),(-AC85+SQRT(AF85))/AD85,-100)</f>
        <v>0.076197381954497</v>
      </c>
      <c r="AH85" s="1" t="n">
        <f aca="false">(AG85*AB85-$V$15)/((1-$V$15*AG85*AB85)*$Z$15)</f>
        <v>-0.348071885909388</v>
      </c>
      <c r="AI85" s="1" t="n">
        <f aca="false">IF(ABS(AH85)&lt;=1,AH85,IF(ABS(AH85)&lt;=1.00001,1*SIGN(AH85),0))</f>
        <v>-0.348071885909388</v>
      </c>
      <c r="AJ85" s="17" t="n">
        <f aca="false">DEGREES(ASIN( SQRT( (F85*(F85+2*$U$8)) / (L85*(L85+2*$U$10)) ) * SIN(RADIANS(B85))  ))</f>
        <v>16.9083932067218</v>
      </c>
      <c r="AK85" s="1" t="n">
        <f aca="false">IF(ISNUMBER(SQRT(AF85)),(-AC85-SQRT(AF85))/AD85,-100)</f>
        <v>0.000354232325027336</v>
      </c>
      <c r="AL85" s="1" t="n">
        <f aca="false">(AK85*AB85-$V$15)/((1-$V$15*AK85*AB85)*$Z$15)</f>
        <v>-0.999990558254923</v>
      </c>
      <c r="AM85" s="1" t="n">
        <f aca="false">IF(ABS(AL85)&lt;=1,AL85,IF(ABS(AL85)&lt;=1.00001,1*SIGN(AL85),0))</f>
        <v>-0.999990558254923</v>
      </c>
      <c r="AN85" s="17" t="n">
        <f aca="false">IF(ISNUMBER(P85),DEGREES(ASIN( SQRT( (P85*(P85+2*$U$8)) / (S85*(S85+2*$U$10)) ) * SIN(RADIANS(B85)) ) ),"ignore")</f>
        <v>0.0666195466722438</v>
      </c>
    </row>
    <row r="86" customFormat="false" ht="12.75" hidden="false" customHeight="false" outlineLevel="0" collapsed="false">
      <c r="B86" s="1" t="n">
        <v>56</v>
      </c>
      <c r="D86" s="27" t="n">
        <f aca="false">IF(ISNUMBER(F86),IF(ABS(AI86-1)&lt;0.000001,0,IF(ABS(AI86+1)&lt;0.000001,180,ROUND(DEGREES(ACOS(AI86)),3)))," ")</f>
        <v>112.377</v>
      </c>
      <c r="F86" s="17" t="n">
        <f aca="false">IF(AG86&gt;0.0000001,$U$8*((1/SQRT(1-AG86*AG86))-1),"none")</f>
        <v>149.475972299183</v>
      </c>
      <c r="H86" s="17" t="n">
        <f aca="false">IF(ISNUMBER(F86),$Z$15*(1+AC86/AG86)/(1+$V$15*$Z$15*AI86)/AG86," ")</f>
        <v>0.446463203504735</v>
      </c>
      <c r="J86" s="27" t="n">
        <f aca="false">IF(ISNUMBER(F86),IF( AND( ( (F86*(F86+2*$U$8)*AB86*AB86) &gt; ($E$5*($E$5+2*$U$5)) ), ( B86&lt;90 ) ), 180-AJ86, AJ86)," ")</f>
        <v>16.5253825223303</v>
      </c>
      <c r="L86" s="17" t="n">
        <f aca="false">IF(ISNUMBER(F86),$E$5+$O$10-F86," ")</f>
        <v>465.724027700817</v>
      </c>
      <c r="N86" s="1" t="n">
        <f aca="false">IF(ISNUMBER(P86),B86," ")</f>
        <v>56</v>
      </c>
      <c r="O86" s="27" t="n">
        <f aca="false">IF(ISNUMBER(P86), IF( ABS(AM86-1)&lt;0.000001,0, IF(ABS(AM86+1)&lt;0.000001,180,ROUND(DEGREES(ACOS(AM86)),3)))," ")</f>
        <v>179.741</v>
      </c>
      <c r="P86" s="17" t="n">
        <f aca="false">IF(AK86&gt;0.0000001,$U$8*((1/SQRT(1-AK86*AK86))-1),"none")</f>
        <v>0.00356405222366908</v>
      </c>
      <c r="Q86" s="17" t="n">
        <f aca="false">IF(ISNUMBER(P86),ABS($Z$15*(1+AC86/AK86)/(1+$V$15*$Z$15*AM86)/AK86)," ")</f>
        <v>18750.550252449</v>
      </c>
      <c r="R86" s="27" t="n">
        <f aca="false">IF(ISNUMBER(P86),IF( AND( ( (P86*(P86+2*$U$8)*AB86*AB86) &gt; ($E$5*($E$5+2*$U$5)) ), ( B86&lt;90 ) ), 180-AN86, AN86)," ")</f>
        <v>0.0691746012789096</v>
      </c>
      <c r="S86" s="17" t="n">
        <f aca="false">IF(ISNUMBER(P86),$E$5+$O$10-P86," ")</f>
        <v>615.196435947776</v>
      </c>
      <c r="AB86" s="1" t="n">
        <f aca="false">COS(RADIANS(B86))</f>
        <v>0.559192903470747</v>
      </c>
      <c r="AC86" s="1" t="n">
        <f aca="false">-$V$15*AB86</f>
        <v>-0.0373697860461717</v>
      </c>
      <c r="AD86" s="1" t="n">
        <f aca="false">$AA$15+AC86*AC86</f>
        <v>1.00136947040515</v>
      </c>
      <c r="AF86" s="1" t="n">
        <f aca="false">AC86*AC86-AD86*$AE$15</f>
        <v>0.0013694333876734</v>
      </c>
      <c r="AG86" s="1" t="n">
        <f aca="false">IF(ISNUMBER(SQRT(AF86)),(-AC86+SQRT(AF86))/AD86,-100)</f>
        <v>0.0742739262290725</v>
      </c>
      <c r="AH86" s="1" t="n">
        <f aca="false">(AG86*AB86-$V$15)/((1-$V$15*AG86*AB86)*$Z$15)</f>
        <v>-0.380705176433441</v>
      </c>
      <c r="AI86" s="1" t="n">
        <f aca="false">IF(ABS(AH86)&lt;=1,AH86,IF(ABS(AH86)&lt;=1.00001,1*SIGN(AH86),0))</f>
        <v>-0.380705176433441</v>
      </c>
      <c r="AJ86" s="17" t="n">
        <f aca="false">DEGREES(ASIN( SQRT( (F86*(F86+2*$U$8)) / (L86*(L86+2*$U$10)) ) * SIN(RADIANS(B86))  ))</f>
        <v>16.5253825223303</v>
      </c>
      <c r="AK86" s="1" t="n">
        <f aca="false">IF(ISNUMBER(SQRT(AF86)),(-AC86-SQRT(AF86))/AD86,-100)</f>
        <v>0.000363432209770476</v>
      </c>
      <c r="AL86" s="1" t="n">
        <f aca="false">(AK86*AB86-$V$15)/((1-$V$15*AK86*AB86)*$Z$15)</f>
        <v>-0.999989820129062</v>
      </c>
      <c r="AM86" s="1" t="n">
        <f aca="false">IF(ABS(AL86)&lt;=1,AL86,IF(ABS(AL86)&lt;=1.00001,1*SIGN(AL86),0))</f>
        <v>-0.999989820129062</v>
      </c>
      <c r="AN86" s="17" t="n">
        <f aca="false">IF(ISNUMBER(P86),DEGREES(ASIN( SQRT( (P86*(P86+2*$U$8)) / (S86*(S86+2*$U$10)) ) * SIN(RADIANS(B86)) ) ),"ignore")</f>
        <v>0.0691746012789096</v>
      </c>
    </row>
    <row r="87" customFormat="false" ht="12.75" hidden="false" customHeight="false" outlineLevel="0" collapsed="false">
      <c r="B87" s="1" t="n">
        <v>57</v>
      </c>
      <c r="D87" s="27" t="n">
        <f aca="false">IF(ISNUMBER(F87),IF(ABS(AI87-1)&lt;0.000001,0,IF(ABS(AI87+1)&lt;0.000001,180,ROUND(DEGREES(ACOS(AI87)),3)))," ")</f>
        <v>114.386</v>
      </c>
      <c r="F87" s="17" t="n">
        <f aca="false">IF(AG87&gt;0.0000001,$U$8*((1/SQRT(1-AG87*AG87))-1),"none")</f>
        <v>141.710923864434</v>
      </c>
      <c r="H87" s="17" t="n">
        <f aca="false">IF(ISNUMBER(F87),$Z$15*(1+AC87/AG87)/(1+$V$15*$Z$15*AI87)/AG87," ")</f>
        <v>0.458458254334911</v>
      </c>
      <c r="J87" s="27" t="n">
        <f aca="false">IF(ISNUMBER(F87),IF( AND( ( (F87*(F87+2*$U$8)*AB87*AB87) &gt; ($E$5*($E$5+2*$U$5)) ), ( B87&lt;90 ) ), 180-AJ87, AJ87)," ")</f>
        <v>16.1319877910958</v>
      </c>
      <c r="L87" s="17" t="n">
        <f aca="false">IF(ISNUMBER(F87),$E$5+$O$10-F87," ")</f>
        <v>473.489076135566</v>
      </c>
      <c r="N87" s="1" t="n">
        <f aca="false">IF(ISNUMBER(P87),B87," ")</f>
        <v>57</v>
      </c>
      <c r="O87" s="27" t="n">
        <f aca="false">IF(ISNUMBER(P87), IF( ABS(AM87-1)&lt;0.000001,0, IF(ABS(AM87+1)&lt;0.000001,180,ROUND(DEGREES(ACOS(AM87)),3)))," ")</f>
        <v>179.731</v>
      </c>
      <c r="P87" s="17" t="n">
        <f aca="false">IF(AK87&gt;0.0000001,$U$8*((1/SQRT(1-AK87*AK87))-1),"none")</f>
        <v>0.00375907435369448</v>
      </c>
      <c r="Q87" s="17" t="n">
        <f aca="false">IF(ISNUMBER(P87),ABS($Z$15*(1+AC87/AK87)/(1+$V$15*$Z$15*AM87)/AK87)," ")</f>
        <v>17305.8137478975</v>
      </c>
      <c r="R87" s="27" t="n">
        <f aca="false">IF(ISNUMBER(P87),IF( AND( ( (P87*(P87+2*$U$8)*AB87*AB87) &gt; ($E$5*($E$5+2*$U$5)) ), ( B87&lt;90 ) ), 180-AN87, AN87)," ")</f>
        <v>0.0718674705281529</v>
      </c>
      <c r="S87" s="17" t="n">
        <f aca="false">IF(ISNUMBER(P87),$E$5+$O$10-P87," ")</f>
        <v>615.196240925646</v>
      </c>
      <c r="AB87" s="1" t="n">
        <f aca="false">COS(RADIANS(B87))</f>
        <v>0.544639035015027</v>
      </c>
      <c r="AC87" s="1" t="n">
        <f aca="false">-$V$15*AB87</f>
        <v>-0.0363971790138602</v>
      </c>
      <c r="AD87" s="1" t="n">
        <f aca="false">$AA$15+AC87*AC87</f>
        <v>1.00129772413618</v>
      </c>
      <c r="AF87" s="1" t="n">
        <f aca="false">AC87*AC87-AD87*$AE$15</f>
        <v>0.00129768905804154</v>
      </c>
      <c r="AG87" s="1" t="n">
        <f aca="false">IF(ISNUMBER(SQRT(AF87)),(-AC87+SQRT(AF87))/AD87,-100)</f>
        <v>0.0723267703192784</v>
      </c>
      <c r="AH87" s="1" t="n">
        <f aca="false">(AG87*AB87-$V$15)/((1-$V$15*AG87*AB87)*$Z$15)</f>
        <v>-0.412876834798989</v>
      </c>
      <c r="AI87" s="1" t="n">
        <f aca="false">IF(ABS(AH87)&lt;=1,AH87,IF(ABS(AH87)&lt;=1.00001,1*SIGN(AH87),0))</f>
        <v>-0.412876834798989</v>
      </c>
      <c r="AJ87" s="17" t="n">
        <f aca="false">DEGREES(ASIN( SQRT( (F87*(F87+2*$U$8)) / (L87*(L87+2*$U$10)) ) * SIN(RADIANS(B87))  ))</f>
        <v>16.1319877910958</v>
      </c>
      <c r="AK87" s="1" t="n">
        <f aca="false">IF(ISNUMBER(SQRT(AF87)),(-AC87-SQRT(AF87))/AD87,-100)</f>
        <v>0.000373243146267175</v>
      </c>
      <c r="AL87" s="1" t="n">
        <f aca="false">(AK87*AB87-$V$15)/((1-$V$15*AK87*AB87)*$Z$15)</f>
        <v>-0.999989012125713</v>
      </c>
      <c r="AM87" s="1" t="n">
        <f aca="false">IF(ABS(AL87)&lt;=1,AL87,IF(ABS(AL87)&lt;=1.00001,1*SIGN(AL87),0))</f>
        <v>-0.999989012125713</v>
      </c>
      <c r="AN87" s="17" t="n">
        <f aca="false">IF(ISNUMBER(P87),DEGREES(ASIN( SQRT( (P87*(P87+2*$U$8)) / (S87*(S87+2*$U$10)) ) * SIN(RADIANS(B87)) ) ),"ignore")</f>
        <v>0.0718674705281529</v>
      </c>
    </row>
    <row r="88" customFormat="false" ht="12.75" hidden="false" customHeight="false" outlineLevel="0" collapsed="false">
      <c r="B88" s="1" t="n">
        <v>58</v>
      </c>
      <c r="D88" s="27" t="n">
        <f aca="false">IF(ISNUMBER(F88),IF(ABS(AI88-1)&lt;0.000001,0,IF(ABS(AI88+1)&lt;0.000001,180,ROUND(DEGREES(ACOS(AI88)),3)))," ")</f>
        <v>116.394</v>
      </c>
      <c r="F88" s="17" t="n">
        <f aca="false">IF(AG88&gt;0.0000001,$U$8*((1/SQRT(1-AG88*AG88))-1),"none")</f>
        <v>134.066704666064</v>
      </c>
      <c r="H88" s="17" t="n">
        <f aca="false">IF(ISNUMBER(F88),$Z$15*(1+AC88/AG88)/(1+$V$15*$Z$15*AI88)/AG88," ")</f>
        <v>0.471258221466234</v>
      </c>
      <c r="J88" s="27" t="n">
        <f aca="false">IF(ISNUMBER(F88),IF( AND( ( (F88*(F88+2*$U$8)*AB88*AB88) &gt; ($E$5*($E$5+2*$U$5)) ), ( B88&lt;90 ) ), 180-AJ88, AJ88)," ")</f>
        <v>15.72867937402</v>
      </c>
      <c r="L88" s="17" t="n">
        <f aca="false">IF(ISNUMBER(F88),$E$5+$O$10-F88," ")</f>
        <v>481.133295333936</v>
      </c>
      <c r="N88" s="1" t="n">
        <f aca="false">IF(ISNUMBER(P88),B88," ")</f>
        <v>58</v>
      </c>
      <c r="O88" s="27" t="n">
        <f aca="false">IF(ISNUMBER(P88), IF( ABS(AM88-1)&lt;0.000001,0, IF(ABS(AM88+1)&lt;0.000001,180,ROUND(DEGREES(ACOS(AM88)),3)))," ")</f>
        <v>179.721</v>
      </c>
      <c r="P88" s="17" t="n">
        <f aca="false">IF(AK88&gt;0.0000001,$U$8*((1/SQRT(1-AK88*AK88))-1),"none")</f>
        <v>0.00397312832482288</v>
      </c>
      <c r="Q88" s="17" t="n">
        <f aca="false">IF(ISNUMBER(P88),ABS($Z$15*(1+AC88/AK88)/(1+$V$15*$Z$15*AM88)/AK88)," ")</f>
        <v>15921.5878559511</v>
      </c>
      <c r="R88" s="27" t="n">
        <f aca="false">IF(ISNUMBER(P88),IF( AND( ( (P88*(P88+2*$U$8)*AB88*AB88) &gt; ($E$5*($E$5+2*$U$5)) ), ( B88&lt;90 ) ), 180-AN88, AN88)," ")</f>
        <v>0.0747114842181026</v>
      </c>
      <c r="S88" s="17" t="n">
        <f aca="false">IF(ISNUMBER(P88),$E$5+$O$10-P88," ")</f>
        <v>615.196026871675</v>
      </c>
      <c r="AB88" s="1" t="n">
        <f aca="false">COS(RADIANS(B88))</f>
        <v>0.529919264233205</v>
      </c>
      <c r="AC88" s="1" t="n">
        <f aca="false">-$V$15*AB88</f>
        <v>-0.0354134850482336</v>
      </c>
      <c r="AD88" s="1" t="n">
        <f aca="false">$AA$15+AC88*AC88</f>
        <v>1.00122708441927</v>
      </c>
      <c r="AF88" s="1" t="n">
        <f aca="false">AC88*AC88-AD88*$AE$15</f>
        <v>0.00122705125056317</v>
      </c>
      <c r="AG88" s="1" t="n">
        <f aca="false">IF(ISNUMBER(SQRT(AF88)),(-AC88+SQRT(AF88))/AD88,-100)</f>
        <v>0.070356443075734</v>
      </c>
      <c r="AH88" s="1" t="n">
        <f aca="false">(AG88*AB88-$V$15)/((1-$V$15*AG88*AB88)*$Z$15)</f>
        <v>-0.444547881101894</v>
      </c>
      <c r="AI88" s="1" t="n">
        <f aca="false">IF(ABS(AH88)&lt;=1,AH88,IF(ABS(AH88)&lt;=1.00001,1*SIGN(AH88),0))</f>
        <v>-0.444547881101894</v>
      </c>
      <c r="AJ88" s="17" t="n">
        <f aca="false">DEGREES(ASIN( SQRT( (F88*(F88+2*$U$8)) / (L88*(L88+2*$U$10)) ) * SIN(RADIANS(B88))  ))</f>
        <v>15.72867937402</v>
      </c>
      <c r="AK88" s="1" t="n">
        <f aca="false">IF(ISNUMBER(SQRT(AF88)),(-AC88-SQRT(AF88))/AD88,-100)</f>
        <v>0.00038372286529007</v>
      </c>
      <c r="AL88" s="1" t="n">
        <f aca="false">(AK88*AB88-$V$15)/((1-$V$15*AK88*AB88)*$Z$15)</f>
        <v>-0.999988125270797</v>
      </c>
      <c r="AM88" s="1" t="n">
        <f aca="false">IF(ABS(AL88)&lt;=1,AL88,IF(ABS(AL88)&lt;=1.00001,1*SIGN(AL88),0))</f>
        <v>-0.999988125270797</v>
      </c>
      <c r="AN88" s="17" t="n">
        <f aca="false">IF(ISNUMBER(P88),DEGREES(ASIN( SQRT( (P88*(P88+2*$U$8)) / (S88*(S88+2*$U$10)) ) * SIN(RADIANS(B88)) ) ),"ignore")</f>
        <v>0.0747114842181026</v>
      </c>
    </row>
    <row r="89" customFormat="false" ht="12.75" hidden="false" customHeight="false" outlineLevel="0" collapsed="false">
      <c r="B89" s="1" t="n">
        <v>59</v>
      </c>
      <c r="D89" s="27" t="n">
        <f aca="false">IF(ISNUMBER(F89),IF(ABS(AI89-1)&lt;0.000001,0,IF(ABS(AI89+1)&lt;0.000001,180,ROUND(DEGREES(ACOS(AI89)),3)))," ")</f>
        <v>118.404</v>
      </c>
      <c r="F89" s="17" t="n">
        <f aca="false">IF(AG89&gt;0.0000001,$U$8*((1/SQRT(1-AG89*AG89))-1),"none")</f>
        <v>126.552572218122</v>
      </c>
      <c r="H89" s="17" t="n">
        <f aca="false">IF(ISNUMBER(F89),$Z$15*(1+AC89/AG89)/(1+$V$15*$Z$15*AI89)/AG89," ")</f>
        <v>0.484940140968815</v>
      </c>
      <c r="J89" s="27" t="n">
        <f aca="false">IF(ISNUMBER(F89),IF( AND( ( (F89*(F89+2*$U$8)*AB89*AB89) &gt; ($E$5*($E$5+2*$U$5)) ), ( B89&lt;90 ) ), 180-AJ89, AJ89)," ")</f>
        <v>15.315906933439</v>
      </c>
      <c r="L89" s="17" t="n">
        <f aca="false">IF(ISNUMBER(F89),$E$5+$O$10-F89," ")</f>
        <v>488.647427781878</v>
      </c>
      <c r="N89" s="1" t="n">
        <f aca="false">IF(ISNUMBER(P89),B89," ")</f>
        <v>59</v>
      </c>
      <c r="O89" s="27" t="n">
        <f aca="false">IF(ISNUMBER(P89), IF( ABS(AM89-1)&lt;0.000001,0, IF(ABS(AM89+1)&lt;0.000001,180,ROUND(DEGREES(ACOS(AM89)),3)))," ")</f>
        <v>179.71</v>
      </c>
      <c r="P89" s="17" t="n">
        <f aca="false">IF(AK89&gt;0.0000001,$U$8*((1/SQRT(1-AK89*AK89))-1),"none")</f>
        <v>0.00420874247693569</v>
      </c>
      <c r="Q89" s="17" t="n">
        <f aca="false">IF(ISNUMBER(P89),ABS($Z$15*(1+AC89/AK89)/(1+$V$15*$Z$15*AM89)/AK89)," ")</f>
        <v>14598.7494288174</v>
      </c>
      <c r="R89" s="27" t="n">
        <f aca="false">IF(ISNUMBER(P89),IF( AND( ( (P89*(P89+2*$U$8)*AB89*AB89) &gt; ($E$5*($E$5+2*$U$5)) ), ( B89&lt;90 ) ), 180-AN89, AN89)," ")</f>
        <v>0.0777217284402515</v>
      </c>
      <c r="S89" s="17" t="n">
        <f aca="false">IF(ISNUMBER(P89),$E$5+$O$10-P89," ")</f>
        <v>615.195791257523</v>
      </c>
      <c r="AB89" s="1" t="n">
        <f aca="false">COS(RADIANS(B89))</f>
        <v>0.515038074910054</v>
      </c>
      <c r="AC89" s="1" t="n">
        <f aca="false">-$V$15*AB89</f>
        <v>-0.0344190037920032</v>
      </c>
      <c r="AD89" s="1" t="n">
        <f aca="false">$AA$15+AC89*AC89</f>
        <v>1.00115763731805</v>
      </c>
      <c r="AF89" s="1" t="n">
        <f aca="false">AC89*AC89-AD89*$AE$15</f>
        <v>0.00115760602652578</v>
      </c>
      <c r="AG89" s="1" t="n">
        <f aca="false">IF(ISNUMBER(SQRT(AF89)),(-AC89+SQRT(AF89))/AD89,-100)</f>
        <v>0.0683634735235853</v>
      </c>
      <c r="AH89" s="1" t="n">
        <f aca="false">(AG89*AB89-$V$15)/((1-$V$15*AG89*AB89)*$Z$15)</f>
        <v>-0.475679960194475</v>
      </c>
      <c r="AI89" s="1" t="n">
        <f aca="false">IF(ABS(AH89)&lt;=1,AH89,IF(ABS(AH89)&lt;=1.00001,1*SIGN(AH89),0))</f>
        <v>-0.475679960194475</v>
      </c>
      <c r="AJ89" s="17" t="n">
        <f aca="false">DEGREES(ASIN( SQRT( (F89*(F89+2*$U$8)) / (L89*(L89+2*$U$10)) ) * SIN(RADIANS(B89))  ))</f>
        <v>15.315906933439</v>
      </c>
      <c r="AK89" s="1" t="n">
        <f aca="false">IF(ISNUMBER(SQRT(AF89)),(-AC89-SQRT(AF89))/AD89,-100)</f>
        <v>0.000394936758748665</v>
      </c>
      <c r="AL89" s="1" t="n">
        <f aca="false">(AK89*AB89-$V$15)/((1-$V$15*AK89*AB89)*$Z$15)</f>
        <v>-0.999987149089132</v>
      </c>
      <c r="AM89" s="1" t="n">
        <f aca="false">IF(ABS(AL89)&lt;=1,AL89,IF(ABS(AL89)&lt;=1.00001,1*SIGN(AL89),0))</f>
        <v>-0.999987149089132</v>
      </c>
      <c r="AN89" s="17" t="n">
        <f aca="false">IF(ISNUMBER(P89),DEGREES(ASIN( SQRT( (P89*(P89+2*$U$8)) / (S89*(S89+2*$U$10)) ) * SIN(RADIANS(B89)) ) ),"ignore")</f>
        <v>0.0777217284402515</v>
      </c>
    </row>
    <row r="90" customFormat="false" ht="12.75" hidden="false" customHeight="false" outlineLevel="0" collapsed="false">
      <c r="B90" s="1" t="n">
        <v>60</v>
      </c>
      <c r="D90" s="27" t="n">
        <f aca="false">IF(ISNUMBER(F90),IF(ABS(AI90-1)&lt;0.000001,0,IF(ABS(AI90+1)&lt;0.000001,180,ROUND(DEGREES(ACOS(AI90)),3)))," ")</f>
        <v>120.413</v>
      </c>
      <c r="F90" s="17" t="n">
        <f aca="false">IF(AG90&gt;0.0000001,$U$8*((1/SQRT(1-AG90*AG90))-1),"none")</f>
        <v>119.177622142861</v>
      </c>
      <c r="H90" s="17" t="n">
        <f aca="false">IF(ISNUMBER(F90),$Z$15*(1+AC90/AG90)/(1+$V$15*$Z$15*AI90)/AG90," ")</f>
        <v>0.499591344016661</v>
      </c>
      <c r="J90" s="27" t="n">
        <f aca="false">IF(ISNUMBER(F90),IF( AND( ( (F90*(F90+2*$U$8)*AB90*AB90) &gt; ($E$5*($E$5+2*$U$5)) ), ( B90&lt;90 ) ), 180-AJ90, AJ90)," ")</f>
        <v>14.8941000995239</v>
      </c>
      <c r="L90" s="17" t="n">
        <f aca="false">IF(ISNUMBER(F90),$E$5+$O$10-F90," ")</f>
        <v>496.022377857139</v>
      </c>
      <c r="N90" s="1" t="n">
        <f aca="false">IF(ISNUMBER(P90),B90," ")</f>
        <v>60</v>
      </c>
      <c r="O90" s="27" t="n">
        <f aca="false">IF(ISNUMBER(P90), IF( ABS(AM90-1)&lt;0.000001,0, IF(ABS(AM90+1)&lt;0.000001,180,ROUND(DEGREES(ACOS(AM90)),3)))," ")</f>
        <v>179.698</v>
      </c>
      <c r="P90" s="17" t="n">
        <f aca="false">IF(AK90&gt;0.0000001,$U$8*((1/SQRT(1-AK90*AK90))-1),"none")</f>
        <v>0.00446888289076765</v>
      </c>
      <c r="Q90" s="17" t="n">
        <f aca="false">IF(ISNUMBER(P90),ABS($Z$15*(1+AC90/AK90)/(1+$V$15*$Z$15*AM90)/AK90)," ")</f>
        <v>13337.9750809316</v>
      </c>
      <c r="R90" s="27" t="n">
        <f aca="false">IF(ISNUMBER(P90),IF( AND( ( (P90*(P90+2*$U$8)*AB90*AB90) &gt; ($E$5*($E$5+2*$U$5)) ), ( B90&lt;90 ) ), 180-AN90, AN90)," ")</f>
        <v>0.0809153469915215</v>
      </c>
      <c r="S90" s="17" t="n">
        <f aca="false">IF(ISNUMBER(P90),$E$5+$O$10-P90," ")</f>
        <v>615.195531117109</v>
      </c>
      <c r="AB90" s="1" t="n">
        <f aca="false">COS(RADIANS(B90))</f>
        <v>0.5</v>
      </c>
      <c r="AC90" s="1" t="n">
        <f aca="false">-$V$15*AB90</f>
        <v>-0.0334140381737933</v>
      </c>
      <c r="AD90" s="1" t="n">
        <f aca="false">$AA$15+AC90*AC90</f>
        <v>1.00108946744309</v>
      </c>
      <c r="AF90" s="1" t="n">
        <f aca="false">AC90*AC90-AD90*$AE$15</f>
        <v>0.00108943799423765</v>
      </c>
      <c r="AG90" s="1" t="n">
        <f aca="false">IF(ISNUMBER(SQRT(AF90)),(-AC90+SQRT(AF90))/AD90,-100)</f>
        <v>0.066348389372857</v>
      </c>
      <c r="AH90" s="1" t="n">
        <f aca="false">(AG90*AB90-$V$15)/((1-$V$15*AG90*AB90)*$Z$15)</f>
        <v>-0.506235387668967</v>
      </c>
      <c r="AI90" s="1" t="n">
        <f aca="false">IF(ABS(AH90)&lt;=1,AH90,IF(ABS(AH90)&lt;=1.00001,1*SIGN(AH90),0))</f>
        <v>-0.506235387668967</v>
      </c>
      <c r="AJ90" s="17" t="n">
        <f aca="false">DEGREES(ASIN( SQRT( (F90*(F90+2*$U$8)) / (L90*(L90+2*$U$10)) ) * SIN(RADIANS(B90))  ))</f>
        <v>14.8941000995239</v>
      </c>
      <c r="AK90" s="1" t="n">
        <f aca="false">IF(ISNUMBER(SQRT(AF90)),(-AC90-SQRT(AF90))/AD90,-100)</f>
        <v>0.000406959195811831</v>
      </c>
      <c r="AL90" s="1" t="n">
        <f aca="false">(AK90*AB90-$V$15)/((1-$V$15*AK90*AB90)*$Z$15)</f>
        <v>-0.999986071291797</v>
      </c>
      <c r="AM90" s="1" t="n">
        <f aca="false">IF(ABS(AL90)&lt;=1,AL90,IF(ABS(AL90)&lt;=1.00001,1*SIGN(AL90),0))</f>
        <v>-0.999986071291797</v>
      </c>
      <c r="AN90" s="17" t="n">
        <f aca="false">IF(ISNUMBER(P90),DEGREES(ASIN( SQRT( (P90*(P90+2*$U$8)) / (S90*(S90+2*$U$10)) ) * SIN(RADIANS(B90)) ) ),"ignore")</f>
        <v>0.0809153469915215</v>
      </c>
    </row>
    <row r="91" customFormat="false" ht="12.75" hidden="false" customHeight="false" outlineLevel="0" collapsed="false">
      <c r="B91" s="1" t="n">
        <v>61</v>
      </c>
      <c r="D91" s="27" t="n">
        <f aca="false">IF(ISNUMBER(F91),IF(ABS(AI91-1)&lt;0.000001,0,IF(ABS(AI91+1)&lt;0.000001,180,ROUND(DEGREES(ACOS(AI91)),3)))," ")</f>
        <v>122.424</v>
      </c>
      <c r="F91" s="17" t="n">
        <f aca="false">IF(AG91&gt;0.0000001,$U$8*((1/SQRT(1-AG91*AG91))-1),"none")</f>
        <v>111.950777263771</v>
      </c>
      <c r="H91" s="17" t="n">
        <f aca="false">IF(ISNUMBER(F91),$Z$15*(1+AC91/AG91)/(1+$V$15*$Z$15*AI91)/AG91," ")</f>
        <v>0.515311227967849</v>
      </c>
      <c r="J91" s="27" t="n">
        <f aca="false">IF(ISNUMBER(F91),IF( AND( ( (F91*(F91+2*$U$8)*AB91*AB91) &gt; ($E$5*($E$5+2*$U$5)) ), ( B91&lt;90 ) ), 180-AJ91, AJ91)," ")</f>
        <v>14.4636690385257</v>
      </c>
      <c r="L91" s="17" t="n">
        <f aca="false">IF(ISNUMBER(F91),$E$5+$O$10-F91," ")</f>
        <v>503.249222736229</v>
      </c>
      <c r="N91" s="1" t="n">
        <f aca="false">IF(ISNUMBER(P91),B91," ")</f>
        <v>61</v>
      </c>
      <c r="O91" s="27" t="n">
        <f aca="false">IF(ISNUMBER(P91), IF( ABS(AM91-1)&lt;0.000001,0, IF(ABS(AM91+1)&lt;0.000001,180,ROUND(DEGREES(ACOS(AM91)),3)))," ")</f>
        <v>179.685</v>
      </c>
      <c r="P91" s="17" t="n">
        <f aca="false">IF(AK91&gt;0.0000001,$U$8*((1/SQRT(1-AK91*AK91))-1),"none")</f>
        <v>0.0047570479581454</v>
      </c>
      <c r="Q91" s="17" t="n">
        <f aca="false">IF(ISNUMBER(P91),ABS($Z$15*(1+AC91/AK91)/(1+$V$15*$Z$15*AM91)/AK91)," ")</f>
        <v>12139.7402348054</v>
      </c>
      <c r="R91" s="27" t="n">
        <f aca="false">IF(ISNUMBER(P91),IF( AND( ( (P91*(P91+2*$U$8)*AB91*AB91) &gt; ($E$5*($E$5+2*$U$5)) ), ( B91&lt;90 ) ), 180-AN91, AN91)," ")</f>
        <v>0.0843119086059435</v>
      </c>
      <c r="S91" s="17" t="n">
        <f aca="false">IF(ISNUMBER(P91),$E$5+$O$10-P91," ")</f>
        <v>615.195242952042</v>
      </c>
      <c r="AB91" s="1" t="n">
        <f aca="false">COS(RADIANS(B91))</f>
        <v>0.484809620246337</v>
      </c>
      <c r="AC91" s="1" t="n">
        <f aca="false">-$V$15*AB91</f>
        <v>-0.0323988943158667</v>
      </c>
      <c r="AD91" s="1" t="n">
        <f aca="false">$AA$15+AC91*AC91</f>
        <v>1.0010226578489</v>
      </c>
      <c r="AF91" s="1" t="n">
        <f aca="false">AC91*AC91-AD91*$AE$15</f>
        <v>0.00102263020594564</v>
      </c>
      <c r="AG91" s="1" t="n">
        <f aca="false">IF(ISNUMBER(SQRT(AF91)),(-AC91+SQRT(AF91))/AD91,-100)</f>
        <v>0.0643117152409555</v>
      </c>
      <c r="AH91" s="1" t="n">
        <f aca="false">(AG91*AB91-$V$15)/((1-$V$15*AG91*AB91)*$Z$15)</f>
        <v>-0.536177195046542</v>
      </c>
      <c r="AI91" s="1" t="n">
        <f aca="false">IF(ABS(AH91)&lt;=1,AH91,IF(ABS(AH91)&lt;=1.00001,1*SIGN(AH91),0))</f>
        <v>-0.536177195046542</v>
      </c>
      <c r="AJ91" s="17" t="n">
        <f aca="false">DEGREES(ASIN( SQRT( (F91*(F91+2*$U$8)) / (L91*(L91+2*$U$10)) ) * SIN(RADIANS(B91))  ))</f>
        <v>14.4636690385257</v>
      </c>
      <c r="AK91" s="1" t="n">
        <f aca="false">IF(ISNUMBER(SQRT(AF91)),(-AC91-SQRT(AF91))/AD91,-100)</f>
        <v>0.000419875121821487</v>
      </c>
      <c r="AL91" s="1" t="n">
        <f aca="false">(AK91*AB91-$V$15)/((1-$V$15*AK91*AB91)*$Z$15)</f>
        <v>-0.999984877384464</v>
      </c>
      <c r="AM91" s="1" t="n">
        <f aca="false">IF(ABS(AL91)&lt;=1,AL91,IF(ABS(AL91)&lt;=1.00001,1*SIGN(AL91),0))</f>
        <v>-0.999984877384464</v>
      </c>
      <c r="AN91" s="17" t="n">
        <f aca="false">IF(ISNUMBER(P91),DEGREES(ASIN( SQRT( (P91*(P91+2*$U$8)) / (S91*(S91+2*$U$10)) ) * SIN(RADIANS(B91)) ) ),"ignore")</f>
        <v>0.0843119086059435</v>
      </c>
    </row>
    <row r="92" customFormat="false" ht="12.75" hidden="false" customHeight="false" outlineLevel="0" collapsed="false">
      <c r="B92" s="1" t="n">
        <v>62</v>
      </c>
      <c r="D92" s="27" t="n">
        <f aca="false">IF(ISNUMBER(F92),IF(ABS(AI92-1)&lt;0.000001,0,IF(ABS(AI92+1)&lt;0.000001,180,ROUND(DEGREES(ACOS(AI92)),3)))," ")</f>
        <v>124.435</v>
      </c>
      <c r="F92" s="17" t="n">
        <f aca="false">IF(AG92&gt;0.0000001,$U$8*((1/SQRT(1-AG92*AG92))-1),"none")</f>
        <v>104.880776896442</v>
      </c>
      <c r="H92" s="17" t="n">
        <f aca="false">IF(ISNUMBER(F92),$Z$15*(1+AC92/AG92)/(1+$V$15*$Z$15*AI92)/AG92," ")</f>
        <v>0.532213405900117</v>
      </c>
      <c r="J92" s="27" t="n">
        <f aca="false">IF(ISNUMBER(F92),IF( AND( ( (F92*(F92+2*$U$8)*AB92*AB92) &gt; ($E$5*($E$5+2*$U$5)) ), ( B92&lt;90 ) ), 180-AJ92, AJ92)," ")</f>
        <v>14.0250049054539</v>
      </c>
      <c r="L92" s="17" t="n">
        <f aca="false">IF(ISNUMBER(F92),$E$5+$O$10-F92," ")</f>
        <v>510.319223103558</v>
      </c>
      <c r="N92" s="1" t="n">
        <f aca="false">IF(ISNUMBER(P92),B92," ")</f>
        <v>62</v>
      </c>
      <c r="O92" s="27" t="n">
        <f aca="false">IF(ISNUMBER(P92), IF( ABS(AM92-1)&lt;0.000001,0, IF(ABS(AM92+1)&lt;0.000001,180,ROUND(DEGREES(ACOS(AM92)),3)))," ")</f>
        <v>179.671</v>
      </c>
      <c r="P92" s="17" t="n">
        <f aca="false">IF(AK92&gt;0.0000001,$U$8*((1/SQRT(1-AK92*AK92))-1),"none")</f>
        <v>0.0050773877331755</v>
      </c>
      <c r="Q92" s="17" t="n">
        <f aca="false">IF(ISNUMBER(P92),ABS($Z$15*(1+AC92/AK92)/(1+$V$15*$Z$15*AM92)/AK92)," ")</f>
        <v>11004.3187282099</v>
      </c>
      <c r="R92" s="27" t="n">
        <f aca="false">IF(ISNUMBER(P92),IF( AND( ( (P92*(P92+2*$U$8)*AB92*AB92) &gt; ($E$5*($E$5+2*$U$5)) ), ( B92&lt;90 ) ), 180-AN92, AN92)," ")</f>
        <v>0.0879338557031131</v>
      </c>
      <c r="S92" s="17" t="n">
        <f aca="false">IF(ISNUMBER(P92),$E$5+$O$10-P92," ")</f>
        <v>615.194922612267</v>
      </c>
      <c r="AB92" s="1" t="n">
        <f aca="false">COS(RADIANS(B92))</f>
        <v>0.469471562785891</v>
      </c>
      <c r="AC92" s="1" t="n">
        <f aca="false">-$V$15*AB92</f>
        <v>-0.0313738814408764</v>
      </c>
      <c r="AD92" s="1" t="n">
        <f aca="false">$AA$15+AC92*AC92</f>
        <v>1.00095728993268</v>
      </c>
      <c r="AF92" s="1" t="n">
        <f aca="false">AC92*AC92-AD92*$AE$15</f>
        <v>0.000957264056648821</v>
      </c>
      <c r="AG92" s="1" t="n">
        <f aca="false">IF(ISNUMBER(SQRT(AF92)),(-AC92+SQRT(AF92))/AD92,-100)</f>
        <v>0.0622539705134038</v>
      </c>
      <c r="AH92" s="1" t="n">
        <f aca="false">(AG92*AB92-$V$15)/((1-$V$15*AG92*AB92)*$Z$15)</f>
        <v>-0.565469174146597</v>
      </c>
      <c r="AI92" s="1" t="n">
        <f aca="false">IF(ABS(AH92)&lt;=1,AH92,IF(ABS(AH92)&lt;=1.00001,1*SIGN(AH92),0))</f>
        <v>-0.565469174146597</v>
      </c>
      <c r="AJ92" s="17" t="n">
        <f aca="false">DEGREES(ASIN( SQRT( (F92*(F92+2*$U$8)) / (L92*(L92+2*$U$10)) ) * SIN(RADIANS(B92))  ))</f>
        <v>14.0250049054539</v>
      </c>
      <c r="AK92" s="1" t="n">
        <f aca="false">IF(ISNUMBER(SQRT(AF92)),(-AC92-SQRT(AF92))/AD92,-100)</f>
        <v>0.00043378201395229</v>
      </c>
      <c r="AL92" s="1" t="n">
        <f aca="false">(AK92*AB92-$V$15)/((1-$V$15*AK92*AB92)*$Z$15)</f>
        <v>-0.999983550172934</v>
      </c>
      <c r="AM92" s="1" t="n">
        <f aca="false">IF(ABS(AL92)&lt;=1,AL92,IF(ABS(AL92)&lt;=1.00001,1*SIGN(AL92),0))</f>
        <v>-0.999983550172934</v>
      </c>
      <c r="AN92" s="17" t="n">
        <f aca="false">IF(ISNUMBER(P92),DEGREES(ASIN( SQRT( (P92*(P92+2*$U$8)) / (S92*(S92+2*$U$10)) ) * SIN(RADIANS(B92)) ) ),"ignore")</f>
        <v>0.0879338557031131</v>
      </c>
    </row>
    <row r="93" customFormat="false" ht="12.75" hidden="false" customHeight="false" outlineLevel="0" collapsed="false">
      <c r="B93" s="1" t="n">
        <v>63</v>
      </c>
      <c r="D93" s="27" t="n">
        <f aca="false">IF(ISNUMBER(F93),IF(ABS(AI93-1)&lt;0.000001,0,IF(ABS(AI93+1)&lt;0.000001,180,ROUND(DEGREES(ACOS(AI93)),3)))," ")</f>
        <v>126.447</v>
      </c>
      <c r="F93" s="17" t="n">
        <f aca="false">IF(AG93&gt;0.0000001,$U$8*((1/SQRT(1-AG93*AG93))-1),"none")</f>
        <v>97.9761663411223</v>
      </c>
      <c r="H93" s="17" t="n">
        <f aca="false">IF(ISNUMBER(F93),$Z$15*(1+AC93/AG93)/(1+$V$15*$Z$15*AI93)/AG93," ")</f>
        <v>0.550428332259319</v>
      </c>
      <c r="J93" s="27" t="n">
        <f aca="false">IF(ISNUMBER(F93),IF( AND( ( (F93*(F93+2*$U$8)*AB93*AB93) &gt; ($E$5*($E$5+2*$U$5)) ), ( B93&lt;90 ) ), 180-AJ93, AJ93)," ")</f>
        <v>13.5784801589888</v>
      </c>
      <c r="L93" s="17" t="n">
        <f aca="false">IF(ISNUMBER(F93),$E$5+$O$10-F93," ")</f>
        <v>517.223833658878</v>
      </c>
      <c r="N93" s="1" t="n">
        <f aca="false">IF(ISNUMBER(P93),B93," ")</f>
        <v>63</v>
      </c>
      <c r="O93" s="27" t="n">
        <f aca="false">IF(ISNUMBER(P93), IF( ABS(AM93-1)&lt;0.000001,0, IF(ABS(AM93+1)&lt;0.000001,180,ROUND(DEGREES(ACOS(AM93)),3)))," ")</f>
        <v>179.657</v>
      </c>
      <c r="P93" s="17" t="n">
        <f aca="false">IF(AK93&gt;0.0000001,$U$8*((1/SQRT(1-AK93*AK93))-1),"none")</f>
        <v>0.0054348558413821</v>
      </c>
      <c r="Q93" s="17" t="n">
        <f aca="false">IF(ISNUMBER(P93),ABS($Z$15*(1+AC93/AK93)/(1+$V$15*$Z$15*AM93)/AK93)," ")</f>
        <v>9931.78298360174</v>
      </c>
      <c r="R93" s="27" t="n">
        <f aca="false">IF(ISNUMBER(P93),IF( AND( ( (P93*(P93+2*$U$8)*AB93*AB93) &gt; ($E$5*($E$5+2*$U$5)) ), ( B93&lt;90 ) ), 180-AN93, AN93)," ")</f>
        <v>0.0918070570334792</v>
      </c>
      <c r="S93" s="17" t="n">
        <f aca="false">IF(ISNUMBER(P93),$E$5+$O$10-P93," ")</f>
        <v>615.194565144159</v>
      </c>
      <c r="AB93" s="1" t="n">
        <f aca="false">COS(RADIANS(B93))</f>
        <v>0.453990499739547</v>
      </c>
      <c r="AC93" s="1" t="n">
        <f aca="false">-$V$15*AB93</f>
        <v>-0.0303393117776735</v>
      </c>
      <c r="AD93" s="1" t="n">
        <f aca="false">$AA$15+AC93*AC93</f>
        <v>1.00089344333515</v>
      </c>
      <c r="AF93" s="1" t="n">
        <f aca="false">AC93*AC93-AD93*$AE$15</f>
        <v>0.000893419184931241</v>
      </c>
      <c r="AG93" s="1" t="n">
        <f aca="false">IF(ISNUMBER(SQRT(AF93)),(-AC93+SQRT(AF93))/AD93,-100)</f>
        <v>0.0601756667457947</v>
      </c>
      <c r="AH93" s="1" t="n">
        <f aca="false">(AG93*AB93-$V$15)/((1-$V$15*AG93*AB93)*$Z$15)</f>
        <v>-0.594075920620813</v>
      </c>
      <c r="AI93" s="1" t="n">
        <f aca="false">IF(ABS(AH93)&lt;=1,AH93,IF(ABS(AH93)&lt;=1.00001,1*SIGN(AH93),0))</f>
        <v>-0.594075920620813</v>
      </c>
      <c r="AJ93" s="17" t="n">
        <f aca="false">DEGREES(ASIN( SQRT( (F93*(F93+2*$U$8)) / (L93*(L93+2*$U$10)) ) * SIN(RADIANS(B93))  ))</f>
        <v>13.5784801589888</v>
      </c>
      <c r="AK93" s="1" t="n">
        <f aca="false">IF(ISNUMBER(SQRT(AF93)),(-AC93-SQRT(AF93))/AD93,-100)</f>
        <v>0.000448792290678702</v>
      </c>
      <c r="AL93" s="1" t="n">
        <f aca="false">(AK93*AB93-$V$15)/((1-$V$15*AK93*AB93)*$Z$15)</f>
        <v>-0.999982069133675</v>
      </c>
      <c r="AM93" s="1" t="n">
        <f aca="false">IF(ABS(AL93)&lt;=1,AL93,IF(ABS(AL93)&lt;=1.00001,1*SIGN(AL93),0))</f>
        <v>-0.999982069133675</v>
      </c>
      <c r="AN93" s="17" t="n">
        <f aca="false">IF(ISNUMBER(P93),DEGREES(ASIN( SQRT( (P93*(P93+2*$U$8)) / (S93*(S93+2*$U$10)) ) * SIN(RADIANS(B93)) ) ),"ignore")</f>
        <v>0.0918070570334792</v>
      </c>
    </row>
    <row r="94" customFormat="false" ht="12.75" hidden="false" customHeight="false" outlineLevel="0" collapsed="false">
      <c r="B94" s="1" t="n">
        <v>64</v>
      </c>
      <c r="D94" s="27" t="n">
        <f aca="false">IF(ISNUMBER(F94),IF(ABS(AI94-1)&lt;0.000001,0,IF(ABS(AI94+1)&lt;0.000001,180,ROUND(DEGREES(ACOS(AI94)),3)))," ")</f>
        <v>128.46</v>
      </c>
      <c r="F94" s="17" t="n">
        <f aca="false">IF(AG94&gt;0.0000001,$U$8*((1/SQRT(1-AG94*AG94))-1),"none")</f>
        <v>91.2452865772656</v>
      </c>
      <c r="H94" s="17" t="n">
        <f aca="false">IF(ISNUMBER(F94),$Z$15*(1+AC94/AG94)/(1+$V$15*$Z$15*AI94)/AG94," ")</f>
        <v>0.570106532107271</v>
      </c>
      <c r="J94" s="27" t="n">
        <f aca="false">IF(ISNUMBER(F94),IF( AND( ( (F94*(F94+2*$U$8)*AB94*AB94) &gt; ($E$5*($E$5+2*$U$5)) ), ( B94&lt;90 ) ), 180-AJ94, AJ94)," ")</f>
        <v>13.1244487094599</v>
      </c>
      <c r="L94" s="17" t="n">
        <f aca="false">IF(ISNUMBER(F94),$E$5+$O$10-F94," ")</f>
        <v>523.954713422735</v>
      </c>
      <c r="N94" s="1" t="n">
        <f aca="false">IF(ISNUMBER(P94),B94," ")</f>
        <v>64</v>
      </c>
      <c r="O94" s="27" t="n">
        <f aca="false">IF(ISNUMBER(P94), IF( ABS(AM94-1)&lt;0.000001,0, IF(ABS(AM94+1)&lt;0.000001,180,ROUND(DEGREES(ACOS(AM94)),3)))," ")</f>
        <v>179.641</v>
      </c>
      <c r="P94" s="17" t="n">
        <f aca="false">IF(AK94&gt;0.0000001,$U$8*((1/SQRT(1-AK94*AK94))-1),"none")</f>
        <v>0.00583540459972649</v>
      </c>
      <c r="Q94" s="17" t="n">
        <f aca="false">IF(ISNUMBER(P94),ABS($Z$15*(1+AC94/AK94)/(1+$V$15*$Z$15*AM94)/AK94)," ")</f>
        <v>8922.00473917539</v>
      </c>
      <c r="R94" s="27" t="n">
        <f aca="false">IF(ISNUMBER(P94),IF( AND( ( (P94*(P94+2*$U$8)*AB94*AB94) &gt; ($E$5*($E$5+2*$U$5)) ), ( B94&lt;90 ) ), 180-AN94, AN94)," ")</f>
        <v>0.0959614939693993</v>
      </c>
      <c r="S94" s="17" t="n">
        <f aca="false">IF(ISNUMBER(P94),$E$5+$O$10-P94," ")</f>
        <v>615.1941645954</v>
      </c>
      <c r="AB94" s="1" t="n">
        <f aca="false">COS(RADIANS(B94))</f>
        <v>0.438371146789077</v>
      </c>
      <c r="AC94" s="1" t="n">
        <f aca="false">-$V$15*AB94</f>
        <v>-0.0292955004661996</v>
      </c>
      <c r="AD94" s="1" t="n">
        <f aca="false">$AA$15+AC94*AC94</f>
        <v>1.00083119584358</v>
      </c>
      <c r="AF94" s="1" t="n">
        <f aca="false">AC94*AC94-AD94*$AE$15</f>
        <v>0.000831173375934533</v>
      </c>
      <c r="AG94" s="1" t="n">
        <f aca="false">IF(ISNUMBER(SQRT(AF94)),(-AC94+SQRT(AF94))/AD94,-100)</f>
        <v>0.0580773044783425</v>
      </c>
      <c r="AH94" s="1" t="n">
        <f aca="false">(AG94*AB94-$V$15)/((1-$V$15*AG94*AB94)*$Z$15)</f>
        <v>-0.621962876649749</v>
      </c>
      <c r="AI94" s="1" t="n">
        <f aca="false">IF(ABS(AH94)&lt;=1,AH94,IF(ABS(AH94)&lt;=1.00001,1*SIGN(AH94),0))</f>
        <v>-0.621962876649749</v>
      </c>
      <c r="AJ94" s="17" t="n">
        <f aca="false">DEGREES(ASIN( SQRT( (F94*(F94+2*$U$8)) / (L94*(L94+2*$U$10)) ) * SIN(RADIANS(B94))  ))</f>
        <v>13.1244487094599</v>
      </c>
      <c r="AK94" s="1" t="n">
        <f aca="false">IF(ISNUMBER(SQRT(AF94)),(-AC94-SQRT(AF94))/AD94,-100)</f>
        <v>0.000465036303725319</v>
      </c>
      <c r="AL94" s="1" t="n">
        <f aca="false">(AK94*AB94-$V$15)/((1-$V$15*AK94*AB94)*$Z$15)</f>
        <v>-0.999980409605328</v>
      </c>
      <c r="AM94" s="1" t="n">
        <f aca="false">IF(ABS(AL94)&lt;=1,AL94,IF(ABS(AL94)&lt;=1.00001,1*SIGN(AL94),0))</f>
        <v>-0.999980409605328</v>
      </c>
      <c r="AN94" s="17" t="n">
        <f aca="false">IF(ISNUMBER(P94),DEGREES(ASIN( SQRT( (P94*(P94+2*$U$8)) / (S94*(S94+2*$U$10)) ) * SIN(RADIANS(B94)) ) ),"ignore")</f>
        <v>0.0959614939693993</v>
      </c>
    </row>
    <row r="95" customFormat="false" ht="12.75" hidden="false" customHeight="false" outlineLevel="0" collapsed="false">
      <c r="B95" s="1" t="n">
        <v>65</v>
      </c>
      <c r="D95" s="27" t="n">
        <f aca="false">IF(ISNUMBER(F95),IF(ABS(AI95-1)&lt;0.000001,0,IF(ABS(AI95+1)&lt;0.000001,180,ROUND(DEGREES(ACOS(AI95)),3)))," ")</f>
        <v>130.474</v>
      </c>
      <c r="F95" s="17" t="n">
        <f aca="false">IF(AG95&gt;0.0000001,$U$8*((1/SQRT(1-AG95*AG95))-1),"none")</f>
        <v>84.6962641564335</v>
      </c>
      <c r="H95" s="17" t="n">
        <f aca="false">IF(ISNUMBER(F95),$Z$15*(1+AC95/AG95)/(1+$V$15*$Z$15*AI95)/AG95," ")</f>
        <v>0.591422601902786</v>
      </c>
      <c r="J95" s="27" t="n">
        <f aca="false">IF(ISNUMBER(F95),IF( AND( ( (F95*(F95+2*$U$8)*AB95*AB95) &gt; ($E$5*($E$5+2*$U$5)) ), ( B95&lt;90 ) ), 180-AJ95, AJ95)," ")</f>
        <v>12.6632458609819</v>
      </c>
      <c r="L95" s="17" t="n">
        <f aca="false">IF(ISNUMBER(F95),$E$5+$O$10-F95," ")</f>
        <v>530.503735843567</v>
      </c>
      <c r="N95" s="1" t="n">
        <f aca="false">IF(ISNUMBER(P95),B95," ")</f>
        <v>65</v>
      </c>
      <c r="O95" s="27" t="n">
        <f aca="false">IF(ISNUMBER(P95), IF( ABS(AM95-1)&lt;0.000001,0, IF(ABS(AM95+1)&lt;0.000001,180,ROUND(DEGREES(ACOS(AM95)),3)))," ")</f>
        <v>179.625</v>
      </c>
      <c r="P95" s="17" t="n">
        <f aca="false">IF(AK95&gt;0.0000001,$U$8*((1/SQRT(1-AK95*AK95))-1),"none")</f>
        <v>0.00628623815855962</v>
      </c>
      <c r="Q95" s="17" t="n">
        <f aca="false">IF(ISNUMBER(P95),ABS($Z$15*(1+AC95/AK95)/(1+$V$15*$Z$15*AM95)/AK95)," ")</f>
        <v>7974.65633944044</v>
      </c>
      <c r="R95" s="27" t="n">
        <f aca="false">IF(ISNUMBER(P95),IF( AND( ( (P95*(P95+2*$U$8)*AB95*AB95) &gt; ($E$5*($E$5+2*$U$5)) ), ( B95&lt;90 ) ), 180-AN95, AN95)," ")</f>
        <v>0.10043212075513</v>
      </c>
      <c r="S95" s="17" t="n">
        <f aca="false">IF(ISNUMBER(P95),$E$5+$O$10-P95," ")</f>
        <v>615.193713761842</v>
      </c>
      <c r="AB95" s="1" t="n">
        <f aca="false">COS(RADIANS(B95))</f>
        <v>0.422618261740699</v>
      </c>
      <c r="AC95" s="1" t="n">
        <f aca="false">-$V$15*AB95</f>
        <v>-0.0282427654614918</v>
      </c>
      <c r="AD95" s="1" t="n">
        <f aca="false">$AA$15+AC95*AC95</f>
        <v>1.00077062329693</v>
      </c>
      <c r="AF95" s="1" t="n">
        <f aca="false">AC95*AC95-AD95*$AE$15</f>
        <v>0.000770602466588732</v>
      </c>
      <c r="AG95" s="1" t="n">
        <f aca="false">IF(ISNUMBER(SQRT(AF95)),(-AC95+SQRT(AF95))/AD95,-100)</f>
        <v>0.0559593692906456</v>
      </c>
      <c r="AH95" s="1" t="n">
        <f aca="false">(AG95*AB95-$V$15)/((1-$V$15*AG95*AB95)*$Z$15)</f>
        <v>-0.649096372818073</v>
      </c>
      <c r="AI95" s="1" t="n">
        <f aca="false">IF(ABS(AH95)&lt;=1,AH95,IF(ABS(AH95)&lt;=1.00001,1*SIGN(AH95),0))</f>
        <v>-0.649096372818073</v>
      </c>
      <c r="AJ95" s="17" t="n">
        <f aca="false">DEGREES(ASIN( SQRT( (F95*(F95+2*$U$8)) / (L95*(L95+2*$U$10)) ) * SIN(RADIANS(B95))  ))</f>
        <v>12.6632458609819</v>
      </c>
      <c r="AK95" s="1" t="n">
        <f aca="false">IF(ISNUMBER(SQRT(AF95)),(-AC95-SQRT(AF95))/AD95,-100)</f>
        <v>0.000482666084951697</v>
      </c>
      <c r="AL95" s="1" t="n">
        <f aca="false">(AK95*AB95-$V$15)/((1-$V$15*AK95*AB95)*$Z$15)</f>
        <v>-0.999978541740215</v>
      </c>
      <c r="AM95" s="1" t="n">
        <f aca="false">IF(ABS(AL95)&lt;=1,AL95,IF(ABS(AL95)&lt;=1.00001,1*SIGN(AL95),0))</f>
        <v>-0.999978541740215</v>
      </c>
      <c r="AN95" s="17" t="n">
        <f aca="false">IF(ISNUMBER(P95),DEGREES(ASIN( SQRT( (P95*(P95+2*$U$8)) / (S95*(S95+2*$U$10)) ) * SIN(RADIANS(B95)) ) ),"ignore")</f>
        <v>0.10043212075513</v>
      </c>
    </row>
    <row r="96" customFormat="false" ht="12.75" hidden="false" customHeight="false" outlineLevel="0" collapsed="false">
      <c r="B96" s="1" t="n">
        <v>66</v>
      </c>
      <c r="D96" s="27" t="n">
        <f aca="false">IF(ISNUMBER(F96),IF(ABS(AI96-1)&lt;0.000001,0,IF(ABS(AI96+1)&lt;0.000001,180,ROUND(DEGREES(ACOS(AI96)),3)))," ")</f>
        <v>132.489</v>
      </c>
      <c r="F96" s="17" t="n">
        <f aca="false">IF(AG96&gt;0.0000001,$U$8*((1/SQRT(1-AG96*AG96))-1),"none")</f>
        <v>78.3370012832435</v>
      </c>
      <c r="H96" s="17" t="n">
        <f aca="false">IF(ISNUMBER(F96),$Z$15*(1+AC96/AG96)/(1+$V$15*$Z$15*AI96)/AG96," ")</f>
        <v>0.614580205164536</v>
      </c>
      <c r="J96" s="27" t="n">
        <f aca="false">IF(ISNUMBER(F96),IF( AND( ( (F96*(F96+2*$U$8)*AB96*AB96) &gt; ($E$5*($E$5+2*$U$5)) ), ( B96&lt;90 ) ), 180-AJ96, AJ96)," ")</f>
        <v>12.1951879949188</v>
      </c>
      <c r="L96" s="17" t="n">
        <f aca="false">IF(ISNUMBER(F96),$E$5+$O$10-F96," ")</f>
        <v>536.862998716757</v>
      </c>
      <c r="N96" s="1" t="n">
        <f aca="false">IF(ISNUMBER(P96),B96," ")</f>
        <v>66</v>
      </c>
      <c r="O96" s="27" t="n">
        <f aca="false">IF(ISNUMBER(P96), IF( ABS(AM96-1)&lt;0.000001,0, IF(ABS(AM96+1)&lt;0.000001,180,ROUND(DEGREES(ACOS(AM96)),3)))," ")</f>
        <v>179.607</v>
      </c>
      <c r="P96" s="17" t="n">
        <f aca="false">IF(AK96&gt;0.0000001,$U$8*((1/SQRT(1-AK96*AK96))-1),"none")</f>
        <v>0.00679614404867745</v>
      </c>
      <c r="Q96" s="17" t="n">
        <f aca="false">IF(ISNUMBER(P96),ABS($Z$15*(1+AC96/AK96)/(1+$V$15*$Z$15*AM96)/AK96)," ")</f>
        <v>7089.21258173067</v>
      </c>
      <c r="R96" s="27" t="n">
        <f aca="false">IF(ISNUMBER(P96),IF( AND( ( (P96*(P96+2*$U$8)*AB96*AB96) &gt; ($E$5*($E$5+2*$U$5)) ), ( B96&lt;90 ) ), 180-AN96, AN96)," ")</f>
        <v>0.105259950213929</v>
      </c>
      <c r="S96" s="17" t="n">
        <f aca="false">IF(ISNUMBER(P96),$E$5+$O$10-P96," ")</f>
        <v>615.193203855951</v>
      </c>
      <c r="AB96" s="1" t="n">
        <f aca="false">COS(RADIANS(B96))</f>
        <v>0.4067366430758</v>
      </c>
      <c r="AC96" s="1" t="n">
        <f aca="false">-$V$15*AB96</f>
        <v>-0.0271814274368307</v>
      </c>
      <c r="AD96" s="1" t="n">
        <f aca="false">$AA$15+AC96*AC96</f>
        <v>1.00071179949352</v>
      </c>
      <c r="AF96" s="1" t="n">
        <f aca="false">AC96*AC96-AD96*$AE$15</f>
        <v>0.000711780253216642</v>
      </c>
      <c r="AG96" s="1" t="n">
        <f aca="false">IF(ISNUMBER(SQRT(AF96)),(-AC96+SQRT(AF96))/AD96,-100)</f>
        <v>0.0538223268628784</v>
      </c>
      <c r="AH96" s="1" t="n">
        <f aca="false">(AG96*AB96-$V$15)/((1-$V$15*AG96*AB96)*$Z$15)</f>
        <v>-0.675443669210587</v>
      </c>
      <c r="AI96" s="1" t="n">
        <f aca="false">IF(ABS(AH96)&lt;=1,AH96,IF(ABS(AH96)&lt;=1.00001,1*SIGN(AH96),0))</f>
        <v>-0.675443669210587</v>
      </c>
      <c r="AJ96" s="17" t="n">
        <f aca="false">DEGREES(ASIN( SQRT( (F96*(F96+2*$U$8)) / (L96*(L96+2*$U$10)) ) * SIN(RADIANS(B96))  ))</f>
        <v>12.1951879949188</v>
      </c>
      <c r="AK96" s="1" t="n">
        <f aca="false">IF(ISNUMBER(SQRT(AF96)),(-AC96-SQRT(AF96))/AD96,-100)</f>
        <v>0.000501860082029951</v>
      </c>
      <c r="AL96" s="1" t="n">
        <f aca="false">(AK96*AB96-$V$15)/((1-$V$15*AK96*AB96)*$Z$15)</f>
        <v>-0.999976429130309</v>
      </c>
      <c r="AM96" s="1" t="n">
        <f aca="false">IF(ABS(AL96)&lt;=1,AL96,IF(ABS(AL96)&lt;=1.00001,1*SIGN(AL96),0))</f>
        <v>-0.999976429130309</v>
      </c>
      <c r="AN96" s="17" t="n">
        <f aca="false">IF(ISNUMBER(P96),DEGREES(ASIN( SQRT( (P96*(P96+2*$U$8)) / (S96*(S96+2*$U$10)) ) * SIN(RADIANS(B96)) ) ),"ignore")</f>
        <v>0.105259950213929</v>
      </c>
    </row>
    <row r="97" customFormat="false" ht="12.75" hidden="false" customHeight="false" outlineLevel="0" collapsed="false">
      <c r="B97" s="1" t="n">
        <v>67</v>
      </c>
      <c r="D97" s="27" t="n">
        <f aca="false">IF(ISNUMBER(F97),IF(ABS(AI97-1)&lt;0.000001,0,IF(ABS(AI97+1)&lt;0.000001,180,ROUND(DEGREES(ACOS(AI97)),3)))," ")</f>
        <v>134.505</v>
      </c>
      <c r="F97" s="17" t="n">
        <f aca="false">IF(AG97&gt;0.0000001,$U$8*((1/SQRT(1-AG97*AG97))-1),"none")</f>
        <v>72.1751660651552</v>
      </c>
      <c r="H97" s="17" t="n">
        <f aca="false">IF(ISNUMBER(F97),$Z$15*(1+AC97/AG97)/(1+$V$15*$Z$15*AI97)/AG97," ")</f>
        <v>0.639818363122755</v>
      </c>
      <c r="J97" s="27" t="n">
        <f aca="false">IF(ISNUMBER(F97),IF( AND( ( (F97*(F97+2*$U$8)*AB97*AB97) &gt; ($E$5*($E$5+2*$U$5)) ), ( B97&lt;90 ) ), 180-AJ97, AJ97)," ")</f>
        <v>11.7205719219787</v>
      </c>
      <c r="L97" s="17" t="n">
        <f aca="false">IF(ISNUMBER(F97),$E$5+$O$10-F97," ")</f>
        <v>543.024833934845</v>
      </c>
      <c r="N97" s="1" t="n">
        <f aca="false">IF(ISNUMBER(P97),B97," ")</f>
        <v>67</v>
      </c>
      <c r="O97" s="27" t="n">
        <f aca="false">IF(ISNUMBER(P97), IF( ABS(AM97-1)&lt;0.000001,0, IF(ABS(AM97+1)&lt;0.000001,180,ROUND(DEGREES(ACOS(AM97)),3)))," ")</f>
        <v>179.587</v>
      </c>
      <c r="P97" s="17" t="n">
        <f aca="false">IF(AK97&gt;0.0000001,$U$8*((1/SQRT(1-AK97*AK97))-1),"none")</f>
        <v>0.00737593282747938</v>
      </c>
      <c r="Q97" s="17" t="n">
        <f aca="false">IF(ISNUMBER(P97),ABS($Z$15*(1+AC97/AK97)/(1+$V$15*$Z$15*AM97)/AK97)," ")</f>
        <v>6264.95311361323</v>
      </c>
      <c r="R97" s="27" t="n">
        <f aca="false">IF(ISNUMBER(P97),IF( AND( ( (P97*(P97+2*$U$8)*AB97*AB97) &gt; ($E$5*($E$5+2*$U$5)) ), ( B97&lt;90 ) ), 180-AN97, AN97)," ")</f>
        <v>0.110493441430052</v>
      </c>
      <c r="S97" s="17" t="n">
        <f aca="false">IF(ISNUMBER(P97),$E$5+$O$10-P97," ")</f>
        <v>615.192624067173</v>
      </c>
      <c r="AB97" s="1" t="n">
        <f aca="false">COS(RADIANS(B97))</f>
        <v>0.390731128489274</v>
      </c>
      <c r="AC97" s="1" t="n">
        <f aca="false">-$V$15*AB97</f>
        <v>-0.0261118096860599</v>
      </c>
      <c r="AD97" s="1" t="n">
        <f aca="false">$AA$15+AC97*AC97</f>
        <v>1.00065479610109</v>
      </c>
      <c r="AF97" s="1" t="n">
        <f aca="false">AC97*AC97-AD97*$AE$15</f>
        <v>0.000654778401624388</v>
      </c>
      <c r="AG97" s="1" t="n">
        <f aca="false">IF(ISNUMBER(SQRT(AF97)),(-AC97+SQRT(AF97))/AD97,-100)</f>
        <v>0.0516666167222723</v>
      </c>
      <c r="AH97" s="1" t="n">
        <f aca="false">(AG97*AB97-$V$15)/((1-$V$15*AG97*AB97)*$Z$15)</f>
        <v>-0.700972995808702</v>
      </c>
      <c r="AI97" s="1" t="n">
        <f aca="false">IF(ABS(AH97)&lt;=1,AH97,IF(ABS(AH97)&lt;=1.00001,1*SIGN(AH97),0))</f>
        <v>-0.700972995808702</v>
      </c>
      <c r="AJ97" s="17" t="n">
        <f aca="false">DEGREES(ASIN( SQRT( (F97*(F97+2*$U$8)) / (L97*(L97+2*$U$10)) ) * SIN(RADIANS(B97))  ))</f>
        <v>11.7205719219787</v>
      </c>
      <c r="AK97" s="1" t="n">
        <f aca="false">IF(ISNUMBER(SQRT(AF97)),(-AC97-SQRT(AF97))/AD97,-100)</f>
        <v>0.000522829204136645</v>
      </c>
      <c r="AL97" s="1" t="n">
        <f aca="false">(AK97*AB97-$V$15)/((1-$V$15*AK97*AB97)*$Z$15)</f>
        <v>-0.999974026986072</v>
      </c>
      <c r="AM97" s="1" t="n">
        <f aca="false">IF(ABS(AL97)&lt;=1,AL97,IF(ABS(AL97)&lt;=1.00001,1*SIGN(AL97),0))</f>
        <v>-0.999974026986072</v>
      </c>
      <c r="AN97" s="17" t="n">
        <f aca="false">IF(ISNUMBER(P97),DEGREES(ASIN( SQRT( (P97*(P97+2*$U$8)) / (S97*(S97+2*$U$10)) ) * SIN(RADIANS(B97)) ) ),"ignore")</f>
        <v>0.110493441430052</v>
      </c>
    </row>
    <row r="98" customFormat="false" ht="12.75" hidden="false" customHeight="false" outlineLevel="0" collapsed="false">
      <c r="B98" s="1" t="n">
        <v>68</v>
      </c>
      <c r="D98" s="27" t="n">
        <f aca="false">IF(ISNUMBER(F98),IF(ABS(AI98-1)&lt;0.000001,0,IF(ABS(AI98+1)&lt;0.000001,180,ROUND(DEGREES(ACOS(AI98)),3)))," ")</f>
        <v>136.523</v>
      </c>
      <c r="F98" s="17" t="n">
        <f aca="false">IF(AG98&gt;0.0000001,$U$8*((1/SQRT(1-AG98*AG98))-1),"none")</f>
        <v>66.2181828984448</v>
      </c>
      <c r="H98" s="17" t="n">
        <f aca="false">IF(ISNUMBER(F98),$Z$15*(1+AC98/AG98)/(1+$V$15*$Z$15*AI98)/AG98," ")</f>
        <v>0.667419448034892</v>
      </c>
      <c r="J98" s="27" t="n">
        <f aca="false">IF(ISNUMBER(F98),IF( AND( ( (F98*(F98+2*$U$8)*AB98*AB98) &gt; ($E$5*($E$5+2*$U$5)) ), ( B98&lt;90 ) ), 180-AJ98, AJ98)," ")</f>
        <v>11.2396738013989</v>
      </c>
      <c r="L98" s="17" t="n">
        <f aca="false">IF(ISNUMBER(F98),$E$5+$O$10-F98," ")</f>
        <v>548.981817101555</v>
      </c>
      <c r="N98" s="1" t="n">
        <f aca="false">IF(ISNUMBER(P98),B98," ")</f>
        <v>68</v>
      </c>
      <c r="O98" s="27" t="n">
        <f aca="false">IF(ISNUMBER(P98), IF( ABS(AM98-1)&lt;0.000001,0, IF(ABS(AM98+1)&lt;0.000001,180,ROUND(DEGREES(ACOS(AM98)),3)))," ")</f>
        <v>179.566</v>
      </c>
      <c r="P98" s="17" t="n">
        <f aca="false">IF(AK98&gt;0.0000001,$U$8*((1/SQRT(1-AK98*AK98))-1),"none")</f>
        <v>0.00803902786077278</v>
      </c>
      <c r="Q98" s="17" t="n">
        <f aca="false">IF(ISNUMBER(P98),ABS($Z$15*(1+AC98/AK98)/(1+$V$15*$Z$15*AM98)/AK98)," ")</f>
        <v>5500.96537476117</v>
      </c>
      <c r="R98" s="27" t="n">
        <f aca="false">IF(ISNUMBER(P98),IF( AND( ( (P98*(P98+2*$U$8)*AB98*AB98) &gt; ($E$5*($E$5+2*$U$5)) ), ( B98&lt;90 ) ), 180-AN98, AN98)," ")</f>
        <v>0.116190289251495</v>
      </c>
      <c r="S98" s="17" t="n">
        <f aca="false">IF(ISNUMBER(P98),$E$5+$O$10-P98," ")</f>
        <v>615.191960972139</v>
      </c>
      <c r="AB98" s="1" t="n">
        <f aca="false">COS(RADIANS(B98))</f>
        <v>0.374606593415912</v>
      </c>
      <c r="AC98" s="1" t="n">
        <f aca="false">-$V$15*AB98</f>
        <v>-0.0250342380251079</v>
      </c>
      <c r="AD98" s="1" t="n">
        <f aca="false">$AA$15+AC98*AC98</f>
        <v>1.00059968256951</v>
      </c>
      <c r="AF98" s="1" t="n">
        <f aca="false">AC98*AC98-AD98*$AE$15</f>
        <v>0.000599666359787672</v>
      </c>
      <c r="AG98" s="1" t="n">
        <f aca="false">IF(ISNUMBER(SQRT(AF98)),(-AC98+SQRT(AF98))/AD98,-100)</f>
        <v>0.0494926442275385</v>
      </c>
      <c r="AH98" s="1" t="n">
        <f aca="false">(AG98*AB98-$V$15)/((1-$V$15*AG98*AB98)*$Z$15)</f>
        <v>-0.725653592322562</v>
      </c>
      <c r="AI98" s="1" t="n">
        <f aca="false">IF(ABS(AH98)&lt;=1,AH98,IF(ABS(AH98)&lt;=1.00001,1*SIGN(AH98),0))</f>
        <v>-0.725653592322562</v>
      </c>
      <c r="AJ98" s="17" t="n">
        <f aca="false">DEGREES(ASIN( SQRT( (F98*(F98+2*$U$8)) / (L98*(L98+2*$U$10)) ) * SIN(RADIANS(B98))  ))</f>
        <v>11.2396738013989</v>
      </c>
      <c r="AK98" s="1" t="n">
        <f aca="false">IF(ISNUMBER(SQRT(AF98)),(-AC98-SQRT(AF98))/AD98,-100)</f>
        <v>0.00054582462510147</v>
      </c>
      <c r="AL98" s="1" t="n">
        <f aca="false">(AK98*AB98-$V$15)/((1-$V$15*AK98*AB98)*$Z$15)</f>
        <v>-0.999971279692545</v>
      </c>
      <c r="AM98" s="1" t="n">
        <f aca="false">IF(ABS(AL98)&lt;=1,AL98,IF(ABS(AL98)&lt;=1.00001,1*SIGN(AL98),0))</f>
        <v>-0.999971279692545</v>
      </c>
      <c r="AN98" s="17" t="n">
        <f aca="false">IF(ISNUMBER(P98),DEGREES(ASIN( SQRT( (P98*(P98+2*$U$8)) / (S98*(S98+2*$U$10)) ) * SIN(RADIANS(B98)) ) ),"ignore")</f>
        <v>0.116190289251495</v>
      </c>
    </row>
    <row r="99" customFormat="false" ht="12.75" hidden="false" customHeight="false" outlineLevel="0" collapsed="false">
      <c r="B99" s="1" t="n">
        <v>69</v>
      </c>
      <c r="D99" s="27" t="n">
        <f aca="false">IF(ISNUMBER(F99),IF(ABS(AI99-1)&lt;0.000001,0,IF(ABS(AI99+1)&lt;0.000001,180,ROUND(DEGREES(ACOS(AI99)),3)))," ")</f>
        <v>138.543</v>
      </c>
      <c r="F99" s="17" t="n">
        <f aca="false">IF(AG99&gt;0.0000001,$U$8*((1/SQRT(1-AG99*AG99))-1),"none")</f>
        <v>60.473222937605</v>
      </c>
      <c r="H99" s="17" t="n">
        <f aca="false">IF(ISNUMBER(F99),$Z$15*(1+AC99/AG99)/(1+$V$15*$Z$15*AI99)/AG99," ")</f>
        <v>0.697719439455914</v>
      </c>
      <c r="J99" s="27" t="n">
        <f aca="false">IF(ISNUMBER(F99),IF( AND( ( (F99*(F99+2*$U$8)*AB99*AB99) &gt; ($E$5*($E$5+2*$U$5)) ), ( B99&lt;90 ) ), 180-AJ99, AJ99)," ")</f>
        <v>10.7527474832325</v>
      </c>
      <c r="L99" s="17" t="n">
        <f aca="false">IF(ISNUMBER(F99),$E$5+$O$10-F99," ")</f>
        <v>554.726777062395</v>
      </c>
      <c r="N99" s="1" t="n">
        <f aca="false">IF(ISNUMBER(P99),B99," ")</f>
        <v>69</v>
      </c>
      <c r="O99" s="27" t="n">
        <f aca="false">IF(ISNUMBER(P99), IF( ABS(AM99-1)&lt;0.000001,0, IF(ABS(AM99+1)&lt;0.000001,180,ROUND(DEGREES(ACOS(AM99)),3)))," ")</f>
        <v>179.542</v>
      </c>
      <c r="P99" s="17" t="n">
        <f aca="false">IF(AK99&gt;0.0000001,$U$8*((1/SQRT(1-AK99*AK99))-1),"none")</f>
        <v>0.00880226782769898</v>
      </c>
      <c r="Q99" s="17" t="n">
        <f aca="false">IF(ISNUMBER(P99),ABS($Z$15*(1+AC99/AK99)/(1+$V$15*$Z$15*AM99)/AK99)," ")</f>
        <v>4796.14807551517</v>
      </c>
      <c r="R99" s="27" t="n">
        <f aca="false">IF(ISNUMBER(P99),IF( AND( ( (P99*(P99+2*$U$8)*AB99*AB99) &gt; ($E$5*($E$5+2*$U$5)) ), ( B99&lt;90 ) ), 180-AN99, AN99)," ")</f>
        <v>0.122419763692166</v>
      </c>
      <c r="S99" s="17" t="n">
        <f aca="false">IF(ISNUMBER(P99),$E$5+$O$10-P99," ")</f>
        <v>615.191197732172</v>
      </c>
      <c r="AB99" s="1" t="n">
        <f aca="false">COS(RADIANS(B99))</f>
        <v>0.3583679495453</v>
      </c>
      <c r="AC99" s="1" t="n">
        <f aca="false">-$V$15*AB99</f>
        <v>-0.0239490406927414</v>
      </c>
      <c r="AD99" s="1" t="n">
        <f aca="false">$AA$15+AC99*AC99</f>
        <v>1.00054652604611</v>
      </c>
      <c r="AF99" s="1" t="n">
        <f aca="false">AC99*AC99-AD99*$AE$15</f>
        <v>0.000546511273240113</v>
      </c>
      <c r="AG99" s="1" t="n">
        <f aca="false">IF(ISNUMBER(SQRT(AF99)),(-AC99+SQRT(AF99))/AD99,-100)</f>
        <v>0.0473007701584213</v>
      </c>
      <c r="AH99" s="1" t="n">
        <f aca="false">(AG99*AB99-$V$15)/((1-$V$15*AG99*AB99)*$Z$15)</f>
        <v>-0.749455747677668</v>
      </c>
      <c r="AI99" s="1" t="n">
        <f aca="false">IF(ABS(AH99)&lt;=1,AH99,IF(ABS(AH99)&lt;=1.00001,1*SIGN(AH99),0))</f>
        <v>-0.749455747677668</v>
      </c>
      <c r="AJ99" s="17" t="n">
        <f aca="false">DEGREES(ASIN( SQRT( (F99*(F99+2*$U$8)) / (L99*(L99+2*$U$10)) ) * SIN(RADIANS(B99))  ))</f>
        <v>10.7527474832325</v>
      </c>
      <c r="AK99" s="1" t="n">
        <f aca="false">IF(ISNUMBER(SQRT(AF99)),(-AC99-SQRT(AF99))/AD99,-100)</f>
        <v>0.000571147976923017</v>
      </c>
      <c r="AL99" s="1" t="n">
        <f aca="false">(AK99*AB99-$V$15)/((1-$V$15*AK99*AB99)*$Z$15)</f>
        <v>-0.999968117484941</v>
      </c>
      <c r="AM99" s="1" t="n">
        <f aca="false">IF(ABS(AL99)&lt;=1,AL99,IF(ABS(AL99)&lt;=1.00001,1*SIGN(AL99),0))</f>
        <v>-0.999968117484941</v>
      </c>
      <c r="AN99" s="17" t="n">
        <f aca="false">IF(ISNUMBER(P99),DEGREES(ASIN( SQRT( (P99*(P99+2*$U$8)) / (S99*(S99+2*$U$10)) ) * SIN(RADIANS(B99)) ) ),"ignore")</f>
        <v>0.122419763692166</v>
      </c>
    </row>
    <row r="100" customFormat="false" ht="12.75" hidden="false" customHeight="false" outlineLevel="0" collapsed="false">
      <c r="B100" s="1" t="n">
        <v>70</v>
      </c>
      <c r="D100" s="27" t="n">
        <f aca="false">IF(ISNUMBER(F100),IF(ABS(AI100-1)&lt;0.000001,0,IF(ABS(AI100+1)&lt;0.000001,180,ROUND(DEGREES(ACOS(AI100)),3)))," ")</f>
        <v>140.565</v>
      </c>
      <c r="F100" s="17" t="n">
        <f aca="false">IF(AG100&gt;0.0000001,$U$8*((1/SQRT(1-AG100*AG100))-1),"none")</f>
        <v>54.9471945641343</v>
      </c>
      <c r="H100" s="17" t="n">
        <f aca="false">IF(ISNUMBER(F100),$Z$15*(1+AC100/AG100)/(1+$V$15*$Z$15*AI100)/AG100," ")</f>
        <v>0.731121223121993</v>
      </c>
      <c r="J100" s="27" t="n">
        <f aca="false">IF(ISNUMBER(F100),IF( AND( ( (F100*(F100+2*$U$8)*AB100*AB100) &gt; ($E$5*($E$5+2*$U$5)) ), ( B100&lt;90 ) ), 180-AJ100, AJ100)," ")</f>
        <v>10.2600220661079</v>
      </c>
      <c r="L100" s="17" t="n">
        <f aca="false">IF(ISNUMBER(F100),$E$5+$O$10-F100," ")</f>
        <v>560.252805435866</v>
      </c>
      <c r="N100" s="1" t="n">
        <f aca="false">IF(ISNUMBER(P100),B100," ")</f>
        <v>70</v>
      </c>
      <c r="O100" s="27" t="n">
        <f aca="false">IF(ISNUMBER(P100), IF( ABS(AM100-1)&lt;0.000001,0, IF(ABS(AM100+1)&lt;0.000001,180,ROUND(DEGREES(ACOS(AM100)),3)))," ")</f>
        <v>179.517</v>
      </c>
      <c r="P100" s="17" t="n">
        <f aca="false">IF(AK100&gt;0.0000001,$U$8*((1/SQRT(1-AK100*AK100))-1),"none")</f>
        <v>0.00968701451784991</v>
      </c>
      <c r="Q100" s="17" t="n">
        <f aca="false">IF(ISNUMBER(P100),ABS($Z$15*(1+AC100/AK100)/(1+$V$15*$Z$15*AM100)/AK100)," ")</f>
        <v>4149.21520311518</v>
      </c>
      <c r="R100" s="27" t="n">
        <f aca="false">IF(ISNUMBER(P100),IF( AND( ( (P100*(P100+2*$U$8)*AB100*AB100) &gt; ($E$5*($E$5+2*$U$5)) ), ( B100&lt;90 ) ), 180-AN100, AN100)," ")</f>
        <v>0.129265804746456</v>
      </c>
      <c r="S100" s="17" t="n">
        <f aca="false">IF(ISNUMBER(P100),$E$5+$O$10-P100," ")</f>
        <v>615.190312985482</v>
      </c>
      <c r="AB100" s="1" t="n">
        <f aca="false">COS(RADIANS(B100))</f>
        <v>0.342020143325669</v>
      </c>
      <c r="AC100" s="1" t="n">
        <f aca="false">-$V$15*AB100</f>
        <v>-0.0228565482505803</v>
      </c>
      <c r="AD100" s="1" t="n">
        <f aca="false">$AA$15+AC100*AC100</f>
        <v>1.00049539129394</v>
      </c>
      <c r="AF100" s="1" t="n">
        <f aca="false">AC100*AC100-AD100*$AE$15</f>
        <v>0.000495377903266759</v>
      </c>
      <c r="AG100" s="1" t="n">
        <f aca="false">IF(ISNUMBER(SQRT(AF100)),(-AC100+SQRT(AF100))/AD100,-100)</f>
        <v>0.0450912969999413</v>
      </c>
      <c r="AH100" s="1" t="n">
        <f aca="false">(AG100*AB100-$V$15)/((1-$V$15*AG100*AB100)*$Z$15)</f>
        <v>-0.772350839504019</v>
      </c>
      <c r="AI100" s="1" t="n">
        <f aca="false">IF(ABS(AH100)&lt;=1,AH100,IF(ABS(AH100)&lt;=1.00001,1*SIGN(AH100),0))</f>
        <v>-0.772350839504019</v>
      </c>
      <c r="AJ100" s="17" t="n">
        <f aca="false">DEGREES(ASIN( SQRT( (F100*(F100+2*$U$8)) / (L100*(L100+2*$U$10)) ) * SIN(RADIANS(B100))  ))</f>
        <v>10.2600220661079</v>
      </c>
      <c r="AK100" s="1" t="n">
        <f aca="false">IF(ISNUMBER(SQRT(AF100)),(-AC100-SQRT(AF100))/AD100,-100)</f>
        <v>0.000599164844205521</v>
      </c>
      <c r="AL100" s="1" t="n">
        <f aca="false">(AK100*AB100-$V$15)/((1-$V$15*AK100*AB100)*$Z$15)</f>
        <v>-0.999964451858327</v>
      </c>
      <c r="AM100" s="1" t="n">
        <f aca="false">IF(ABS(AL100)&lt;=1,AL100,IF(ABS(AL100)&lt;=1.00001,1*SIGN(AL100),0))</f>
        <v>-0.999964451858327</v>
      </c>
      <c r="AN100" s="17" t="n">
        <f aca="false">IF(ISNUMBER(P100),DEGREES(ASIN( SQRT( (P100*(P100+2*$U$8)) / (S100*(S100+2*$U$10)) ) * SIN(RADIANS(B100)) ) ),"ignore")</f>
        <v>0.129265804746456</v>
      </c>
    </row>
    <row r="101" customFormat="false" ht="12.75" hidden="false" customHeight="false" outlineLevel="0" collapsed="false">
      <c r="B101" s="1" t="n">
        <v>71</v>
      </c>
      <c r="D101" s="27" t="n">
        <f aca="false">IF(ISNUMBER(F101),IF(ABS(AI101-1)&lt;0.000001,0,IF(ABS(AI101+1)&lt;0.000001,180,ROUND(DEGREES(ACOS(AI101)),3)))," ")</f>
        <v>142.59</v>
      </c>
      <c r="F101" s="17" t="n">
        <f aca="false">IF(AG101&gt;0.0000001,$U$8*((1/SQRT(1-AG101*AG101))-1),"none")</f>
        <v>49.6467337214394</v>
      </c>
      <c r="H101" s="17" t="n">
        <f aca="false">IF(ISNUMBER(F101),$Z$15*(1+AC101/AG101)/(1+$V$15*$Z$15*AI101)/AG101," ")</f>
        <v>0.768112031764324</v>
      </c>
      <c r="J101" s="27" t="n">
        <f aca="false">IF(ISNUMBER(F101),IF( AND( ( (F101*(F101+2*$U$8)*AB101*AB101) &gt; ($E$5*($E$5+2*$U$5)) ), ( B101&lt;90 ) ), 180-AJ101, AJ101)," ")</f>
        <v>9.76169836554128</v>
      </c>
      <c r="L101" s="17" t="n">
        <f aca="false">IF(ISNUMBER(F101),$E$5+$O$10-F101," ")</f>
        <v>565.553266278561</v>
      </c>
      <c r="N101" s="1" t="n">
        <f aca="false">IF(ISNUMBER(P101),B101," ")</f>
        <v>71</v>
      </c>
      <c r="O101" s="27" t="n">
        <f aca="false">IF(ISNUMBER(P101), IF( ABS(AM101-1)&lt;0.000001,0, IF(ABS(AM101+1)&lt;0.000001,180,ROUND(DEGREES(ACOS(AM101)),3)))," ")</f>
        <v>179.489</v>
      </c>
      <c r="P101" s="17" t="n">
        <f aca="false">IF(AK101&gt;0.0000001,$U$8*((1/SQRT(1-AK101*AK101))-1),"none")</f>
        <v>0.0107207083031872</v>
      </c>
      <c r="Q101" s="17" t="n">
        <f aca="false">IF(ISNUMBER(P101),ABS($Z$15*(1+AC101/AK101)/(1+$V$15*$Z$15*AM101)/AK101)," ")</f>
        <v>3558.70054545823</v>
      </c>
      <c r="R101" s="27" t="n">
        <f aca="false">IF(ISNUMBER(P101),IF( AND( ( (P101*(P101+2*$U$8)*AB101*AB101) &gt; ($E$5*($E$5+2*$U$5)) ), ( B101&lt;90 ) ), 180-AN101, AN101)," ")</f>
        <v>0.136831182372708</v>
      </c>
      <c r="S101" s="17" t="n">
        <f aca="false">IF(ISNUMBER(P101),$E$5+$O$10-P101," ")</f>
        <v>615.189279291697</v>
      </c>
      <c r="AB101" s="1" t="n">
        <f aca="false">COS(RADIANS(B101))</f>
        <v>0.325568154457157</v>
      </c>
      <c r="AC101" s="1" t="n">
        <f aca="false">-$V$15*AB101</f>
        <v>-0.0217570934824058</v>
      </c>
      <c r="AD101" s="1" t="n">
        <f aca="false">$AA$15+AC101*AC101</f>
        <v>1.00044634061281</v>
      </c>
      <c r="AF101" s="1" t="n">
        <f aca="false">AC101*AC101-AD101*$AE$15</f>
        <v>0.000446328548002428</v>
      </c>
      <c r="AG101" s="1" t="n">
        <f aca="false">IF(ISNUMBER(SQRT(AF101)),(-AC101+SQRT(AF101))/AD101,-100)</f>
        <v>0.0428644505866018</v>
      </c>
      <c r="AH101" s="1" t="n">
        <f aca="false">(AG101*AB101-$V$15)/((1-$V$15*AG101*AB101)*$Z$15)</f>
        <v>-0.79431137417987</v>
      </c>
      <c r="AI101" s="1" t="n">
        <f aca="false">IF(ABS(AH101)&lt;=1,AH101,IF(ABS(AH101)&lt;=1.00001,1*SIGN(AH101),0))</f>
        <v>-0.79431137417987</v>
      </c>
      <c r="AJ101" s="17" t="n">
        <f aca="false">DEGREES(ASIN( SQRT( (F101*(F101+2*$U$8)) / (L101*(L101+2*$U$10)) ) * SIN(RADIANS(B101))  ))</f>
        <v>9.76169836554128</v>
      </c>
      <c r="AK101" s="1" t="n">
        <f aca="false">IF(ISNUMBER(SQRT(AF101)),(-AC101-SQRT(AF101))/AD101,-100)</f>
        <v>0.000630322894360039</v>
      </c>
      <c r="AL101" s="1" t="n">
        <f aca="false">(AK101*AB101-$V$15)/((1-$V$15*AK101*AB101)*$Z$15)</f>
        <v>-0.999960169123487</v>
      </c>
      <c r="AM101" s="1" t="n">
        <f aca="false">IF(ABS(AL101)&lt;=1,AL101,IF(ABS(AL101)&lt;=1.00001,1*SIGN(AL101),0))</f>
        <v>-0.999960169123487</v>
      </c>
      <c r="AN101" s="17" t="n">
        <f aca="false">IF(ISNUMBER(P101),DEGREES(ASIN( SQRT( (P101*(P101+2*$U$8)) / (S101*(S101+2*$U$10)) ) * SIN(RADIANS(B101)) ) ),"ignore")</f>
        <v>0.136831182372708</v>
      </c>
    </row>
    <row r="102" customFormat="false" ht="12.75" hidden="false" customHeight="false" outlineLevel="0" collapsed="false">
      <c r="B102" s="1" t="n">
        <v>72</v>
      </c>
      <c r="D102" s="27" t="n">
        <f aca="false">IF(ISNUMBER(F102),IF(ABS(AI102-1)&lt;0.000001,0,IF(ABS(AI102+1)&lt;0.000001,180,ROUND(DEGREES(ACOS(AI102)),3)))," ")</f>
        <v>144.618</v>
      </c>
      <c r="F102" s="17" t="n">
        <f aca="false">IF(AG102&gt;0.0000001,$U$8*((1/SQRT(1-AG102*AG102))-1),"none")</f>
        <v>44.5781939027923</v>
      </c>
      <c r="H102" s="17" t="n">
        <f aca="false">IF(ISNUMBER(F102),$Z$15*(1+AC102/AG102)/(1+$V$15*$Z$15*AI102)/AG102," ")</f>
        <v>0.809286599620697</v>
      </c>
      <c r="J102" s="27" t="n">
        <f aca="false">IF(ISNUMBER(F102),IF( AND( ( (F102*(F102+2*$U$8)*AB102*AB102) &gt; ($E$5*($E$5+2*$U$5)) ), ( B102&lt;90 ) ), 180-AJ102, AJ102)," ")</f>
        <v>9.25794383571615</v>
      </c>
      <c r="L102" s="17" t="n">
        <f aca="false">IF(ISNUMBER(F102),$E$5+$O$10-F102," ")</f>
        <v>570.621806097208</v>
      </c>
      <c r="N102" s="1" t="n">
        <f aca="false">IF(ISNUMBER(P102),B102," ")</f>
        <v>72</v>
      </c>
      <c r="O102" s="27" t="n">
        <f aca="false">IF(ISNUMBER(P102), IF( ABS(AM102-1)&lt;0.000001,0, IF(ABS(AM102+1)&lt;0.000001,180,ROUND(DEGREES(ACOS(AM102)),3)))," ")</f>
        <v>179.457</v>
      </c>
      <c r="P102" s="17" t="n">
        <f aca="false">IF(AK102&gt;0.0000001,$U$8*((1/SQRT(1-AK102*AK102))-1),"none")</f>
        <v>0.0119390923480892</v>
      </c>
      <c r="Q102" s="17" t="n">
        <f aca="false">IF(ISNUMBER(P102),ABS($Z$15*(1+AC102/AK102)/(1+$V$15*$Z$15*AM102)/AK102)," ")</f>
        <v>3022.96272130651</v>
      </c>
      <c r="R102" s="27" t="n">
        <f aca="false">IF(ISNUMBER(P102),IF( AND( ( (P102*(P102+2*$U$8)*AB102*AB102) &gt; ($E$5*($E$5+2*$U$5)) ), ( B102&lt;90 ) ), 180-AN102, AN102)," ")</f>
        <v>0.145243177545086</v>
      </c>
      <c r="S102" s="17" t="n">
        <f aca="false">IF(ISNUMBER(P102),$E$5+$O$10-P102," ")</f>
        <v>615.188060907652</v>
      </c>
      <c r="AB102" s="1" t="n">
        <f aca="false">COS(RADIANS(B102))</f>
        <v>0.309016994374947</v>
      </c>
      <c r="AC102" s="1" t="n">
        <f aca="false">-$V$15*AB102</f>
        <v>-0.0206510112927907</v>
      </c>
      <c r="AD102" s="1" t="n">
        <f aca="false">$AA$15+AC102*AC102</f>
        <v>1.00039943376343</v>
      </c>
      <c r="AF102" s="1" t="n">
        <f aca="false">AC102*AC102-AD102*$AE$15</f>
        <v>0.000399422966531033</v>
      </c>
      <c r="AG102" s="1" t="n">
        <f aca="false">IF(ISNUMBER(SQRT(AF102)),(-AC102+SQRT(AF102))/AD102,-100)</f>
        <v>0.0406203551083788</v>
      </c>
      <c r="AH102" s="1" t="n">
        <f aca="false">(AG102*AB102-$V$15)/((1-$V$15*AG102*AB102)*$Z$15)</f>
        <v>-0.815311028313117</v>
      </c>
      <c r="AI102" s="1" t="n">
        <f aca="false">IF(ABS(AH102)&lt;=1,AH102,IF(ABS(AH102)&lt;=1.00001,1*SIGN(AH102),0))</f>
        <v>-0.815311028313117</v>
      </c>
      <c r="AJ102" s="17" t="n">
        <f aca="false">DEGREES(ASIN( SQRT( (F102*(F102+2*$U$8)) / (L102*(L102+2*$U$10)) ) * SIN(RADIANS(B102))  ))</f>
        <v>9.25794383571615</v>
      </c>
      <c r="AK102" s="1" t="n">
        <f aca="false">IF(ISNUMBER(SQRT(AF102)),(-AC102-SQRT(AF102))/AD102,-100)</f>
        <v>0.000665176641880602</v>
      </c>
      <c r="AL102" s="1" t="n">
        <f aca="false">(AK102*AB102-$V$15)/((1-$V$15*AK102*AB102)*$Z$15)</f>
        <v>-0.999955121191646</v>
      </c>
      <c r="AM102" s="1" t="n">
        <f aca="false">IF(ABS(AL102)&lt;=1,AL102,IF(ABS(AL102)&lt;=1.00001,1*SIGN(AL102),0))</f>
        <v>-0.999955121191646</v>
      </c>
      <c r="AN102" s="17" t="n">
        <f aca="false">IF(ISNUMBER(P102),DEGREES(ASIN( SQRT( (P102*(P102+2*$U$8)) / (S102*(S102+2*$U$10)) ) * SIN(RADIANS(B102)) ) ),"ignore")</f>
        <v>0.145243177545086</v>
      </c>
    </row>
    <row r="103" customFormat="false" ht="12.75" hidden="false" customHeight="false" outlineLevel="0" collapsed="false">
      <c r="B103" s="1" t="n">
        <v>73</v>
      </c>
      <c r="D103" s="27" t="n">
        <f aca="false">IF(ISNUMBER(F103),IF(ABS(AI103-1)&lt;0.000001,0,IF(ABS(AI103+1)&lt;0.000001,180,ROUND(DEGREES(ACOS(AI103)),3)))," ")</f>
        <v>146.65</v>
      </c>
      <c r="F103" s="17" t="n">
        <f aca="false">IF(AG103&gt;0.0000001,$U$8*((1/SQRT(1-AG103*AG103))-1),"none")</f>
        <v>39.7476354458762</v>
      </c>
      <c r="H103" s="17" t="n">
        <f aca="false">IF(ISNUMBER(F103),$Z$15*(1+AC103/AG103)/(1+$V$15*$Z$15*AI103)/AG103," ")</f>
        <v>0.855378310814853</v>
      </c>
      <c r="J103" s="27" t="n">
        <f aca="false">IF(ISNUMBER(F103),IF( AND( ( (F103*(F103+2*$U$8)*AB103*AB103) &gt; ($E$5*($E$5+2*$U$5)) ), ( B103&lt;90 ) ), 180-AJ103, AJ103)," ")</f>
        <v>8.74888524341284</v>
      </c>
      <c r="L103" s="17" t="n">
        <f aca="false">IF(ISNUMBER(F103),$E$5+$O$10-F103," ")</f>
        <v>575.452364554124</v>
      </c>
      <c r="N103" s="1" t="n">
        <f aca="false">IF(ISNUMBER(P103),B103," ")</f>
        <v>73</v>
      </c>
      <c r="O103" s="27" t="n">
        <f aca="false">IF(ISNUMBER(P103), IF( ABS(AM103-1)&lt;0.000001,0, IF(ABS(AM103+1)&lt;0.000001,180,ROUND(DEGREES(ACOS(AM103)),3)))," ")</f>
        <v>179.422</v>
      </c>
      <c r="P103" s="17" t="n">
        <f aca="false">IF(AK103&gt;0.0000001,$U$8*((1/SQRT(1-AK103*AK103))-1),"none")</f>
        <v>0.0133894599083264</v>
      </c>
      <c r="Q103" s="17" t="n">
        <f aca="false">IF(ISNUMBER(P103),ABS($Z$15*(1+AC103/AK103)/(1+$V$15*$Z$15*AM103)/AK103)," ")</f>
        <v>2540.190705199</v>
      </c>
      <c r="R103" s="27" t="n">
        <f aca="false">IF(ISNUMBER(P103),IF( AND( ( (P103*(P103+2*$U$8)*AB103*AB103) &gt; ($E$5*($E$5+2*$U$5)) ), ( B103&lt;90 ) ), 180-AN103, AN103)," ")</f>
        <v>0.154661487842047</v>
      </c>
      <c r="S103" s="17" t="n">
        <f aca="false">IF(ISNUMBER(P103),$E$5+$O$10-P103," ")</f>
        <v>615.186610540092</v>
      </c>
      <c r="AB103" s="1" t="n">
        <f aca="false">COS(RADIANS(B103))</f>
        <v>0.292371704722737</v>
      </c>
      <c r="AC103" s="1" t="n">
        <f aca="false">-$V$15*AB103</f>
        <v>-0.0195386386050851</v>
      </c>
      <c r="AD103" s="1" t="n">
        <f aca="false">$AA$15+AC103*AC103</f>
        <v>1.00035472789455</v>
      </c>
      <c r="AF103" s="1" t="n">
        <f aca="false">AC103*AC103-AD103*$AE$15</f>
        <v>0.000354718306078353</v>
      </c>
      <c r="AG103" s="1" t="n">
        <f aca="false">IF(ISNUMBER(SQRT(AF103)),(-AC103+SQRT(AF103))/AD103,-100)</f>
        <v>0.0383589984157248</v>
      </c>
      <c r="AH103" s="1" t="n">
        <f aca="false">(AG103*AB103-$V$15)/((1-$V$15*AG103*AB103)*$Z$15)</f>
        <v>-0.835324693095308</v>
      </c>
      <c r="AI103" s="1" t="n">
        <f aca="false">IF(ABS(AH103)&lt;=1,AH103,IF(ABS(AH103)&lt;=1.00001,1*SIGN(AH103),0))</f>
        <v>-0.835324693095308</v>
      </c>
      <c r="AJ103" s="17" t="n">
        <f aca="false">DEGREES(ASIN( SQRT( (F103*(F103+2*$U$8)) / (L103*(L103+2*$U$10)) ) * SIN(RADIANS(B103))  ))</f>
        <v>8.74888524341284</v>
      </c>
      <c r="AK103" s="1" t="n">
        <f aca="false">IF(ISNUMBER(SQRT(AF103)),(-AC103-SQRT(AF103))/AD103,-100)</f>
        <v>0.000704421909599422</v>
      </c>
      <c r="AL103" s="1" t="n">
        <f aca="false">(AK103*AB103-$V$15)/((1-$V$15*AK103*AB103)*$Z$15)</f>
        <v>-0.999949112120363</v>
      </c>
      <c r="AM103" s="1" t="n">
        <f aca="false">IF(ABS(AL103)&lt;=1,AL103,IF(ABS(AL103)&lt;=1.00001,1*SIGN(AL103),0))</f>
        <v>-0.999949112120363</v>
      </c>
      <c r="AN103" s="17" t="n">
        <f aca="false">IF(ISNUMBER(P103),DEGREES(ASIN( SQRT( (P103*(P103+2*$U$8)) / (S103*(S103+2*$U$10)) ) * SIN(RADIANS(B103)) ) ),"ignore")</f>
        <v>0.154661487842047</v>
      </c>
    </row>
    <row r="104" customFormat="false" ht="12.75" hidden="false" customHeight="false" outlineLevel="0" collapsed="false">
      <c r="B104" s="1" t="n">
        <v>74</v>
      </c>
      <c r="D104" s="27" t="n">
        <f aca="false">IF(ISNUMBER(F104),IF(ABS(AI104-1)&lt;0.000001,0,IF(ABS(AI104+1)&lt;0.000001,180,ROUND(DEGREES(ACOS(AI104)),3)))," ")</f>
        <v>148.686</v>
      </c>
      <c r="F104" s="17" t="n">
        <f aca="false">IF(AG104&gt;0.0000001,$U$8*((1/SQRT(1-AG104*AG104))-1),"none")</f>
        <v>35.1608135584225</v>
      </c>
      <c r="H104" s="17" t="n">
        <f aca="false">IF(ISNUMBER(F104),$Z$15*(1+AC104/AG104)/(1+$V$15*$Z$15*AI104)/AG104," ")</f>
        <v>0.907301698945254</v>
      </c>
      <c r="J104" s="27" t="n">
        <f aca="false">IF(ISNUMBER(F104),IF( AND( ( (F104*(F104+2*$U$8)*AB104*AB104) &gt; ($E$5*($E$5+2*$U$5)) ), ( B104&lt;90 ) ), 180-AJ104, AJ104)," ")</f>
        <v>8.23459798931027</v>
      </c>
      <c r="L104" s="17" t="n">
        <f aca="false">IF(ISNUMBER(F104),$E$5+$O$10-F104," ")</f>
        <v>580.039186441578</v>
      </c>
      <c r="N104" s="1" t="n">
        <f aca="false">IF(ISNUMBER(P104),B104," ")</f>
        <v>74</v>
      </c>
      <c r="O104" s="27" t="n">
        <f aca="false">IF(ISNUMBER(P104), IF( ABS(AM104-1)&lt;0.000001,0, IF(ABS(AM104+1)&lt;0.000001,180,ROUND(DEGREES(ACOS(AM104)),3)))," ")</f>
        <v>179.382</v>
      </c>
      <c r="P104" s="17" t="n">
        <f aca="false">IF(AK104&gt;0.0000001,$U$8*((1/SQRT(1-AK104*AK104))-1),"none")</f>
        <v>0.01513550789811</v>
      </c>
      <c r="Q104" s="17" t="n">
        <f aca="false">IF(ISNUMBER(P104),ABS($Z$15*(1+AC104/AK104)/(1+$V$15*$Z$15*AM104)/AK104)," ")</f>
        <v>2108.40983506492</v>
      </c>
      <c r="R104" s="27" t="n">
        <f aca="false">IF(ISNUMBER(P104),IF( AND( ( (P104*(P104+2*$U$8)*AB104*AB104) &gt; ($E$5*($E$5+2*$U$5)) ), ( B104&lt;90 ) ), 180-AN104, AN104)," ")</f>
        <v>0.165289463931331</v>
      </c>
      <c r="S104" s="17" t="n">
        <f aca="false">IF(ISNUMBER(P104),$E$5+$O$10-P104," ")</f>
        <v>615.184864492102</v>
      </c>
      <c r="AB104" s="1" t="n">
        <f aca="false">COS(RADIANS(B104))</f>
        <v>0.275637355816999</v>
      </c>
      <c r="AC104" s="1" t="n">
        <f aca="false">-$V$15*AB104</f>
        <v>-0.0184203142587853</v>
      </c>
      <c r="AD104" s="1" t="n">
        <f aca="false">$AA$15+AC104*AC104</f>
        <v>1.0003122774734</v>
      </c>
      <c r="AF104" s="1" t="n">
        <f aca="false">AC104*AC104-AD104*$AE$15</f>
        <v>0.000312269032386918</v>
      </c>
      <c r="AG104" s="1" t="n">
        <f aca="false">IF(ISNUMBER(SQRT(AF104)),(-AC104+SQRT(AF104))/AD104,-100)</f>
        <v>0.0360801828019765</v>
      </c>
      <c r="AH104" s="1" t="n">
        <f aca="false">(AG104*AB104-$V$15)/((1-$V$15*AG104*AB104)*$Z$15)</f>
        <v>-0.854328523913193</v>
      </c>
      <c r="AI104" s="1" t="n">
        <f aca="false">IF(ABS(AH104)&lt;=1,AH104,IF(ABS(AH104)&lt;=1.00001,1*SIGN(AH104),0))</f>
        <v>-0.854328523913193</v>
      </c>
      <c r="AJ104" s="17" t="n">
        <f aca="false">DEGREES(ASIN( SQRT( (F104*(F104+2*$U$8)) / (L104*(L104+2*$U$10)) ) * SIN(RADIANS(B104))  ))</f>
        <v>8.23459798931027</v>
      </c>
      <c r="AK104" s="1" t="n">
        <f aca="false">IF(ISNUMBER(SQRT(AF104)),(-AC104-SQRT(AF104))/AD104,-100)</f>
        <v>0.000748944808676183</v>
      </c>
      <c r="AL104" s="1" t="n">
        <f aca="false">(AK104*AB104-$V$15)/((1-$V$15*AK104*AB104)*$Z$15)</f>
        <v>-0.999941878004562</v>
      </c>
      <c r="AM104" s="1" t="n">
        <f aca="false">IF(ABS(AL104)&lt;=1,AL104,IF(ABS(AL104)&lt;=1.00001,1*SIGN(AL104),0))</f>
        <v>-0.999941878004562</v>
      </c>
      <c r="AN104" s="17" t="n">
        <f aca="false">IF(ISNUMBER(P104),DEGREES(ASIN( SQRT( (P104*(P104+2*$U$8)) / (S104*(S104+2*$U$10)) ) * SIN(RADIANS(B104)) ) ),"ignore")</f>
        <v>0.165289463931331</v>
      </c>
    </row>
    <row r="105" customFormat="false" ht="12.75" hidden="false" customHeight="false" outlineLevel="0" collapsed="false">
      <c r="B105" s="1" t="n">
        <v>75</v>
      </c>
      <c r="D105" s="27" t="n">
        <f aca="false">IF(ISNUMBER(F105),IF(ABS(AI105-1)&lt;0.000001,0,IF(ABS(AI105+1)&lt;0.000001,180,ROUND(DEGREES(ACOS(AI105)),3)))," ")</f>
        <v>150.727</v>
      </c>
      <c r="F105" s="17" t="n">
        <f aca="false">IF(AG105&gt;0.0000001,$U$8*((1/SQRT(1-AG105*AG105))-1),"none")</f>
        <v>30.8231640904224</v>
      </c>
      <c r="H105" s="17" t="n">
        <f aca="false">IF(ISNUMBER(F105),$Z$15*(1+AC105/AG105)/(1+$V$15*$Z$15*AI105)/AG105," ")</f>
        <v>0.966211313518157</v>
      </c>
      <c r="J105" s="27" t="n">
        <f aca="false">IF(ISNUMBER(F105),IF( AND( ( (F105*(F105+2*$U$8)*AB105*AB105) &gt; ($E$5*($E$5+2*$U$5)) ), ( B105&lt;90 ) ), 180-AJ105, AJ105)," ")</f>
        <v>7.71509028263512</v>
      </c>
      <c r="L105" s="17" t="n">
        <f aca="false">IF(ISNUMBER(F105),$E$5+$O$10-F105," ")</f>
        <v>584.376835909578</v>
      </c>
      <c r="N105" s="1" t="n">
        <f aca="false">IF(ISNUMBER(P105),B105," ")</f>
        <v>75</v>
      </c>
      <c r="O105" s="27" t="n">
        <f aca="false">IF(ISNUMBER(P105), IF( ABS(AM105-1)&lt;0.000001,0, IF(ABS(AM105+1)&lt;0.000001,180,ROUND(DEGREES(ACOS(AM105)),3)))," ")</f>
        <v>179.337</v>
      </c>
      <c r="P105" s="17" t="n">
        <f aca="false">IF(AK105&gt;0.0000001,$U$8*((1/SQRT(1-AK105*AK105))-1),"none")</f>
        <v>0.0172647882627683</v>
      </c>
      <c r="Q105" s="17" t="n">
        <f aca="false">IF(ISNUMBER(P105),ABS($Z$15*(1+AC105/AK105)/(1+$V$15*$Z$15*AM105)/AK105)," ")</f>
        <v>1725.4882908997</v>
      </c>
      <c r="R105" s="27" t="n">
        <f aca="false">IF(ISNUMBER(P105),IF( AND( ( (P105*(P105+2*$U$8)*AB105*AB105) &gt; ($E$5*($E$5+2*$U$5)) ), ( B105&lt;90 ) ), 180-AN105, AN105)," ")</f>
        <v>0.177390472224736</v>
      </c>
      <c r="S105" s="17" t="n">
        <f aca="false">IF(ISNUMBER(P105),$E$5+$O$10-P105," ")</f>
        <v>615.182735211737</v>
      </c>
      <c r="AB105" s="1" t="n">
        <f aca="false">COS(RADIANS(B105))</f>
        <v>0.258819045102521</v>
      </c>
      <c r="AC105" s="1" t="n">
        <f aca="false">-$V$15*AB105</f>
        <v>-0.0172963789063208</v>
      </c>
      <c r="AD105" s="1" t="n">
        <f aca="false">$AA$15+AC105*AC105</f>
        <v>1.00027213421928</v>
      </c>
      <c r="AF105" s="1" t="n">
        <f aca="false">AC105*AC105-AD105*$AE$15</f>
        <v>0.000272126863357916</v>
      </c>
      <c r="AG105" s="1" t="n">
        <f aca="false">IF(ISNUMBER(SQRT(AF105)),(-AC105+SQRT(AF105))/AD105,-100)</f>
        <v>0.0337834534371804</v>
      </c>
      <c r="AH105" s="1" t="n">
        <f aca="false">(AG105*AB105-$V$15)/((1-$V$15*AG105*AB105)*$Z$15)</f>
        <v>-0.872299999296296</v>
      </c>
      <c r="AI105" s="1" t="n">
        <f aca="false">IF(ABS(AH105)&lt;=1,AH105,IF(ABS(AH105)&lt;=1.00001,1*SIGN(AH105),0))</f>
        <v>-0.872299999296296</v>
      </c>
      <c r="AJ105" s="17" t="n">
        <f aca="false">DEGREES(ASIN( SQRT( (F105*(F105+2*$U$8)) / (L105*(L105+2*$U$10)) ) * SIN(RADIANS(B105))  ))</f>
        <v>7.71509028263512</v>
      </c>
      <c r="AK105" s="1" t="n">
        <f aca="false">IF(ISNUMBER(SQRT(AF105)),(-AC105-SQRT(AF105))/AD105,-100)</f>
        <v>0.000799893063460939</v>
      </c>
      <c r="AL105" s="1" t="n">
        <f aca="false">(AK105*AB105-$V$15)/((1-$V$15*AK105*AB105)*$Z$15)</f>
        <v>-0.999933056104601</v>
      </c>
      <c r="AM105" s="1" t="n">
        <f aca="false">IF(ABS(AL105)&lt;=1,AL105,IF(ABS(AL105)&lt;=1.00001,1*SIGN(AL105),0))</f>
        <v>-0.999933056104601</v>
      </c>
      <c r="AN105" s="17" t="n">
        <f aca="false">IF(ISNUMBER(P105),DEGREES(ASIN( SQRT( (P105*(P105+2*$U$8)) / (S105*(S105+2*$U$10)) ) * SIN(RADIANS(B105)) ) ),"ignore")</f>
        <v>0.177390472224736</v>
      </c>
    </row>
    <row r="106" customFormat="false" ht="12.75" hidden="false" customHeight="false" outlineLevel="0" collapsed="false">
      <c r="B106" s="1" t="n">
        <v>76</v>
      </c>
      <c r="D106" s="27" t="n">
        <f aca="false">IF(ISNUMBER(F106),IF(ABS(AI106-1)&lt;0.000001,0,IF(ABS(AI106+1)&lt;0.000001,180,ROUND(DEGREES(ACOS(AI106)),3)))," ")</f>
        <v>152.775</v>
      </c>
      <c r="F106" s="17" t="n">
        <f aca="false">IF(AG106&gt;0.0000001,$U$8*((1/SQRT(1-AG106*AG106))-1),"none")</f>
        <v>26.7397853097159</v>
      </c>
      <c r="H106" s="17" t="n">
        <f aca="false">IF(ISNUMBER(F106),$Z$15*(1+AC106/AG106)/(1+$V$15*$Z$15*AI106)/AG106," ")</f>
        <v>1.0335845425448</v>
      </c>
      <c r="J106" s="27" t="n">
        <f aca="false">IF(ISNUMBER(F106),IF( AND( ( (F106*(F106+2*$U$8)*AB106*AB106) &gt; ($E$5*($E$5+2*$U$5)) ), ( B106&lt;90 ) ), 180-AJ106, AJ106)," ")</f>
        <v>7.19027915167423</v>
      </c>
      <c r="L106" s="17" t="n">
        <f aca="false">IF(ISNUMBER(F106),$E$5+$O$10-F106," ")</f>
        <v>588.460214690284</v>
      </c>
      <c r="N106" s="1" t="n">
        <f aca="false">IF(ISNUMBER(P106),B106," ")</f>
        <v>76</v>
      </c>
      <c r="O106" s="27" t="n">
        <f aca="false">IF(ISNUMBER(P106), IF( ABS(AM106-1)&lt;0.000001,0, IF(ABS(AM106+1)&lt;0.000001,180,ROUND(DEGREES(ACOS(AM106)),3)))," ")</f>
        <v>179.285</v>
      </c>
      <c r="P106" s="17" t="n">
        <f aca="false">IF(AK106&gt;0.0000001,$U$8*((1/SQRT(1-AK106*AK106))-1),"none")</f>
        <v>0.0199005071138876</v>
      </c>
      <c r="Q106" s="17" t="n">
        <f aca="false">IF(ISNUMBER(P106),ABS($Z$15*(1+AC106/AK106)/(1+$V$15*$Z$15*AM106)/AK106)," ")</f>
        <v>1389.14403419038</v>
      </c>
      <c r="R106" s="27" t="n">
        <f aca="false">IF(ISNUMBER(P106),IF( AND( ( (P106*(P106+2*$U$8)*AB106*AB106) &gt; ($E$5*($E$5+2*$U$5)) ), ( B106&lt;90 ) ), 180-AN106, AN106)," ")</f>
        <v>0.191312402014685</v>
      </c>
      <c r="S106" s="17" t="n">
        <f aca="false">IF(ISNUMBER(P106),$E$5+$O$10-P106," ")</f>
        <v>615.180099492886</v>
      </c>
      <c r="AB106" s="1" t="n">
        <f aca="false">COS(RADIANS(B106))</f>
        <v>0.241921895599668</v>
      </c>
      <c r="AC106" s="1" t="n">
        <f aca="false">-$V$15*AB106</f>
        <v>-0.0161671749092875</v>
      </c>
      <c r="AD106" s="1" t="n">
        <f aca="false">$AA$15+AC106*AC106</f>
        <v>1.00023434704056</v>
      </c>
      <c r="AF106" s="1" t="n">
        <f aca="false">AC106*AC106-AD106*$AE$15</f>
        <v>0.00023434070604088</v>
      </c>
      <c r="AG106" s="1" t="n">
        <f aca="false">IF(ISNUMBER(SQRT(AF106)),(-AC106+SQRT(AF106))/AD106,-100)</f>
        <v>0.0314679912940614</v>
      </c>
      <c r="AH106" s="1" t="n">
        <f aca="false">(AG106*AB106-$V$15)/((1-$V$15*AG106*AB106)*$Z$15)</f>
        <v>-0.889217996423296</v>
      </c>
      <c r="AI106" s="1" t="n">
        <f aca="false">IF(ABS(AH106)&lt;=1,AH106,IF(ABS(AH106)&lt;=1.00001,1*SIGN(AH106),0))</f>
        <v>-0.889217996423296</v>
      </c>
      <c r="AJ106" s="17" t="n">
        <f aca="false">DEGREES(ASIN( SQRT( (F106*(F106+2*$U$8)) / (L106*(L106+2*$U$10)) ) * SIN(RADIANS(B106))  ))</f>
        <v>7.19027915167423</v>
      </c>
      <c r="AK106" s="1" t="n">
        <f aca="false">IF(ISNUMBER(SQRT(AF106)),(-AC106-SQRT(AF106))/AD106,-100)</f>
        <v>0.000858782840664347</v>
      </c>
      <c r="AL106" s="1" t="n">
        <f aca="false">(AK106*AB106-$V$15)/((1-$V$15*AK106*AB106)*$Z$15)</f>
        <v>-0.999922135960694</v>
      </c>
      <c r="AM106" s="1" t="n">
        <f aca="false">IF(ABS(AL106)&lt;=1,AL106,IF(ABS(AL106)&lt;=1.00001,1*SIGN(AL106),0))</f>
        <v>-0.999922135960694</v>
      </c>
      <c r="AN106" s="17" t="n">
        <f aca="false">IF(ISNUMBER(P106),DEGREES(ASIN( SQRT( (P106*(P106+2*$U$8)) / (S106*(S106+2*$U$10)) ) * SIN(RADIANS(B106)) ) ),"ignore")</f>
        <v>0.191312402014685</v>
      </c>
    </row>
    <row r="107" customFormat="false" ht="12.75" hidden="false" customHeight="false" outlineLevel="0" collapsed="false">
      <c r="B107" s="1" t="n">
        <v>77</v>
      </c>
      <c r="D107" s="27" t="n">
        <f aca="false">IF(ISNUMBER(F107),IF(ABS(AI107-1)&lt;0.000001,0,IF(ABS(AI107+1)&lt;0.000001,180,ROUND(DEGREES(ACOS(AI107)),3)))," ")</f>
        <v>154.832</v>
      </c>
      <c r="F107" s="17" t="n">
        <f aca="false">IF(AG107&gt;0.0000001,$U$8*((1/SQRT(1-AG107*AG107))-1),"none")</f>
        <v>22.9154124609682</v>
      </c>
      <c r="H107" s="17" t="n">
        <f aca="false">IF(ISNUMBER(F107),$Z$15*(1+AC107/AG107)/(1+$V$15*$Z$15*AI107)/AG107," ")</f>
        <v>1.11133996629102</v>
      </c>
      <c r="J107" s="27" t="n">
        <f aca="false">IF(ISNUMBER(F107),IF( AND( ( (F107*(F107+2*$U$8)*AB107*AB107) &gt; ($E$5*($E$5+2*$U$5)) ), ( B107&lt;90 ) ), 180-AJ107, AJ107)," ")</f>
        <v>6.65995300083971</v>
      </c>
      <c r="L107" s="17" t="n">
        <f aca="false">IF(ISNUMBER(F107),$E$5+$O$10-F107," ")</f>
        <v>592.284587539032</v>
      </c>
      <c r="N107" s="1" t="n">
        <f aca="false">IF(ISNUMBER(P107),B107," ")</f>
        <v>77</v>
      </c>
      <c r="O107" s="27" t="n">
        <f aca="false">IF(ISNUMBER(P107), IF( ABS(AM107-1)&lt;0.000001,0, IF(ABS(AM107+1)&lt;0.000001,180,ROUND(DEGREES(ACOS(AM107)),3)))," ")</f>
        <v>179.224</v>
      </c>
      <c r="P107" s="17" t="n">
        <f aca="false">IF(AK107&gt;0.0000001,$U$8*((1/SQRT(1-AK107*AK107))-1),"none")</f>
        <v>0.0232208979315901</v>
      </c>
      <c r="Q107" s="17" t="n">
        <f aca="false">IF(ISNUMBER(P107),ABS($Z$15*(1+AC107/AK107)/(1+$V$15*$Z$15*AM107)/AK107)," ")</f>
        <v>1096.95220056467</v>
      </c>
      <c r="R107" s="27" t="n">
        <f aca="false">IF(ISNUMBER(P107),IF( AND( ( (P107*(P107+2*$U$8)*AB107*AB107) &gt; ($E$5*($E$5+2*$U$5)) ), ( B107&lt;90 ) ), 180-AN107, AN107)," ")</f>
        <v>0.20752560832782</v>
      </c>
      <c r="S107" s="17" t="n">
        <f aca="false">IF(ISNUMBER(P107),$E$5+$O$10-P107," ")</f>
        <v>615.176779102069</v>
      </c>
      <c r="AB107" s="1" t="n">
        <f aca="false">COS(RADIANS(B107))</f>
        <v>0.224951054343865</v>
      </c>
      <c r="AC107" s="1" t="n">
        <f aca="false">-$V$15*AB107</f>
        <v>-0.0150330462341619</v>
      </c>
      <c r="AD107" s="1" t="n">
        <f aca="false">$AA$15+AC107*AC107</f>
        <v>1.00019896197509</v>
      </c>
      <c r="AF107" s="1" t="n">
        <f aca="false">AC107*AC107-AD107*$AE$15</f>
        <v>0.000198956597047988</v>
      </c>
      <c r="AG107" s="1" t="n">
        <f aca="false">IF(ISNUMBER(SQRT(AF107)),(-AC107+SQRT(AF107))/AD107,-100)</f>
        <v>0.0291324475037959</v>
      </c>
      <c r="AH107" s="1" t="n">
        <f aca="false">(AG107*AB107-$V$15)/((1-$V$15*AG107*AB107)*$Z$15)</f>
        <v>-0.905062896527365</v>
      </c>
      <c r="AI107" s="1" t="n">
        <f aca="false">IF(ABS(AH107)&lt;=1,AH107,IF(ABS(AH107)&lt;=1.00001,1*SIGN(AH107),0))</f>
        <v>-0.905062896527365</v>
      </c>
      <c r="AJ107" s="17" t="n">
        <f aca="false">DEGREES(ASIN( SQRT( (F107*(F107+2*$U$8)) / (L107*(L107+2*$U$10)) ) * SIN(RADIANS(B107))  ))</f>
        <v>6.65995300083971</v>
      </c>
      <c r="AK107" s="1" t="n">
        <f aca="false">IF(ISNUMBER(SQRT(AF107)),(-AC107-SQRT(AF107))/AD107,-100)</f>
        <v>0.000927664145342821</v>
      </c>
      <c r="AL107" s="1" t="n">
        <f aca="false">(AK107*AB107-$V$15)/((1-$V$15*AK107*AB107)*$Z$15)</f>
        <v>-0.999908379127104</v>
      </c>
      <c r="AM107" s="1" t="n">
        <f aca="false">IF(ABS(AL107)&lt;=1,AL107,IF(ABS(AL107)&lt;=1.00001,1*SIGN(AL107),0))</f>
        <v>-0.999908379127104</v>
      </c>
      <c r="AN107" s="17" t="n">
        <f aca="false">IF(ISNUMBER(P107),DEGREES(ASIN( SQRT( (P107*(P107+2*$U$8)) / (S107*(S107+2*$U$10)) ) * SIN(RADIANS(B107)) ) ),"ignore")</f>
        <v>0.20752560832782</v>
      </c>
    </row>
    <row r="108" customFormat="false" ht="12.75" hidden="false" customHeight="false" outlineLevel="0" collapsed="false">
      <c r="B108" s="1" t="n">
        <v>78</v>
      </c>
      <c r="D108" s="27" t="n">
        <f aca="false">IF(ISNUMBER(F108),IF(ABS(AI108-1)&lt;0.000001,0,IF(ABS(AI108+1)&lt;0.000001,180,ROUND(DEGREES(ACOS(AI108)),3)))," ")</f>
        <v>156.899</v>
      </c>
      <c r="F108" s="17" t="n">
        <f aca="false">IF(AG108&gt;0.0000001,$U$8*((1/SQRT(1-AG108*AG108))-1),"none")</f>
        <v>19.3543788522567</v>
      </c>
      <c r="H108" s="17" t="n">
        <f aca="false">IF(ISNUMBER(F108),$Z$15*(1+AC108/AG108)/(1+$V$15*$Z$15*AI108)/AG108," ")</f>
        <v>1.20200881803343</v>
      </c>
      <c r="J108" s="27" t="n">
        <f aca="false">IF(ISNUMBER(F108),IF( AND( ( (F108*(F108+2*$U$8)*AB108*AB108) &gt; ($E$5*($E$5+2*$U$5)) ), ( B108&lt;90 ) ), 180-AJ108, AJ108)," ")</f>
        <v>6.12371097546916</v>
      </c>
      <c r="L108" s="17" t="n">
        <f aca="false">IF(ISNUMBER(F108),$E$5+$O$10-F108," ")</f>
        <v>595.845621147743</v>
      </c>
      <c r="N108" s="1" t="n">
        <f aca="false">IF(ISNUMBER(P108),B108," ")</f>
        <v>78</v>
      </c>
      <c r="O108" s="27" t="n">
        <f aca="false">IF(ISNUMBER(P108), IF( ABS(AM108-1)&lt;0.000001,0, IF(ABS(AM108+1)&lt;0.000001,180,ROUND(DEGREES(ACOS(AM108)),3)))," ")</f>
        <v>179.153</v>
      </c>
      <c r="P108" s="17" t="n">
        <f aca="false">IF(AK108&gt;0.0000001,$U$8*((1/SQRT(1-AK108*AK108))-1),"none")</f>
        <v>0.0274924308768265</v>
      </c>
      <c r="Q108" s="17" t="n">
        <f aca="false">IF(ISNUMBER(P108),ABS($Z$15*(1+AC108/AK108)/(1+$V$15*$Z$15*AM108)/AK108)," ")</f>
        <v>846.352942991382</v>
      </c>
      <c r="R108" s="27" t="n">
        <f aca="false">IF(ISNUMBER(P108),IF( AND( ( (P108*(P108+2*$U$8)*AB108*AB108) &gt; ($E$5*($E$5+2*$U$5)) ), ( B108&lt;90 ) ), 180-AN108, AN108)," ")</f>
        <v>0.226684030477628</v>
      </c>
      <c r="S108" s="17" t="n">
        <f aca="false">IF(ISNUMBER(P108),$E$5+$O$10-P108," ")</f>
        <v>615.172507569123</v>
      </c>
      <c r="AB108" s="1" t="n">
        <f aca="false">COS(RADIANS(B108))</f>
        <v>0.207911690817759</v>
      </c>
      <c r="AC108" s="1" t="n">
        <f aca="false">-$V$15*AB108</f>
        <v>-0.013894338347525</v>
      </c>
      <c r="AD108" s="1" t="n">
        <f aca="false">$AA$15+AC108*AC108</f>
        <v>1.00016602213413</v>
      </c>
      <c r="AF108" s="1" t="n">
        <f aca="false">AC108*AC108-AD108*$AE$15</f>
        <v>0.000166017646465545</v>
      </c>
      <c r="AG108" s="1" t="n">
        <f aca="false">IF(ISNUMBER(SQRT(AF108)),(-AC108+SQRT(AF108))/AD108,-100)</f>
        <v>0.0267746766827635</v>
      </c>
      <c r="AH108" s="1" t="n">
        <f aca="false">(AG108*AB108-$V$15)/((1-$V$15*AG108*AB108)*$Z$15)</f>
        <v>-0.919816746120273</v>
      </c>
      <c r="AI108" s="1" t="n">
        <f aca="false">IF(ABS(AH108)&lt;=1,AH108,IF(ABS(AH108)&lt;=1.00001,1*SIGN(AH108),0))</f>
        <v>-0.919816746120273</v>
      </c>
      <c r="AJ108" s="17" t="n">
        <f aca="false">DEGREES(ASIN( SQRT( (F108*(F108+2*$U$8)) / (L108*(L108+2*$U$10)) ) * SIN(RADIANS(B108))  ))</f>
        <v>6.12371097546916</v>
      </c>
      <c r="AK108" s="1" t="n">
        <f aca="false">IF(ISNUMBER(SQRT(AF108)),(-AC108-SQRT(AF108))/AD108,-100)</f>
        <v>0.00100938724269894</v>
      </c>
      <c r="AL108" s="1" t="n">
        <f aca="false">(AK108*AB108-$V$15)/((1-$V$15*AK108*AB108)*$Z$15)</f>
        <v>-0.999890681581552</v>
      </c>
      <c r="AM108" s="1" t="n">
        <f aca="false">IF(ABS(AL108)&lt;=1,AL108,IF(ABS(AL108)&lt;=1.00001,1*SIGN(AL108),0))</f>
        <v>-0.999890681581552</v>
      </c>
      <c r="AN108" s="17" t="n">
        <f aca="false">IF(ISNUMBER(P108),DEGREES(ASIN( SQRT( (P108*(P108+2*$U$8)) / (S108*(S108+2*$U$10)) ) * SIN(RADIANS(B108)) ) ),"ignore")</f>
        <v>0.226684030477628</v>
      </c>
    </row>
    <row r="109" customFormat="false" ht="12.75" hidden="false" customHeight="false" outlineLevel="0" collapsed="false">
      <c r="B109" s="1" t="n">
        <v>79</v>
      </c>
      <c r="D109" s="27" t="n">
        <f aca="false">IF(ISNUMBER(F109),IF(ABS(AI109-1)&lt;0.000001,0,IF(ABS(AI109+1)&lt;0.000001,180,ROUND(DEGREES(ACOS(AI109)),3)))," ")</f>
        <v>158.981</v>
      </c>
      <c r="F109" s="17" t="n">
        <f aca="false">IF(AG109&gt;0.0000001,$U$8*((1/SQRT(1-AG109*AG109))-1),"none")</f>
        <v>16.0605505394631</v>
      </c>
      <c r="H109" s="17" t="n">
        <f aca="false">IF(ISNUMBER(F109),$Z$15*(1+AC109/AG109)/(1+$V$15*$Z$15*AI109)/AG109," ")</f>
        <v>1.30898524736483</v>
      </c>
      <c r="J109" s="27" t="n">
        <f aca="false">IF(ISNUMBER(F109),IF( AND( ( (F109*(F109+2*$U$8)*AB109*AB109) &gt; ($E$5*($E$5+2*$U$5)) ), ( B109&lt;90 ) ), 180-AJ109, AJ109)," ")</f>
        <v>5.58086009968742</v>
      </c>
      <c r="L109" s="17" t="n">
        <f aca="false">IF(ISNUMBER(F109),$E$5+$O$10-F109," ")</f>
        <v>599.139449460537</v>
      </c>
      <c r="N109" s="1" t="n">
        <f aca="false">IF(ISNUMBER(P109),B109," ")</f>
        <v>79</v>
      </c>
      <c r="O109" s="27" t="n">
        <f aca="false">IF(ISNUMBER(P109), IF( ABS(AM109-1)&lt;0.000001,0, IF(ABS(AM109+1)&lt;0.000001,180,ROUND(DEGREES(ACOS(AM109)),3)))," ")</f>
        <v>179.067</v>
      </c>
      <c r="P109" s="17" t="n">
        <f aca="false">IF(AK109&gt;0.0000001,$U$8*((1/SQRT(1-AK109*AK109))-1),"none")</f>
        <v>0.033129793030504</v>
      </c>
      <c r="Q109" s="17" t="n">
        <f aca="false">IF(ISNUMBER(P109),ABS($Z$15*(1+AC109/AK109)/(1+$V$15*$Z$15*AM109)/AK109)," ")</f>
        <v>634.659729889695</v>
      </c>
      <c r="R109" s="27" t="n">
        <f aca="false">IF(ISNUMBER(P109),IF( AND( ( (P109*(P109+2*$U$8)*AB109*AB109) &gt; ($E$5*($E$5+2*$U$5)) ), ( B109&lt;90 ) ), 180-AN109, AN109)," ")</f>
        <v>0.249728521686878</v>
      </c>
      <c r="S109" s="17" t="n">
        <f aca="false">IF(ISNUMBER(P109),$E$5+$O$10-P109," ")</f>
        <v>615.16687020697</v>
      </c>
      <c r="AB109" s="1" t="n">
        <f aca="false">COS(RADIANS(B109))</f>
        <v>0.190808995376545</v>
      </c>
      <c r="AC109" s="1" t="n">
        <f aca="false">-$V$15*AB109</f>
        <v>-0.0127513981108301</v>
      </c>
      <c r="AD109" s="1" t="n">
        <f aca="false">$AA$15+AC109*AC109</f>
        <v>1.00013556764979</v>
      </c>
      <c r="AF109" s="1" t="n">
        <f aca="false">AC109*AC109-AD109*$AE$15</f>
        <v>0.000135563985330981</v>
      </c>
      <c r="AG109" s="1" t="n">
        <f aca="false">IF(ISNUMBER(SQRT(AF109)),(-AC109+SQRT(AF109))/AD109,-100)</f>
        <v>0.0243912862492177</v>
      </c>
      <c r="AH109" s="1" t="n">
        <f aca="false">(AG109*AB109-$V$15)/((1-$V$15*AG109*AB109)*$Z$15)</f>
        <v>-0.933463527603255</v>
      </c>
      <c r="AI109" s="1" t="n">
        <f aca="false">IF(ABS(AH109)&lt;=1,AH109,IF(ABS(AH109)&lt;=1.00001,1*SIGN(AH109),0))</f>
        <v>-0.933463527603255</v>
      </c>
      <c r="AJ109" s="17" t="n">
        <f aca="false">DEGREES(ASIN( SQRT( (F109*(F109+2*$U$8)) / (L109*(L109+2*$U$10)) ) * SIN(RADIANS(B109))  ))</f>
        <v>5.58086009968742</v>
      </c>
      <c r="AK109" s="1" t="n">
        <f aca="false">IF(ISNUMBER(SQRT(AF109)),(-AC109-SQRT(AF109))/AD109,-100)</f>
        <v>0.00110805308693735</v>
      </c>
      <c r="AL109" s="1" t="n">
        <f aca="false">(AK109*AB109-$V$15)/((1-$V$15*AK109*AB109)*$Z$15)</f>
        <v>-0.999867325218639</v>
      </c>
      <c r="AM109" s="1" t="n">
        <f aca="false">IF(ABS(AL109)&lt;=1,AL109,IF(ABS(AL109)&lt;=1.00001,1*SIGN(AL109),0))</f>
        <v>-0.999867325218639</v>
      </c>
      <c r="AN109" s="17" t="n">
        <f aca="false">IF(ISNUMBER(P109),DEGREES(ASIN( SQRT( (P109*(P109+2*$U$8)) / (S109*(S109+2*$U$10)) ) * SIN(RADIANS(B109)) ) ),"ignore")</f>
        <v>0.249728521686878</v>
      </c>
    </row>
    <row r="110" customFormat="false" ht="12.75" hidden="false" customHeight="false" outlineLevel="0" collapsed="false">
      <c r="B110" s="1" t="n">
        <v>80</v>
      </c>
      <c r="D110" s="27" t="n">
        <f aca="false">IF(ISNUMBER(F110),IF(ABS(AI110-1)&lt;0.000001,0,IF(ABS(AI110+1)&lt;0.000001,180,ROUND(DEGREES(ACOS(AI110)),3)))," ")</f>
        <v>161.083</v>
      </c>
      <c r="F110" s="17" t="n">
        <f aca="false">IF(AG110&gt;0.0000001,$U$8*((1/SQRT(1-AG110*AG110))-1),"none")</f>
        <v>13.0372057595001</v>
      </c>
      <c r="H110" s="17" t="n">
        <f aca="false">IF(ISNUMBER(F110),$Z$15*(1+AC110/AG110)/(1+$V$15*$Z$15*AI110)/AG110," ")</f>
        <v>1.43688764725182</v>
      </c>
      <c r="J110" s="27" t="n">
        <f aca="false">IF(ISNUMBER(F110),IF( AND( ( (F110*(F110+2*$U$8)*AB110*AB110) &gt; ($E$5*($E$5+2*$U$5)) ), ( B110&lt;90 ) ), 180-AJ110, AJ110)," ")</f>
        <v>5.03023011907749</v>
      </c>
      <c r="L110" s="17" t="n">
        <f aca="false">IF(ISNUMBER(F110),$E$5+$O$10-F110," ")</f>
        <v>602.1627942405</v>
      </c>
      <c r="N110" s="1" t="n">
        <f aca="false">IF(ISNUMBER(P110),B110," ")</f>
        <v>80</v>
      </c>
      <c r="O110" s="27" t="n">
        <f aca="false">IF(ISNUMBER(P110), IF( ABS(AM110-1)&lt;0.000001,0, IF(ABS(AM110+1)&lt;0.000001,180,ROUND(DEGREES(ACOS(AM110)),3)))," ")</f>
        <v>178.961</v>
      </c>
      <c r="P110" s="17" t="n">
        <f aca="false">IF(AK110&gt;0.0000001,$U$8*((1/SQRT(1-AK110*AK110))-1),"none")</f>
        <v>0.0408114945066144</v>
      </c>
      <c r="Q110" s="17" t="n">
        <f aca="false">IF(ISNUMBER(P110),ABS($Z$15*(1+AC110/AK110)/(1+$V$15*$Z$15*AM110)/AK110)," ")</f>
        <v>459.068108037573</v>
      </c>
      <c r="R110" s="27" t="n">
        <f aca="false">IF(ISNUMBER(P110),IF( AND( ( (P110*(P110+2*$U$8)*AB110*AB110) &gt; ($E$5*($E$5+2*$U$5)) ), ( B110&lt;90 ) ), 180-AN110, AN110)," ")</f>
        <v>0.278072460276767</v>
      </c>
      <c r="S110" s="17" t="n">
        <f aca="false">IF(ISNUMBER(P110),$E$5+$O$10-P110," ")</f>
        <v>615.159188505493</v>
      </c>
      <c r="AB110" s="1" t="n">
        <f aca="false">COS(RADIANS(B110))</f>
        <v>0.17364817766693</v>
      </c>
      <c r="AC110" s="1" t="n">
        <f aca="false">-$V$15*AB110</f>
        <v>-0.0116045736747449</v>
      </c>
      <c r="AD110" s="1" t="n">
        <f aca="false">$AA$15+AC110*AC110</f>
        <v>1.00010763562618</v>
      </c>
      <c r="AF110" s="1" t="n">
        <f aca="false">AC110*AC110-AD110*$AE$15</f>
        <v>0.000107632716739358</v>
      </c>
      <c r="AG110" s="1" t="n">
        <f aca="false">IF(ISNUMBER(SQRT(AF110)),(-AC110+SQRT(AF110))/AD110,-100)</f>
        <v>0.0219768270572078</v>
      </c>
      <c r="AH110" s="1" t="n">
        <f aca="false">(AG110*AB110-$V$15)/((1-$V$15*AG110*AB110)*$Z$15)</f>
        <v>-0.945989658792197</v>
      </c>
      <c r="AI110" s="1" t="n">
        <f aca="false">IF(ABS(AH110)&lt;=1,AH110,IF(ABS(AH110)&lt;=1.00001,1*SIGN(AH110),0))</f>
        <v>-0.945989658792197</v>
      </c>
      <c r="AJ110" s="17" t="n">
        <f aca="false">DEGREES(ASIN( SQRT( (F110*(F110+2*$U$8)) / (L110*(L110+2*$U$10)) ) * SIN(RADIANS(B110))  ))</f>
        <v>5.03023011907749</v>
      </c>
      <c r="AK110" s="1" t="n">
        <f aca="false">IF(ISNUMBER(SQRT(AF110)),(-AC110-SQRT(AF110))/AD110,-100)</f>
        <v>0.00122982243003275</v>
      </c>
      <c r="AL110" s="1" t="n">
        <f aca="false">(AK110*AB110-$V$15)/((1-$V$15*AK110*AB110)*$Z$15)</f>
        <v>-0.999835498878149</v>
      </c>
      <c r="AM110" s="1" t="n">
        <f aca="false">IF(ABS(AL110)&lt;=1,AL110,IF(ABS(AL110)&lt;=1.00001,1*SIGN(AL110),0))</f>
        <v>-0.999835498878149</v>
      </c>
      <c r="AN110" s="17" t="n">
        <f aca="false">IF(ISNUMBER(P110),DEGREES(ASIN( SQRT( (P110*(P110+2*$U$8)) / (S110*(S110+2*$U$10)) ) * SIN(RADIANS(B110)) ) ),"ignore")</f>
        <v>0.278072460276767</v>
      </c>
    </row>
    <row r="111" customFormat="false" ht="12.75" hidden="false" customHeight="false" outlineLevel="0" collapsed="false">
      <c r="B111" s="1" t="n">
        <v>81</v>
      </c>
      <c r="D111" s="27" t="n">
        <f aca="false">IF(ISNUMBER(F111),IF(ABS(AI111-1)&lt;0.000001,0,IF(ABS(AI111+1)&lt;0.000001,180,ROUND(DEGREES(ACOS(AI111)),3)))," ")</f>
        <v>163.213</v>
      </c>
      <c r="F111" s="17" t="n">
        <f aca="false">IF(AG111&gt;0.0000001,$U$8*((1/SQRT(1-AG111*AG111))-1),"none")</f>
        <v>10.286788110617</v>
      </c>
      <c r="H111" s="17" t="n">
        <f aca="false">IF(ISNUMBER(F111),$Z$15*(1+AC111/AG111)/(1+$V$15*$Z$15*AI111)/AG111," ")</f>
        <v>1.59204442695347</v>
      </c>
      <c r="J111" s="27" t="n">
        <f aca="false">IF(ISNUMBER(F111),IF( AND( ( (F111*(F111+2*$U$8)*AB111*AB111) &gt; ($E$5*($E$5+2*$U$5)) ), ( B111&lt;90 ) ), 180-AJ111, AJ111)," ")</f>
        <v>4.46981328424791</v>
      </c>
      <c r="L111" s="17" t="n">
        <f aca="false">IF(ISNUMBER(F111),$E$5+$O$10-F111," ")</f>
        <v>604.913211889383</v>
      </c>
      <c r="N111" s="1" t="n">
        <f aca="false">IF(ISNUMBER(P111),B111," ")</f>
        <v>81</v>
      </c>
      <c r="O111" s="27" t="n">
        <f aca="false">IF(ISNUMBER(P111), IF( ABS(AM111-1)&lt;0.000001,0, IF(ABS(AM111+1)&lt;0.000001,180,ROUND(DEGREES(ACOS(AM111)),3)))," ")</f>
        <v>178.827</v>
      </c>
      <c r="P111" s="17" t="n">
        <f aca="false">IF(AK111&gt;0.0000001,$U$8*((1/SQRT(1-AK111*AK111))-1),"none")</f>
        <v>0.0517221063076905</v>
      </c>
      <c r="Q111" s="17" t="n">
        <f aca="false">IF(ISNUMBER(P111),ABS($Z$15*(1+AC111/AK111)/(1+$V$15*$Z$15*AM111)/AK111)," ")</f>
        <v>316.664920320163</v>
      </c>
      <c r="R111" s="27" t="n">
        <f aca="false">IF(ISNUMBER(P111),IF( AND( ( (P111*(P111+2*$U$8)*AB111*AB111) &gt; ($E$5*($E$5+2*$U$5)) ), ( B111&lt;90 ) ), 180-AN111, AN111)," ")</f>
        <v>0.313962406481226</v>
      </c>
      <c r="S111" s="17" t="n">
        <f aca="false">IF(ISNUMBER(P111),$E$5+$O$10-P111," ")</f>
        <v>615.148277893692</v>
      </c>
      <c r="AB111" s="1" t="n">
        <f aca="false">COS(RADIANS(B111))</f>
        <v>0.156434465040231</v>
      </c>
      <c r="AC111" s="1" t="n">
        <f aca="false">-$V$15*AB111</f>
        <v>-0.0104542143731024</v>
      </c>
      <c r="AD111" s="1" t="n">
        <f aca="false">$AA$15+AC111*AC111</f>
        <v>1.00008226009417</v>
      </c>
      <c r="AF111" s="1" t="n">
        <f aca="false">AC111*AC111-AD111*$AE$15</f>
        <v>8.22578706389766E-005</v>
      </c>
      <c r="AG111" s="1" t="n">
        <f aca="false">IF(ISNUMBER(SQRT(AF111)),(-AC111+SQRT(AF111))/AD111,-100)</f>
        <v>0.0195222209589693</v>
      </c>
      <c r="AH111" s="1" t="n">
        <f aca="false">(AG111*AB111-$V$15)/((1-$V$15*AG111*AB111)*$Z$15)</f>
        <v>-0.957385015525127</v>
      </c>
      <c r="AI111" s="1" t="n">
        <f aca="false">IF(ABS(AH111)&lt;=1,AH111,IF(ABS(AH111)&lt;=1.00001,1*SIGN(AH111),0))</f>
        <v>-0.957385015525127</v>
      </c>
      <c r="AJ111" s="17" t="n">
        <f aca="false">DEGREES(ASIN( SQRT( (F111*(F111+2*$U$8)) / (L111*(L111+2*$U$10)) ) * SIN(RADIANS(B111))  ))</f>
        <v>4.46981328424791</v>
      </c>
      <c r="AK111" s="1" t="n">
        <f aca="false">IF(ISNUMBER(SQRT(AF111)),(-AC111-SQRT(AF111))/AD111,-100)</f>
        <v>0.00138448799938784</v>
      </c>
      <c r="AL111" s="1" t="n">
        <f aca="false">(AK111*AB111-$V$15)/((1-$V$15*AK111*AB111)*$Z$15)</f>
        <v>-0.999790294720259</v>
      </c>
      <c r="AM111" s="1" t="n">
        <f aca="false">IF(ABS(AL111)&lt;=1,AL111,IF(ABS(AL111)&lt;=1.00001,1*SIGN(AL111),0))</f>
        <v>-0.999790294720259</v>
      </c>
      <c r="AN111" s="17" t="n">
        <f aca="false">IF(ISNUMBER(P111),DEGREES(ASIN( SQRT( (P111*(P111+2*$U$8)) / (S111*(S111+2*$U$10)) ) * SIN(RADIANS(B111)) ) ),"ignore")</f>
        <v>0.313962406481226</v>
      </c>
    </row>
    <row r="112" customFormat="false" ht="12.75" hidden="false" customHeight="false" outlineLevel="0" collapsed="false">
      <c r="B112" s="1" t="n">
        <v>82</v>
      </c>
      <c r="D112" s="27" t="n">
        <f aca="false">IF(ISNUMBER(F112),IF(ABS(AI112-1)&lt;0.000001,0,IF(ABS(AI112+1)&lt;0.000001,180,ROUND(DEGREES(ACOS(AI112)),3)))," ")</f>
        <v>165.385</v>
      </c>
      <c r="F112" s="17" t="n">
        <f aca="false">IF(AG112&gt;0.0000001,$U$8*((1/SQRT(1-AG112*AG112))-1),"none")</f>
        <v>7.81033432675884</v>
      </c>
      <c r="H112" s="17" t="n">
        <f aca="false">IF(ISNUMBER(F112),$Z$15*(1+AC112/AG112)/(1+$V$15*$Z$15*AI112)/AG112," ")</f>
        <v>1.7829406104497</v>
      </c>
      <c r="J112" s="27" t="n">
        <f aca="false">IF(ISNUMBER(F112),IF( AND( ( (F112*(F112+2*$U$8)*AB112*AB112) &gt; ($E$5*($E$5+2*$U$5)) ), ( B112&lt;90 ) ), 180-AJ112, AJ112)," ")</f>
        <v>3.89598513331273</v>
      </c>
      <c r="L112" s="17" t="n">
        <f aca="false">IF(ISNUMBER(F112),$E$5+$O$10-F112," ")</f>
        <v>607.389665673241</v>
      </c>
      <c r="N112" s="1" t="n">
        <f aca="false">IF(ISNUMBER(P112),B112," ")</f>
        <v>82</v>
      </c>
      <c r="O112" s="27" t="n">
        <f aca="false">IF(ISNUMBER(P112), IF( ABS(AM112-1)&lt;0.000001,0, IF(ABS(AM112+1)&lt;0.000001,180,ROUND(DEGREES(ACOS(AM112)),3)))," ")</f>
        <v>178.65</v>
      </c>
      <c r="P112" s="17" t="n">
        <f aca="false">IF(AK112&gt;0.0000001,$U$8*((1/SQRT(1-AK112*AK112))-1),"none")</f>
        <v>0.0681202878588735</v>
      </c>
      <c r="Q112" s="17" t="n">
        <f aca="false">IF(ISNUMBER(P112),ABS($Z$15*(1+AC112/AK112)/(1+$V$15*$Z$15*AM112)/AK112)," ")</f>
        <v>204.437790449301</v>
      </c>
      <c r="R112" s="27" t="n">
        <f aca="false">IF(ISNUMBER(P112),IF( AND( ( (P112*(P112+2*$U$8)*AB112*AB112) &gt; ($E$5*($E$5+2*$U$5)) ), ( B112&lt;90 ) ), 180-AN112, AN112)," ")</f>
        <v>0.361257748900579</v>
      </c>
      <c r="S112" s="17" t="n">
        <f aca="false">IF(ISNUMBER(P112),$E$5+$O$10-P112," ")</f>
        <v>615.131879712141</v>
      </c>
      <c r="AB112" s="1" t="n">
        <f aca="false">COS(RADIANS(B112))</f>
        <v>0.139173100960065</v>
      </c>
      <c r="AC112" s="1" t="n">
        <f aca="false">-$V$15*AB112</f>
        <v>-0.00930067061648961</v>
      </c>
      <c r="AD112" s="1" t="n">
        <f aca="false">$AA$15+AC112*AC112</f>
        <v>1.00005947196993</v>
      </c>
      <c r="AF112" s="1" t="n">
        <f aca="false">AC112*AC112-AD112*$AE$15</f>
        <v>5.94703623711115E-005</v>
      </c>
      <c r="AG112" s="1" t="n">
        <f aca="false">IF(ISNUMBER(SQRT(AF112)),(-AC112+SQRT(AF112))/AD112,-100)</f>
        <v>0.0170113618661259</v>
      </c>
      <c r="AH112" s="1" t="n">
        <f aca="false">(AG112*AB112-$V$15)/((1-$V$15*AG112*AB112)*$Z$15)</f>
        <v>-0.967645302471422</v>
      </c>
      <c r="AI112" s="1" t="n">
        <f aca="false">IF(ABS(AH112)&lt;=1,AH112,IF(ABS(AH112)&lt;=1.00001,1*SIGN(AH112),0))</f>
        <v>-0.967645302471422</v>
      </c>
      <c r="AJ112" s="17" t="n">
        <f aca="false">DEGREES(ASIN( SQRT( (F112*(F112+2*$U$8)) / (L112*(L112+2*$U$10)) ) * SIN(RADIANS(B112))  ))</f>
        <v>3.89598513331273</v>
      </c>
      <c r="AK112" s="1" t="n">
        <f aca="false">IF(ISNUMBER(SQRT(AF112)),(-AC112-SQRT(AF112))/AD112,-100)</f>
        <v>0.00158887317423431</v>
      </c>
      <c r="AL112" s="1" t="n">
        <f aca="false">(AK112*AB112-$V$15)/((1-$V$15*AK112*AB112)*$Z$15)</f>
        <v>-0.999722354809873</v>
      </c>
      <c r="AM112" s="1" t="n">
        <f aca="false">IF(ABS(AL112)&lt;=1,AL112,IF(ABS(AL112)&lt;=1.00001,1*SIGN(AL112),0))</f>
        <v>-0.999722354809873</v>
      </c>
      <c r="AN112" s="17" t="n">
        <f aca="false">IF(ISNUMBER(P112),DEGREES(ASIN( SQRT( (P112*(P112+2*$U$8)) / (S112*(S112+2*$U$10)) ) * SIN(RADIANS(B112)) ) ),"ignore")</f>
        <v>0.361257748900579</v>
      </c>
    </row>
    <row r="113" customFormat="false" ht="12.75" hidden="false" customHeight="false" outlineLevel="0" collapsed="false">
      <c r="B113" s="1" t="n">
        <v>83</v>
      </c>
      <c r="D113" s="27" t="n">
        <f aca="false">IF(ISNUMBER(F113),IF(ABS(AI113-1)&lt;0.000001,0,IF(ABS(AI113+1)&lt;0.000001,180,ROUND(DEGREES(ACOS(AI113)),3)))," ")</f>
        <v>167.628</v>
      </c>
      <c r="F113" s="17" t="n">
        <f aca="false">IF(AG113&gt;0.0000001,$U$8*((1/SQRT(1-AG113*AG113))-1),"none")</f>
        <v>5.60590368319346</v>
      </c>
      <c r="H113" s="17" t="n">
        <f aca="false">IF(ISNUMBER(F113),$Z$15*(1+AC113/AG113)/(1+$V$15*$Z$15*AI113)/AG113," ")</f>
        <v>2.01931663278671</v>
      </c>
      <c r="J113" s="27" t="n">
        <f aca="false">IF(ISNUMBER(F113),IF( AND( ( (F113*(F113+2*$U$8)*AB113*AB113) &gt; ($E$5*($E$5+2*$U$5)) ), ( B113&lt;90 ) ), 180-AJ113, AJ113)," ")</f>
        <v>3.3015367138135</v>
      </c>
      <c r="L113" s="17" t="n">
        <f aca="false">IF(ISNUMBER(F113),$E$5+$O$10-F113," ")</f>
        <v>609.594096316807</v>
      </c>
      <c r="N113" s="1" t="n">
        <f aca="false">IF(ISNUMBER(P113),B113," ")</f>
        <v>83</v>
      </c>
      <c r="O113" s="27" t="n">
        <f aca="false">IF(ISNUMBER(P113), IF( ABS(AM113-1)&lt;0.000001,0, IF(ABS(AM113+1)&lt;0.000001,180,ROUND(DEGREES(ACOS(AM113)),3)))," ")</f>
        <v>178.403</v>
      </c>
      <c r="P113" s="17" t="n">
        <f aca="false">IF(AK113&gt;0.0000001,$U$8*((1/SQRT(1-AK113*AK113))-1),"none")</f>
        <v>0.0949055708194083</v>
      </c>
      <c r="Q113" s="17" t="n">
        <f aca="false">IF(ISNUMBER(P113),ABS($Z$15*(1+AC113/AK113)/(1+$V$15*$Z$15*AM113)/AK113)," ")</f>
        <v>119.283540938365</v>
      </c>
      <c r="R113" s="27" t="n">
        <f aca="false">IF(ISNUMBER(P113),IF( AND( ( (P113*(P113+2*$U$8)*AB113*AB113) &gt; ($E$5*($E$5+2*$U$5)) ), ( B113&lt;90 ) ), 180-AN113, AN113)," ")</f>
        <v>0.427398900671505</v>
      </c>
      <c r="S113" s="17" t="n">
        <f aca="false">IF(ISNUMBER(P113),$E$5+$O$10-P113," ")</f>
        <v>615.105094429181</v>
      </c>
      <c r="AB113" s="1" t="n">
        <f aca="false">COS(RADIANS(B113))</f>
        <v>0.121869343405147</v>
      </c>
      <c r="AC113" s="1" t="n">
        <f aca="false">-$V$15*AB113</f>
        <v>-0.00814429378550942</v>
      </c>
      <c r="AD113" s="1" t="n">
        <f aca="false">$AA$15+AC113*AC113</f>
        <v>1.00003929901728</v>
      </c>
      <c r="AF113" s="1" t="n">
        <f aca="false">AC113*AC113-AD113*$AE$15</f>
        <v>3.92979550044427E-005</v>
      </c>
      <c r="AG113" s="1" t="n">
        <f aca="false">IF(ISNUMBER(SQRT(AF113)),(-AC113+SQRT(AF113))/AD113,-100)</f>
        <v>0.0144125354878113</v>
      </c>
      <c r="AH113" s="1" t="n">
        <f aca="false">(AG113*AB113-$V$15)/((1-$V$15*AG113*AB113)*$Z$15)</f>
        <v>-0.976778560319209</v>
      </c>
      <c r="AI113" s="1" t="n">
        <f aca="false">IF(ABS(AH113)&lt;=1,AH113,IF(ABS(AH113)&lt;=1.00001,1*SIGN(AH113),0))</f>
        <v>-0.976778560319209</v>
      </c>
      <c r="AJ113" s="17" t="n">
        <f aca="false">DEGREES(ASIN( SQRT( (F113*(F113+2*$U$8)) / (L113*(L113+2*$U$10)) ) * SIN(RADIANS(B113))  ))</f>
        <v>3.3015367138135</v>
      </c>
      <c r="AK113" s="1" t="n">
        <f aca="false">IF(ISNUMBER(SQRT(AF113)),(-AC113-SQRT(AF113))/AD113,-100)</f>
        <v>0.00187541198287849</v>
      </c>
      <c r="AL113" s="1" t="n">
        <f aca="false">(AK113*AB113-$V$15)/((1-$V$15*AK113*AB113)*$Z$15)</f>
        <v>-0.999611379716799</v>
      </c>
      <c r="AM113" s="1" t="n">
        <f aca="false">IF(ABS(AL113)&lt;=1,AL113,IF(ABS(AL113)&lt;=1.00001,1*SIGN(AL113),0))</f>
        <v>-0.999611379716799</v>
      </c>
      <c r="AN113" s="17" t="n">
        <f aca="false">IF(ISNUMBER(P113),DEGREES(ASIN( SQRT( (P113*(P113+2*$U$8)) / (S113*(S113+2*$U$10)) ) * SIN(RADIANS(B113)) ) ),"ignore")</f>
        <v>0.427398900671505</v>
      </c>
    </row>
    <row r="114" customFormat="false" ht="12.75" hidden="false" customHeight="false" outlineLevel="0" collapsed="false">
      <c r="B114" s="1" t="n">
        <v>84</v>
      </c>
      <c r="D114" s="27" t="n">
        <f aca="false">IF(ISNUMBER(F114),IF(ABS(AI114-1)&lt;0.000001,0,IF(ABS(AI114+1)&lt;0.000001,180,ROUND(DEGREES(ACOS(AI114)),3)))," ")</f>
        <v>170.007</v>
      </c>
      <c r="F114" s="17" t="n">
        <f aca="false">IF(AG114&gt;0.0000001,$U$8*((1/SQRT(1-AG114*AG114))-1),"none")</f>
        <v>3.66294870751838</v>
      </c>
      <c r="H114" s="17" t="n">
        <f aca="false">IF(ISNUMBER(F114),$Z$15*(1+AC114/AG114)/(1+$V$15*$Z$15*AI114)/AG114," ")</f>
        <v>2.29997780282966</v>
      </c>
      <c r="J114" s="27" t="n">
        <f aca="false">IF(ISNUMBER(F114),IF( AND( ( (F114*(F114+2*$U$8)*AB114*AB114) &gt; ($E$5*($E$5+2*$U$5)) ), ( B114&lt;90 ) ), 180-AJ114, AJ114)," ")</f>
        <v>2.66927162020123</v>
      </c>
      <c r="L114" s="17" t="n">
        <f aca="false">IF(ISNUMBER(F114),$E$5+$O$10-F114," ")</f>
        <v>611.537051292482</v>
      </c>
      <c r="N114" s="1" t="n">
        <f aca="false">IF(ISNUMBER(P114),B114," ")</f>
        <v>84</v>
      </c>
      <c r="O114" s="27" t="n">
        <f aca="false">IF(ISNUMBER(P114), IF( ABS(AM114-1)&lt;0.000001,0, IF(ABS(AM114+1)&lt;0.000001,180,ROUND(DEGREES(ACOS(AM114)),3)))," ")</f>
        <v>178.02</v>
      </c>
      <c r="P114" s="17" t="n">
        <f aca="false">IF(AK114&gt;0.0000001,$U$8*((1/SQRT(1-AK114*AK114))-1),"none")</f>
        <v>0.145244228855303</v>
      </c>
      <c r="Q114" s="17" t="n">
        <f aca="false">IF(ISNUMBER(P114),ABS($Z$15*(1+AC114/AK114)/(1+$V$15*$Z$15*AM114)/AK114)," ")</f>
        <v>58.0055769409782</v>
      </c>
      <c r="R114" s="27" t="n">
        <f aca="false">IF(ISNUMBER(P114),IF( AND( ( (P114*(P114+2*$U$8)*AB114*AB114) &gt; ($E$5*($E$5+2*$U$5)) ), ( B114&lt;90 ) ), 180-AN114, AN114)," ")</f>
        <v>0.52981067067577</v>
      </c>
      <c r="S114" s="17" t="n">
        <f aca="false">IF(ISNUMBER(P114),$E$5+$O$10-P114," ")</f>
        <v>615.054755771145</v>
      </c>
      <c r="AB114" s="1" t="n">
        <f aca="false">COS(RADIANS(B114))</f>
        <v>0.104528463267653</v>
      </c>
      <c r="AC114" s="1" t="n">
        <f aca="false">-$V$15*AB114</f>
        <v>-0.00698543612374662</v>
      </c>
      <c r="AD114" s="1" t="n">
        <f aca="false">$AA$15+AC114*AC114</f>
        <v>1.00002176581385</v>
      </c>
      <c r="AF114" s="1" t="n">
        <f aca="false">AC114*AC114-AD114*$AE$15</f>
        <v>2.17652255100247E-005</v>
      </c>
      <c r="AG114" s="1" t="n">
        <f aca="false">IF(ISNUMBER(SQRT(AF114)),(-AC114+SQRT(AF114))/AD114,-100)</f>
        <v>0.0116505041280314</v>
      </c>
      <c r="AH114" s="1" t="n">
        <f aca="false">(AG114*AB114-$V$15)/((1-$V$15*AG114*AB114)*$Z$15)</f>
        <v>-0.984828488690199</v>
      </c>
      <c r="AI114" s="1" t="n">
        <f aca="false">IF(ABS(AH114)&lt;=1,AH114,IF(ABS(AH114)&lt;=1.00001,1*SIGN(AH114),0))</f>
        <v>-0.984828488690199</v>
      </c>
      <c r="AJ114" s="17" t="n">
        <f aca="false">DEGREES(ASIN( SQRT( (F114*(F114+2*$U$8)) / (L114*(L114+2*$U$10)) ) * SIN(RADIANS(B114))  ))</f>
        <v>2.66927162020123</v>
      </c>
      <c r="AK114" s="1" t="n">
        <f aca="false">IF(ISNUMBER(SQRT(AF114)),(-AC114-SQRT(AF114))/AD114,-100)</f>
        <v>0.00232006403867573</v>
      </c>
      <c r="AL114" s="1" t="n">
        <f aca="false">(AK114*AB114-$V$15)/((1-$V$15*AK114*AB114)*$Z$15)</f>
        <v>-0.999402819767379</v>
      </c>
      <c r="AM114" s="1" t="n">
        <f aca="false">IF(ABS(AL114)&lt;=1,AL114,IF(ABS(AL114)&lt;=1.00001,1*SIGN(AL114),0))</f>
        <v>-0.999402819767379</v>
      </c>
      <c r="AN114" s="17" t="n">
        <f aca="false">IF(ISNUMBER(P114),DEGREES(ASIN( SQRT( (P114*(P114+2*$U$8)) / (S114*(S114+2*$U$10)) ) * SIN(RADIANS(B114)) ) ),"ignore")</f>
        <v>0.52981067067577</v>
      </c>
    </row>
    <row r="115" customFormat="false" ht="12.75" hidden="false" customHeight="false" outlineLevel="0" collapsed="false">
      <c r="B115" s="1" t="n">
        <v>85</v>
      </c>
      <c r="D115" s="27" t="n">
        <f aca="false">IF(ISNUMBER(F115),IF(ABS(AI115-1)&lt;0.000001,0,IF(ABS(AI115+1)&lt;0.000001,180,ROUND(DEGREES(ACOS(AI115)),3)))," ")</f>
        <v>172.758</v>
      </c>
      <c r="F115" s="17" t="n">
        <f aca="false">IF(AG115&gt;0.0000001,$U$8*((1/SQRT(1-AG115*AG115))-1),"none")</f>
        <v>1.92676332206793</v>
      </c>
      <c r="H115" s="17" t="n">
        <f aca="false">IF(ISNUMBER(F115),$Z$15*(1+AC115/AG115)/(1+$V$15*$Z$15*AI115)/AG115," ")</f>
        <v>2.46077835605376</v>
      </c>
      <c r="J115" s="27" t="n">
        <f aca="false">IF(ISNUMBER(F115),IF( AND( ( (F115*(F115+2*$U$8)*AB115*AB115) &gt; ($E$5*($E$5+2*$U$5)) ), ( B115&lt;90 ) ), 180-AJ115, AJ115)," ")</f>
        <v>1.93609456039971</v>
      </c>
      <c r="L115" s="17" t="n">
        <f aca="false">IF(ISNUMBER(F115),$E$5+$O$10-F115," ")</f>
        <v>613.273236677932</v>
      </c>
      <c r="N115" s="1" t="n">
        <f aca="false">IF(ISNUMBER(P115),B115," ")</f>
        <v>85</v>
      </c>
      <c r="O115" s="27" t="n">
        <f aca="false">IF(ISNUMBER(P115), IF( ABS(AM115-1)&lt;0.000001,0, IF(ABS(AM115+1)&lt;0.000001,180,ROUND(DEGREES(ACOS(AM115)),3)))," ")</f>
        <v>177.265</v>
      </c>
      <c r="P115" s="17" t="n">
        <f aca="false">IF(AK115&gt;0.0000001,$U$8*((1/SQRT(1-AK115*AK115))-1),"none")</f>
        <v>0.276118110470769</v>
      </c>
      <c r="Q115" s="17" t="n">
        <f aca="false">IF(ISNUMBER(P115),ABS($Z$15*(1+AC115/AK115)/(1+$V$15*$Z$15*AM115)/AK115)," ")</f>
        <v>17.1716733171999</v>
      </c>
      <c r="R115" s="27" t="n">
        <f aca="false">IF(ISNUMBER(P115),IF( AND( ( (P115*(P115+2*$U$8)*AB115*AB115) &gt; ($E$5*($E$5+2*$U$5)) ), ( B115&lt;90 ) ), 180-AN115, AN115)," ")</f>
        <v>0.731814097193463</v>
      </c>
      <c r="S115" s="17" t="n">
        <f aca="false">IF(ISNUMBER(P115),$E$5+$O$10-P115," ")</f>
        <v>614.923881889529</v>
      </c>
      <c r="AB115" s="1" t="n">
        <f aca="false">COS(RADIANS(B115))</f>
        <v>0.0871557427476584</v>
      </c>
      <c r="AC115" s="1" t="n">
        <f aca="false">-$V$15*AB115</f>
        <v>-0.00582445063047114</v>
      </c>
      <c r="AD115" s="1" t="n">
        <f aca="false">$AA$15+AC115*AC115</f>
        <v>1.00000689372116</v>
      </c>
      <c r="AF115" s="1" t="n">
        <f aca="false">AC115*AC115-AD115*$AE$15</f>
        <v>6.89353481803693E-006</v>
      </c>
      <c r="AG115" s="1" t="n">
        <f aca="false">IF(ISNUMBER(SQRT(AF115)),(-AC115+SQRT(AF115))/AD115,-100)</f>
        <v>0.00844994657144949</v>
      </c>
      <c r="AH115" s="1" t="n">
        <f aca="false">(AG115*AB115-$V$15)/((1-$V$15*AG115*AB115)*$Z$15)</f>
        <v>-0.992021742351048</v>
      </c>
      <c r="AI115" s="1" t="n">
        <f aca="false">IF(ABS(AH115)&lt;=1,AH115,IF(ABS(AH115)&lt;=1.00001,1*SIGN(AH115),0))</f>
        <v>-0.992021742351048</v>
      </c>
      <c r="AJ115" s="17" t="n">
        <f aca="false">DEGREES(ASIN( SQRT( (F115*(F115+2*$U$8)) / (L115*(L115+2*$U$10)) ) * SIN(RADIANS(B115))  ))</f>
        <v>1.93609456039971</v>
      </c>
      <c r="AK115" s="1" t="n">
        <f aca="false">IF(ISNUMBER(SQRT(AF115)),(-AC115-SQRT(AF115))/AD115,-100)</f>
        <v>0.00319887438576928</v>
      </c>
      <c r="AL115" s="1" t="n">
        <f aca="false">(AK115*AB115-$V$15)/((1-$V$15*AK115*AB115)*$Z$15)</f>
        <v>-0.998860591364866</v>
      </c>
      <c r="AM115" s="1" t="n">
        <f aca="false">IF(ABS(AL115)&lt;=1,AL115,IF(ABS(AL115)&lt;=1.00001,1*SIGN(AL115),0))</f>
        <v>-0.998860591364866</v>
      </c>
      <c r="AN115" s="17" t="n">
        <f aca="false">IF(ISNUMBER(P115),DEGREES(ASIN( SQRT( (P115*(P115+2*$U$8)) / (S115*(S115+2*$U$10)) ) * SIN(RADIANS(B115)) ) ),"ignore")</f>
        <v>0.731814097193463</v>
      </c>
    </row>
    <row r="116" customFormat="false" ht="12.75" hidden="false" customHeight="false" outlineLevel="0" collapsed="false">
      <c r="B116" s="1" t="n">
        <v>86</v>
      </c>
      <c r="D116" s="27" t="str">
        <f aca="false">IF(ISNUMBER(F116),IF(ABS(AI116-1)&lt;0.000001,0,IF(ABS(AI116+1)&lt;0.000001,180,ROUND(DEGREES(ACOS(AI116)),3)))," ")</f>
        <v> </v>
      </c>
      <c r="F116" s="17" t="str">
        <f aca="false">IF(AG116&gt;0.0000001,$U$8*((1/SQRT(1-AG116*AG116))-1),"none")</f>
        <v>none</v>
      </c>
      <c r="H116" s="17" t="str">
        <f aca="false">IF(ISNUMBER(F116),$Z$15*(1+AC116/AG116)/(1+$V$15*$Z$15*AI116)/AG116," ")</f>
        <v> </v>
      </c>
      <c r="J116" s="27" t="str">
        <f aca="false">IF(ISNUMBER(F116),IF( AND( ( (F116*(F116+2*$U$8)*AB116*AB116) &gt; ($E$5*($E$5+2*$U$5)) ), ( B116&lt;90 ) ), 180-AJ116, AJ116)," ")</f>
        <v> </v>
      </c>
      <c r="L116" s="17" t="str">
        <f aca="false">IF(ISNUMBER(F116),$E$5+$O$10-F116," ")</f>
        <v> </v>
      </c>
      <c r="N116" s="1" t="str">
        <f aca="false">IF(ISNUMBER(P116),B116," ")</f>
        <v> </v>
      </c>
      <c r="O116" s="27" t="str">
        <f aca="false">IF(ISNUMBER(P116), IF( ABS(AM116-1)&lt;0.000001,0, IF(ABS(AM116+1)&lt;0.000001,180,ROUND(DEGREES(ACOS(AM116)),3)))," ")</f>
        <v> </v>
      </c>
      <c r="P116" s="17" t="str">
        <f aca="false">IF(AK116&gt;0.0000001,$U$8*((1/SQRT(1-AK116*AK116))-1),"none")</f>
        <v>none</v>
      </c>
      <c r="Q116" s="17" t="str">
        <f aca="false">IF(ISNUMBER(P116),ABS($Z$15*(1+AC116/AK116)/(1+$V$15*$Z$15*AM116)/AK116)," ")</f>
        <v> </v>
      </c>
      <c r="R116" s="27" t="str">
        <f aca="false">IF(ISNUMBER(P116),IF( AND( ( (P116*(P116+2*$U$8)*AB116*AB116) &gt; ($E$5*($E$5+2*$U$5)) ), ( B116&lt;90 ) ), 180-AN116, AN116)," ")</f>
        <v> </v>
      </c>
      <c r="S116" s="17" t="str">
        <f aca="false">IF(ISNUMBER(P116),$E$5+$O$10-P116," ")</f>
        <v> </v>
      </c>
      <c r="AB116" s="1" t="n">
        <f aca="false">COS(RADIANS(B116))</f>
        <v>0.0697564737441252</v>
      </c>
      <c r="AC116" s="1" t="n">
        <f aca="false">-$V$15*AB116</f>
        <v>-0.00466169095311082</v>
      </c>
      <c r="AD116" s="1" t="n">
        <f aca="false">$AA$15+AC116*AC116</f>
        <v>0.999994700858554</v>
      </c>
      <c r="AF116" s="1" t="n">
        <f aca="false">AC116*AC116-AD116*$AE$15</f>
        <v>-5.29899820722216E-006</v>
      </c>
      <c r="AG116" s="1" t="n">
        <f aca="false">IF(ISNUMBER(SQRT(AF116)),(-AC116+SQRT(AF116))/AD116,-100)</f>
        <v>-100</v>
      </c>
      <c r="AH116" s="1" t="n">
        <f aca="false">(AG116*AB116-$V$15)/((1-$V$15*AG116*AB116)*$Z$15)</f>
        <v>-72.0932713007329</v>
      </c>
      <c r="AI116" s="1" t="n">
        <f aca="false">IF(ABS(AH116)&lt;=1,AH116,IF(ABS(AH116)&lt;=1.00001,1*SIGN(AH116),0))</f>
        <v>0</v>
      </c>
      <c r="AJ116" s="17" t="e">
        <f aca="false">DEGREES(ASIN( SQRT( (F116*(F116+2*$U$8)) / (L116*(L116+2*$U$10)) ) * SIN(RADIANS(B116))  ))</f>
        <v>#VALUE!</v>
      </c>
      <c r="AK116" s="1" t="n">
        <f aca="false">IF(ISNUMBER(SQRT(AF116)),(-AC116-SQRT(AF116))/AD116,-100)</f>
        <v>-100</v>
      </c>
      <c r="AL116" s="1" t="n">
        <f aca="false">(AK116*AB116-$V$15)/((1-$V$15*AK116*AB116)*$Z$15)</f>
        <v>-72.0932713007329</v>
      </c>
      <c r="AM116" s="1" t="n">
        <f aca="false">IF(ABS(AL116)&lt;=1,AL116,IF(ABS(AL116)&lt;=1.00001,1*SIGN(AL116),0))</f>
        <v>0</v>
      </c>
      <c r="AN116" s="17" t="str">
        <f aca="false">IF(ISNUMBER(P116),DEGREES(ASIN( SQRT( (P116*(P116+2*$U$8)) / (S116*(S116+2*$U$10)) ) * SIN(RADIANS(B116)) ) ),"ignore")</f>
        <v>ignore</v>
      </c>
    </row>
    <row r="117" customFormat="false" ht="12.75" hidden="false" customHeight="false" outlineLevel="0" collapsed="false">
      <c r="B117" s="1" t="n">
        <v>87</v>
      </c>
      <c r="D117" s="27" t="str">
        <f aca="false">IF(ISNUMBER(F117),IF(ABS(AI117-1)&lt;0.000001,0,IF(ABS(AI117+1)&lt;0.000001,180,ROUND(DEGREES(ACOS(AI117)),3)))," ")</f>
        <v> </v>
      </c>
      <c r="F117" s="17" t="str">
        <f aca="false">IF(AG117&gt;0.0000001,$U$8*((1/SQRT(1-AG117*AG117))-1),"none")</f>
        <v>none</v>
      </c>
      <c r="H117" s="17" t="str">
        <f aca="false">IF(ISNUMBER(F117),$Z$15*(1+AC117/AG117)/(1+$V$15*$Z$15*AI117)/AG117," ")</f>
        <v> </v>
      </c>
      <c r="J117" s="27" t="str">
        <f aca="false">IF(ISNUMBER(F117),IF( AND( ( (F117*(F117+2*$U$8)*AB117*AB117) &gt; ($E$5*($E$5+2*$U$5)) ), ( B117&lt;90 ) ), 180-AJ117, AJ117)," ")</f>
        <v> </v>
      </c>
      <c r="L117" s="17" t="str">
        <f aca="false">IF(ISNUMBER(F117),$E$5+$O$10-F117," ")</f>
        <v> </v>
      </c>
      <c r="N117" s="1" t="str">
        <f aca="false">IF(ISNUMBER(P117),B117," ")</f>
        <v> </v>
      </c>
      <c r="O117" s="27" t="str">
        <f aca="false">IF(ISNUMBER(P117), IF( ABS(AM117-1)&lt;0.000001,0, IF(ABS(AM117+1)&lt;0.000001,180,ROUND(DEGREES(ACOS(AM117)),3)))," ")</f>
        <v> </v>
      </c>
      <c r="P117" s="17" t="str">
        <f aca="false">IF(AK117&gt;0.0000001,$U$8*((1/SQRT(1-AK117*AK117))-1),"none")</f>
        <v>none</v>
      </c>
      <c r="Q117" s="17" t="str">
        <f aca="false">IF(ISNUMBER(P117),ABS($Z$15*(1+AC117/AK117)/(1+$V$15*$Z$15*AM117)/AK117)," ")</f>
        <v> </v>
      </c>
      <c r="R117" s="27" t="str">
        <f aca="false">IF(ISNUMBER(P117),IF( AND( ( (P117*(P117+2*$U$8)*AB117*AB117) &gt; ($E$5*($E$5+2*$U$5)) ), ( B117&lt;90 ) ), 180-AN117, AN117)," ")</f>
        <v> </v>
      </c>
      <c r="S117" s="17" t="str">
        <f aca="false">IF(ISNUMBER(P117),$E$5+$O$10-P117," ")</f>
        <v> </v>
      </c>
      <c r="AB117" s="1" t="n">
        <f aca="false">COS(RADIANS(B117))</f>
        <v>0.052335956242944</v>
      </c>
      <c r="AC117" s="1" t="n">
        <f aca="false">-$V$15*AB117</f>
        <v>-0.00349751127952742</v>
      </c>
      <c r="AD117" s="1" t="n">
        <f aca="false">$AA$15+AC117*AC117</f>
        <v>0.999985202081162</v>
      </c>
      <c r="AF117" s="1" t="n">
        <f aca="false">AC117*AC117-AD117*$AE$15</f>
        <v>-1.47975188423758E-005</v>
      </c>
      <c r="AG117" s="1" t="n">
        <f aca="false">IF(ISNUMBER(SQRT(AF117)),(-AC117+SQRT(AF117))/AD117,-100)</f>
        <v>-100</v>
      </c>
      <c r="AH117" s="1" t="n">
        <f aca="false">(AG117*AB117-$V$15)/((1-$V$15*AG117*AB117)*$Z$15)</f>
        <v>-58.9400282784556</v>
      </c>
      <c r="AI117" s="1" t="n">
        <f aca="false">IF(ABS(AH117)&lt;=1,AH117,IF(ABS(AH117)&lt;=1.00001,1*SIGN(AH117),0))</f>
        <v>0</v>
      </c>
      <c r="AJ117" s="17" t="e">
        <f aca="false">DEGREES(ASIN( SQRT( (F117*(F117+2*$U$8)) / (L117*(L117+2*$U$10)) ) * SIN(RADIANS(B117))  ))</f>
        <v>#VALUE!</v>
      </c>
      <c r="AK117" s="1" t="n">
        <f aca="false">IF(ISNUMBER(SQRT(AF117)),(-AC117-SQRT(AF117))/AD117,-100)</f>
        <v>-100</v>
      </c>
      <c r="AL117" s="1" t="n">
        <f aca="false">(AK117*AB117-$V$15)/((1-$V$15*AK117*AB117)*$Z$15)</f>
        <v>-58.9400282784556</v>
      </c>
      <c r="AM117" s="1" t="n">
        <f aca="false">IF(ABS(AL117)&lt;=1,AL117,IF(ABS(AL117)&lt;=1.00001,1*SIGN(AL117),0))</f>
        <v>0</v>
      </c>
      <c r="AN117" s="17" t="str">
        <f aca="false">IF(ISNUMBER(P117),DEGREES(ASIN( SQRT( (P117*(P117+2*$U$8)) / (S117*(S117+2*$U$10)) ) * SIN(RADIANS(B117)) ) ),"ignore")</f>
        <v>ignore</v>
      </c>
    </row>
    <row r="118" customFormat="false" ht="12.75" hidden="false" customHeight="false" outlineLevel="0" collapsed="false">
      <c r="B118" s="1" t="n">
        <v>88</v>
      </c>
      <c r="D118" s="27" t="str">
        <f aca="false">IF(ISNUMBER(F118),IF(ABS(AI118-1)&lt;0.000001,0,IF(ABS(AI118+1)&lt;0.000001,180,ROUND(DEGREES(ACOS(AI118)),3)))," ")</f>
        <v> </v>
      </c>
      <c r="F118" s="17" t="str">
        <f aca="false">IF(AG118&gt;0.0000001,$U$8*((1/SQRT(1-AG118*AG118))-1),"none")</f>
        <v>none</v>
      </c>
      <c r="H118" s="17" t="str">
        <f aca="false">IF(ISNUMBER(F118),$Z$15*(1+AC118/AG118)/(1+$V$15*$Z$15*AI118)/AG118," ")</f>
        <v> </v>
      </c>
      <c r="J118" s="27" t="str">
        <f aca="false">IF(ISNUMBER(F118),IF( AND( ( (F118*(F118+2*$U$8)*AB118*AB118) &gt; ($E$5*($E$5+2*$U$5)) ), ( B118&lt;90 ) ), 180-AJ118, AJ118)," ")</f>
        <v> </v>
      </c>
      <c r="L118" s="17" t="str">
        <f aca="false">IF(ISNUMBER(F118),$E$5+$O$10-F118," ")</f>
        <v> </v>
      </c>
      <c r="N118" s="1" t="str">
        <f aca="false">IF(ISNUMBER(P118),B118," ")</f>
        <v> </v>
      </c>
      <c r="O118" s="27" t="str">
        <f aca="false">IF(ISNUMBER(P118), IF( ABS(AM118-1)&lt;0.000001,0, IF(ABS(AM118+1)&lt;0.000001,180,ROUND(DEGREES(ACOS(AM118)),3)))," ")</f>
        <v> </v>
      </c>
      <c r="P118" s="17" t="str">
        <f aca="false">IF(AK118&gt;0.0000001,$U$8*((1/SQRT(1-AK118*AK118))-1),"none")</f>
        <v>none</v>
      </c>
      <c r="Q118" s="17" t="str">
        <f aca="false">IF(ISNUMBER(P118),ABS($Z$15*(1+AC118/AK118)/(1+$V$15*$Z$15*AM118)/AK118)," ")</f>
        <v> </v>
      </c>
      <c r="R118" s="27" t="str">
        <f aca="false">IF(ISNUMBER(P118),IF( AND( ( (P118*(P118+2*$U$8)*AB118*AB118) &gt; ($E$5*($E$5+2*$U$5)) ), ( B118&lt;90 ) ), 180-AN118, AN118)," ")</f>
        <v> </v>
      </c>
      <c r="S118" s="17" t="str">
        <f aca="false">IF(ISNUMBER(P118),$E$5+$O$10-P118," ")</f>
        <v> </v>
      </c>
      <c r="AB118" s="1" t="n">
        <f aca="false">COS(RADIANS(B118))</f>
        <v>0.0348994967025011</v>
      </c>
      <c r="AC118" s="1" t="n">
        <f aca="false">-$V$15*AB118</f>
        <v>-0.00233226623012709</v>
      </c>
      <c r="AD118" s="1" t="n">
        <f aca="false">$AA$15+AC118*AC118</f>
        <v>0.99997840896178</v>
      </c>
      <c r="AF118" s="1" t="n">
        <f aca="false">AC118*AC118-AD118*$AE$15</f>
        <v>-2.15904546031655E-005</v>
      </c>
      <c r="AG118" s="1" t="n">
        <f aca="false">IF(ISNUMBER(SQRT(AF118)),(-AC118+SQRT(AF118))/AD118,-100)</f>
        <v>-100</v>
      </c>
      <c r="AH118" s="1" t="n">
        <f aca="false">(AG118*AB118-$V$15)/((1-$V$15*AG118*AB118)*$Z$15)</f>
        <v>-43.2879767948352</v>
      </c>
      <c r="AI118" s="1" t="n">
        <f aca="false">IF(ABS(AH118)&lt;=1,AH118,IF(ABS(AH118)&lt;=1.00001,1*SIGN(AH118),0))</f>
        <v>0</v>
      </c>
      <c r="AJ118" s="17" t="e">
        <f aca="false">DEGREES(ASIN( SQRT( (F118*(F118+2*$U$8)) / (L118*(L118+2*$U$10)) ) * SIN(RADIANS(B118))  ))</f>
        <v>#VALUE!</v>
      </c>
      <c r="AK118" s="1" t="n">
        <f aca="false">IF(ISNUMBER(SQRT(AF118)),(-AC118-SQRT(AF118))/AD118,-100)</f>
        <v>-100</v>
      </c>
      <c r="AL118" s="1" t="n">
        <f aca="false">(AK118*AB118-$V$15)/((1-$V$15*AK118*AB118)*$Z$15)</f>
        <v>-43.2879767948352</v>
      </c>
      <c r="AM118" s="1" t="n">
        <f aca="false">IF(ABS(AL118)&lt;=1,AL118,IF(ABS(AL118)&lt;=1.00001,1*SIGN(AL118),0))</f>
        <v>0</v>
      </c>
      <c r="AN118" s="17" t="str">
        <f aca="false">IF(ISNUMBER(P118),DEGREES(ASIN( SQRT( (P118*(P118+2*$U$8)) / (S118*(S118+2*$U$10)) ) * SIN(RADIANS(B118)) ) ),"ignore")</f>
        <v>ignore</v>
      </c>
    </row>
    <row r="119" customFormat="false" ht="12.75" hidden="false" customHeight="false" outlineLevel="0" collapsed="false">
      <c r="B119" s="1" t="n">
        <v>89</v>
      </c>
      <c r="D119" s="27" t="str">
        <f aca="false">IF(ISNUMBER(F119),IF(ABS(AI119-1)&lt;0.000001,0,IF(ABS(AI119+1)&lt;0.000001,180,ROUND(DEGREES(ACOS(AI119)),3)))," ")</f>
        <v> </v>
      </c>
      <c r="F119" s="17" t="str">
        <f aca="false">IF(AG119&gt;0.0000001,$U$8*((1/SQRT(1-AG119*AG119))-1),"none")</f>
        <v>none</v>
      </c>
      <c r="H119" s="17" t="str">
        <f aca="false">IF(ISNUMBER(F119),$Z$15*(1+AC119/AG119)/(1+$V$15*$Z$15*AI119)/AG119," ")</f>
        <v> </v>
      </c>
      <c r="J119" s="27" t="str">
        <f aca="false">IF(ISNUMBER(F119),IF( AND( ( (F119*(F119+2*$U$8)*AB119*AB119) &gt; ($E$5*($E$5+2*$U$5)) ), ( B119&lt;90 ) ), 180-AJ119, AJ119)," ")</f>
        <v> </v>
      </c>
      <c r="L119" s="17" t="str">
        <f aca="false">IF(ISNUMBER(F119),$E$5+$O$10-F119," ")</f>
        <v> </v>
      </c>
      <c r="N119" s="1" t="str">
        <f aca="false">IF(ISNUMBER(P119),B119," ")</f>
        <v> </v>
      </c>
      <c r="O119" s="27" t="str">
        <f aca="false">IF(ISNUMBER(P119), IF( ABS(AM119-1)&lt;0.000001,0, IF(ABS(AM119+1)&lt;0.000001,180,ROUND(DEGREES(ACOS(AM119)),3)))," ")</f>
        <v> </v>
      </c>
      <c r="P119" s="17" t="str">
        <f aca="false">IF(AK119&gt;0.0000001,$U$8*((1/SQRT(1-AK119*AK119))-1),"none")</f>
        <v>none</v>
      </c>
      <c r="Q119" s="17" t="str">
        <f aca="false">IF(ISNUMBER(P119),ABS($Z$15*(1+AC119/AK119)/(1+$V$15*$Z$15*AM119)/AK119)," ")</f>
        <v> </v>
      </c>
      <c r="R119" s="27" t="str">
        <f aca="false">IF(ISNUMBER(P119),IF( AND( ( (P119*(P119+2*$U$8)*AB119*AB119) &gt; ($E$5*($E$5+2*$U$5)) ), ( B119&lt;90 ) ), 180-AN119, AN119)," ")</f>
        <v> </v>
      </c>
      <c r="S119" s="17" t="str">
        <f aca="false">IF(ISNUMBER(P119),$E$5+$O$10-P119," ")</f>
        <v> </v>
      </c>
      <c r="AB119" s="1" t="n">
        <f aca="false">COS(RADIANS(B119))</f>
        <v>0.0174524064372836</v>
      </c>
      <c r="AC119" s="1" t="n">
        <f aca="false">-$V$15*AB119</f>
        <v>-0.0011663107498399</v>
      </c>
      <c r="AD119" s="1" t="n">
        <f aca="false">$AA$15+AC119*AC119</f>
        <v>0.999974329776777</v>
      </c>
      <c r="AF119" s="1" t="n">
        <f aca="false">AC119*AC119-AD119*$AE$15</f>
        <v>-2.56695293437381E-005</v>
      </c>
      <c r="AG119" s="1" t="n">
        <f aca="false">IF(ISNUMBER(SQRT(AF119)),(-AC119+SQRT(AF119))/AD119,-100)</f>
        <v>-100</v>
      </c>
      <c r="AH119" s="1" t="n">
        <f aca="false">(AG119*AB119-$V$15)/((1-$V$15*AG119*AB119)*$Z$15)</f>
        <v>-24.3566976787008</v>
      </c>
      <c r="AI119" s="1" t="n">
        <f aca="false">IF(ABS(AH119)&lt;=1,AH119,IF(ABS(AH119)&lt;=1.00001,1*SIGN(AH119),0))</f>
        <v>0</v>
      </c>
      <c r="AJ119" s="17" t="e">
        <f aca="false">DEGREES(ASIN( SQRT( (F119*(F119+2*$U$8)) / (L119*(L119+2*$U$10)) ) * SIN(RADIANS(B119))  ))</f>
        <v>#VALUE!</v>
      </c>
      <c r="AK119" s="1" t="n">
        <f aca="false">IF(ISNUMBER(SQRT(AF119)),(-AC119-SQRT(AF119))/AD119,-100)</f>
        <v>-100</v>
      </c>
      <c r="AL119" s="1" t="n">
        <f aca="false">(AK119*AB119-$V$15)/((1-$V$15*AK119*AB119)*$Z$15)</f>
        <v>-24.3566976787008</v>
      </c>
      <c r="AM119" s="1" t="n">
        <f aca="false">IF(ABS(AL119)&lt;=1,AL119,IF(ABS(AL119)&lt;=1.00001,1*SIGN(AL119),0))</f>
        <v>0</v>
      </c>
      <c r="AN119" s="17" t="str">
        <f aca="false">IF(ISNUMBER(P119),DEGREES(ASIN( SQRT( (P119*(P119+2*$U$8)) / (S119*(S119+2*$U$10)) ) * SIN(RADIANS(B119)) ) ),"ignore")</f>
        <v>ignore</v>
      </c>
    </row>
    <row r="120" customFormat="false" ht="12.75" hidden="false" customHeight="false" outlineLevel="0" collapsed="false">
      <c r="B120" s="1" t="n">
        <v>90</v>
      </c>
      <c r="D120" s="27" t="str">
        <f aca="false">IF(ISNUMBER(F120),IF(ABS(AI120-1)&lt;0.000001,0,IF(ABS(AI120+1)&lt;0.000001,180,ROUND(DEGREES(ACOS(AI120)),3)))," ")</f>
        <v> </v>
      </c>
      <c r="F120" s="17" t="str">
        <f aca="false">IF(AG120&gt;0.0000001,$U$8*((1/SQRT(1-AG120*AG120))-1),"none")</f>
        <v>none</v>
      </c>
      <c r="H120" s="17" t="str">
        <f aca="false">IF(ISNUMBER(F120),$Z$15*(1+AC120/AG120)/(1+$V$15*$Z$15*AI120)/AG120," ")</f>
        <v> </v>
      </c>
      <c r="J120" s="27" t="str">
        <f aca="false">IF(ISNUMBER(F120),IF( AND( ( (F120*(F120+2*$U$8)*AB120*AB120) &gt; ($E$5*($E$5+2*$U$5)) ), ( B120&lt;90 ) ), 180-AJ120, AJ120)," ")</f>
        <v> </v>
      </c>
      <c r="L120" s="17" t="str">
        <f aca="false">IF(ISNUMBER(F120),$E$5+$O$10-F120," ")</f>
        <v> </v>
      </c>
      <c r="N120" s="1" t="str">
        <f aca="false">IF(ISNUMBER(P120),B120," ")</f>
        <v> </v>
      </c>
      <c r="O120" s="27" t="str">
        <f aca="false">IF(ISNUMBER(P120), IF( ABS(AM120-1)&lt;0.000001,0, IF(ABS(AM120+1)&lt;0.000001,180,ROUND(DEGREES(ACOS(AM120)),3)))," ")</f>
        <v> </v>
      </c>
      <c r="P120" s="17" t="str">
        <f aca="false">IF(AK120&gt;0.0000001,$U$8*((1/SQRT(1-AK120*AK120))-1),"none")</f>
        <v>none</v>
      </c>
      <c r="Q120" s="17" t="str">
        <f aca="false">IF(ISNUMBER(P120),ABS($Z$15*(1+AC120/AK120)/(1+$V$15*$Z$15*AM120)/AK120)," ")</f>
        <v> </v>
      </c>
      <c r="R120" s="27" t="str">
        <f aca="false">IF(ISNUMBER(P120),IF( AND( ( (P120*(P120+2*$U$8)*AB120*AB120) &gt; ($E$5*($E$5+2*$U$5)) ), ( B120&lt;90 ) ), 180-AN120, AN120)," ")</f>
        <v> </v>
      </c>
      <c r="S120" s="17" t="str">
        <f aca="false">IF(ISNUMBER(P120),$E$5+$O$10-P120," ")</f>
        <v> </v>
      </c>
      <c r="AB120" s="1" t="n">
        <f aca="false">COS(RADIANS(B120))</f>
        <v>6.12323399573677E-017</v>
      </c>
      <c r="AC120" s="1" t="n">
        <f aca="false">-$V$15*AB120</f>
        <v>-4.09203948961235E-018</v>
      </c>
      <c r="AD120" s="1" t="n">
        <f aca="false">$AA$15+AC120*AC120</f>
        <v>0.999972969496012</v>
      </c>
      <c r="AF120" s="1" t="n">
        <f aca="false">AC120*AC120-AD120*$AE$15</f>
        <v>-2.70297733398556E-005</v>
      </c>
      <c r="AG120" s="1" t="n">
        <f aca="false">IF(ISNUMBER(SQRT(AF120)),(-AC120+SQRT(AF120))/AD120,-100)</f>
        <v>-100</v>
      </c>
      <c r="AH120" s="1" t="n">
        <f aca="false">(AG120*AB120-$V$15)/((1-$V$15*AG120*AB120)*$Z$15)</f>
        <v>-1.00302651052942</v>
      </c>
      <c r="AI120" s="1" t="n">
        <f aca="false">IF(ABS(AH120)&lt;=1,AH120,IF(ABS(AH120)&lt;=1.00001,1*SIGN(AH120),0))</f>
        <v>0</v>
      </c>
      <c r="AJ120" s="17" t="e">
        <f aca="false">DEGREES(ASIN( SQRT( (F120*(F120+2*$U$8)) / (L120*(L120+2*$U$10)) ) * SIN(RADIANS(B120))  ))</f>
        <v>#VALUE!</v>
      </c>
      <c r="AK120" s="1" t="n">
        <f aca="false">IF(ISNUMBER(SQRT(AF120)),(-AC120-SQRT(AF120))/AD120,-100)</f>
        <v>-100</v>
      </c>
      <c r="AL120" s="1" t="n">
        <f aca="false">(AK120*AB120-$V$15)/((1-$V$15*AK120*AB120)*$Z$15)</f>
        <v>-1.00302651052942</v>
      </c>
      <c r="AM120" s="1" t="n">
        <f aca="false">IF(ABS(AL120)&lt;=1,AL120,IF(ABS(AL120)&lt;=1.00001,1*SIGN(AL120),0))</f>
        <v>0</v>
      </c>
      <c r="AN120" s="17" t="str">
        <f aca="false">IF(ISNUMBER(P120),DEGREES(ASIN( SQRT( (P120*(P120+2*$U$8)) / (S120*(S120+2*$U$10)) ) * SIN(RADIANS(B120)) ) ),"ignore")</f>
        <v>ignore</v>
      </c>
    </row>
    <row r="121" customFormat="false" ht="12.75" hidden="false" customHeight="false" outlineLevel="0" collapsed="false">
      <c r="B121" s="1" t="n">
        <v>91</v>
      </c>
      <c r="D121" s="27" t="str">
        <f aca="false">IF(ISNUMBER(F121),IF(ABS(AI121-1)&lt;0.000001,0,IF(ABS(AI121+1)&lt;0.000001,180,ROUND(DEGREES(ACOS(AI121)),3)))," ")</f>
        <v> </v>
      </c>
      <c r="F121" s="17" t="str">
        <f aca="false">IF(AG121&gt;0.0000001,$U$8*((1/SQRT(1-AG121*AG121))-1),"none")</f>
        <v>none</v>
      </c>
      <c r="H121" s="17" t="str">
        <f aca="false">IF(ISNUMBER(F121),$Z$15*(1+AC121/AG121)/(1+$V$15*$Z$15*AI121)/AG121," ")</f>
        <v> </v>
      </c>
      <c r="J121" s="27" t="str">
        <f aca="false">IF(ISNUMBER(F121),IF( AND( ( (F121*(F121+2*$U$8)*AB121*AB121) &gt; ($E$5*($E$5+2*$U$5)) ), ( B121&lt;90 ) ), 180-AJ121, AJ121)," ")</f>
        <v> </v>
      </c>
      <c r="L121" s="17" t="str">
        <f aca="false">IF(ISNUMBER(F121),$E$5+$O$10-F121," ")</f>
        <v> </v>
      </c>
      <c r="N121" s="1" t="str">
        <f aca="false">IF(ISNUMBER(P121),B121," ")</f>
        <v> </v>
      </c>
      <c r="O121" s="27" t="str">
        <f aca="false">IF(ISNUMBER(P121), IF( ABS(AM121-1)&lt;0.000001,0, IF(ABS(AM121+1)&lt;0.000001,180,ROUND(DEGREES(ACOS(AM121)),3)))," ")</f>
        <v> </v>
      </c>
      <c r="P121" s="17" t="str">
        <f aca="false">IF(AK121&gt;0.0000001,$U$8*((1/SQRT(1-AK121*AK121))-1),"none")</f>
        <v>none</v>
      </c>
      <c r="Q121" s="17" t="str">
        <f aca="false">IF(ISNUMBER(P121),ABS($Z$15*(1+AC121/AK121)/(1+$V$15*$Z$15*AM121)/AK121)," ")</f>
        <v> </v>
      </c>
      <c r="R121" s="27" t="str">
        <f aca="false">IF(ISNUMBER(P121),IF( AND( ( (P121*(P121+2*$U$8)*AB121*AB121) &gt; ($E$5*($E$5+2*$U$5)) ), ( B121&lt;90 ) ), 180-AN121, AN121)," ")</f>
        <v> </v>
      </c>
      <c r="S121" s="17" t="str">
        <f aca="false">IF(ISNUMBER(P121),$E$5+$O$10-P121," ")</f>
        <v> </v>
      </c>
      <c r="AB121" s="1" t="n">
        <f aca="false">COS(RADIANS(B121))</f>
        <v>-0.0174524064372835</v>
      </c>
      <c r="AC121" s="1" t="n">
        <f aca="false">-$V$15*AB121</f>
        <v>0.00116631074983989</v>
      </c>
      <c r="AD121" s="1" t="n">
        <f aca="false">$AA$15+AC121*AC121</f>
        <v>0.999974329776777</v>
      </c>
      <c r="AF121" s="1" t="n">
        <f aca="false">AC121*AC121-AD121*$AE$15</f>
        <v>-2.56695293437381E-005</v>
      </c>
      <c r="AG121" s="1" t="n">
        <f aca="false">IF(ISNUMBER(SQRT(AF121)),(-AC121+SQRT(AF121))/AD121,-100)</f>
        <v>-100</v>
      </c>
      <c r="AH121" s="1" t="n">
        <f aca="false">(AG121*AB121-$V$15)/((1-$V$15*AG121*AB121)*$Z$15)</f>
        <v>28.5174085000922</v>
      </c>
      <c r="AI121" s="1" t="n">
        <f aca="false">IF(ABS(AH121)&lt;=1,AH121,IF(ABS(AH121)&lt;=1.00001,1*SIGN(AH121),0))</f>
        <v>0</v>
      </c>
      <c r="AJ121" s="17" t="e">
        <f aca="false">DEGREES(ASIN( SQRT( (F121*(F121+2*$U$8)) / (L121*(L121+2*$U$10)) ) * SIN(RADIANS(B121))  ))</f>
        <v>#VALUE!</v>
      </c>
      <c r="AK121" s="1" t="n">
        <f aca="false">IF(ISNUMBER(SQRT(AF121)),(-AC121-SQRT(AF121))/AD121,-100)</f>
        <v>-100</v>
      </c>
      <c r="AL121" s="1" t="n">
        <f aca="false">(AK121*AB121-$V$15)/((1-$V$15*AK121*AB121)*$Z$15)</f>
        <v>28.5174085000922</v>
      </c>
      <c r="AM121" s="1" t="n">
        <f aca="false">IF(ABS(AL121)&lt;=1,AL121,IF(ABS(AL121)&lt;=1.00001,1*SIGN(AL121),0))</f>
        <v>0</v>
      </c>
      <c r="AN121" s="17" t="str">
        <f aca="false">IF(ISNUMBER(P121),DEGREES(ASIN( SQRT( (P121*(P121+2*$U$8)) / (S121*(S121+2*$U$10)) ) * SIN(RADIANS(B121)) ) ),"ignore")</f>
        <v>ignore</v>
      </c>
    </row>
    <row r="122" customFormat="false" ht="12.75" hidden="false" customHeight="false" outlineLevel="0" collapsed="false">
      <c r="B122" s="1" t="n">
        <v>92</v>
      </c>
      <c r="D122" s="27" t="str">
        <f aca="false">IF(ISNUMBER(F122),IF(ABS(AI122-1)&lt;0.000001,0,IF(ABS(AI122+1)&lt;0.000001,180,ROUND(DEGREES(ACOS(AI122)),3)))," ")</f>
        <v> </v>
      </c>
      <c r="F122" s="17" t="str">
        <f aca="false">IF(AG122&gt;0.0000001,$U$8*((1/SQRT(1-AG122*AG122))-1),"none")</f>
        <v>none</v>
      </c>
      <c r="H122" s="17" t="str">
        <f aca="false">IF(ISNUMBER(F122),$Z$15*(1+AC122/AG122)/(1+$V$15*$Z$15*AI122)/AG122," ")</f>
        <v> </v>
      </c>
      <c r="J122" s="27" t="str">
        <f aca="false">IF(ISNUMBER(F122),IF( AND( ( (F122*(F122+2*$U$8)*AB122*AB122) &gt; ($E$5*($E$5+2*$U$5)) ), ( B122&lt;90 ) ), 180-AJ122, AJ122)," ")</f>
        <v> </v>
      </c>
      <c r="L122" s="17" t="str">
        <f aca="false">IF(ISNUMBER(F122),$E$5+$O$10-F122," ")</f>
        <v> </v>
      </c>
      <c r="N122" s="1" t="str">
        <f aca="false">IF(ISNUMBER(P122),B122," ")</f>
        <v> </v>
      </c>
      <c r="O122" s="27" t="str">
        <f aca="false">IF(ISNUMBER(P122), IF( ABS(AM122-1)&lt;0.000001,0, IF(ABS(AM122+1)&lt;0.000001,180,ROUND(DEGREES(ACOS(AM122)),3)))," ")</f>
        <v> </v>
      </c>
      <c r="P122" s="17" t="str">
        <f aca="false">IF(AK122&gt;0.0000001,$U$8*((1/SQRT(1-AK122*AK122))-1),"none")</f>
        <v>none</v>
      </c>
      <c r="Q122" s="17" t="str">
        <f aca="false">IF(ISNUMBER(P122),ABS($Z$15*(1+AC122/AK122)/(1+$V$15*$Z$15*AM122)/AK122)," ")</f>
        <v> </v>
      </c>
      <c r="R122" s="27" t="str">
        <f aca="false">IF(ISNUMBER(P122),IF( AND( ( (P122*(P122+2*$U$8)*AB122*AB122) &gt; ($E$5*($E$5+2*$U$5)) ), ( B122&lt;90 ) ), 180-AN122, AN122)," ")</f>
        <v> </v>
      </c>
      <c r="S122" s="17" t="str">
        <f aca="false">IF(ISNUMBER(P122),$E$5+$O$10-P122," ")</f>
        <v> </v>
      </c>
      <c r="AB122" s="1" t="n">
        <f aca="false">COS(RADIANS(B122))</f>
        <v>-0.0348994967025007</v>
      </c>
      <c r="AC122" s="1" t="n">
        <f aca="false">-$V$15*AB122</f>
        <v>0.00233226623012707</v>
      </c>
      <c r="AD122" s="1" t="n">
        <f aca="false">$AA$15+AC122*AC122</f>
        <v>0.99997840896178</v>
      </c>
      <c r="AF122" s="1" t="n">
        <f aca="false">AC122*AC122-AD122*$AE$15</f>
        <v>-2.15904546031656E-005</v>
      </c>
      <c r="AG122" s="1" t="n">
        <f aca="false">IF(ISNUMBER(SQRT(AF122)),(-AC122+SQRT(AF122))/AD122,-100)</f>
        <v>-100</v>
      </c>
      <c r="AH122" s="1" t="n">
        <f aca="false">(AG122*AB122-$V$15)/((1-$V$15*AG122*AB122)*$Z$15)</f>
        <v>67.0052377412411</v>
      </c>
      <c r="AI122" s="1" t="n">
        <f aca="false">IF(ABS(AH122)&lt;=1,AH122,IF(ABS(AH122)&lt;=1.00001,1*SIGN(AH122),0))</f>
        <v>0</v>
      </c>
      <c r="AJ122" s="17" t="e">
        <f aca="false">DEGREES(ASIN( SQRT( (F122*(F122+2*$U$8)) / (L122*(L122+2*$U$10)) ) * SIN(RADIANS(B122))  ))</f>
        <v>#VALUE!</v>
      </c>
      <c r="AK122" s="1" t="n">
        <f aca="false">IF(ISNUMBER(SQRT(AF122)),(-AC122-SQRT(AF122))/AD122,-100)</f>
        <v>-100</v>
      </c>
      <c r="AL122" s="1" t="n">
        <f aca="false">(AK122*AB122-$V$15)/((1-$V$15*AK122*AB122)*$Z$15)</f>
        <v>67.0052377412411</v>
      </c>
      <c r="AM122" s="1" t="n">
        <f aca="false">IF(ABS(AL122)&lt;=1,AL122,IF(ABS(AL122)&lt;=1.00001,1*SIGN(AL122),0))</f>
        <v>0</v>
      </c>
      <c r="AN122" s="17" t="str">
        <f aca="false">IF(ISNUMBER(P122),DEGREES(ASIN( SQRT( (P122*(P122+2*$U$8)) / (S122*(S122+2*$U$10)) ) * SIN(RADIANS(B122)) ) ),"ignore")</f>
        <v>ignore</v>
      </c>
    </row>
    <row r="123" customFormat="false" ht="12.75" hidden="false" customHeight="false" outlineLevel="0" collapsed="false">
      <c r="B123" s="1" t="n">
        <v>93</v>
      </c>
      <c r="D123" s="27" t="str">
        <f aca="false">IF(ISNUMBER(F123),IF(ABS(AI123-1)&lt;0.000001,0,IF(ABS(AI123+1)&lt;0.000001,180,ROUND(DEGREES(ACOS(AI123)),3)))," ")</f>
        <v> </v>
      </c>
      <c r="F123" s="17" t="str">
        <f aca="false">IF(AG123&gt;0.0000001,$U$8*((1/SQRT(1-AG123*AG123))-1),"none")</f>
        <v>none</v>
      </c>
      <c r="H123" s="17" t="str">
        <f aca="false">IF(ISNUMBER(F123),$Z$15*(1+AC123/AG123)/(1+$V$15*$Z$15*AI123)/AG123," ")</f>
        <v> </v>
      </c>
      <c r="J123" s="27" t="str">
        <f aca="false">IF(ISNUMBER(F123),IF( AND( ( (F123*(F123+2*$U$8)*AB123*AB123) &gt; ($E$5*($E$5+2*$U$5)) ), ( B123&lt;90 ) ), 180-AJ123, AJ123)," ")</f>
        <v> </v>
      </c>
      <c r="L123" s="17" t="str">
        <f aca="false">IF(ISNUMBER(F123),$E$5+$O$10-F123," ")</f>
        <v> </v>
      </c>
      <c r="N123" s="1" t="str">
        <f aca="false">IF(ISNUMBER(P123),B123," ")</f>
        <v> </v>
      </c>
      <c r="O123" s="27" t="str">
        <f aca="false">IF(ISNUMBER(P123), IF( ABS(AM123-1)&lt;0.000001,0, IF(ABS(AM123+1)&lt;0.000001,180,ROUND(DEGREES(ACOS(AM123)),3)))," ")</f>
        <v> </v>
      </c>
      <c r="P123" s="17" t="str">
        <f aca="false">IF(AK123&gt;0.0000001,$U$8*((1/SQRT(1-AK123*AK123))-1),"none")</f>
        <v>none</v>
      </c>
      <c r="Q123" s="17" t="str">
        <f aca="false">IF(ISNUMBER(P123),ABS($Z$15*(1+AC123/AK123)/(1+$V$15*$Z$15*AM123)/AK123)," ")</f>
        <v> </v>
      </c>
      <c r="R123" s="27" t="str">
        <f aca="false">IF(ISNUMBER(P123),IF( AND( ( (P123*(P123+2*$U$8)*AB123*AB123) &gt; ($E$5*($E$5+2*$U$5)) ), ( B123&lt;90 ) ), 180-AN123, AN123)," ")</f>
        <v> </v>
      </c>
      <c r="S123" s="17" t="str">
        <f aca="false">IF(ISNUMBER(P123),$E$5+$O$10-P123," ")</f>
        <v> </v>
      </c>
      <c r="AB123" s="1" t="n">
        <f aca="false">COS(RADIANS(B123))</f>
        <v>-0.0523359562429438</v>
      </c>
      <c r="AC123" s="1" t="n">
        <f aca="false">-$V$15*AB123</f>
        <v>0.0034975112795274</v>
      </c>
      <c r="AD123" s="1" t="n">
        <f aca="false">$AA$15+AC123*AC123</f>
        <v>0.999985202081162</v>
      </c>
      <c r="AF123" s="1" t="n">
        <f aca="false">AC123*AC123-AD123*$AE$15</f>
        <v>-1.47975188423759E-005</v>
      </c>
      <c r="AG123" s="1" t="n">
        <f aca="false">IF(ISNUMBER(SQRT(AF123)),(-AC123+SQRT(AF123))/AD123,-100)</f>
        <v>-100</v>
      </c>
      <c r="AH123" s="1" t="n">
        <f aca="false">(AG123*AB123-$V$15)/((1-$V$15*AG123*AB123)*$Z$15)</f>
        <v>119.259440443469</v>
      </c>
      <c r="AI123" s="1" t="n">
        <f aca="false">IF(ABS(AH123)&lt;=1,AH123,IF(ABS(AH123)&lt;=1.00001,1*SIGN(AH123),0))</f>
        <v>0</v>
      </c>
      <c r="AJ123" s="17" t="e">
        <f aca="false">DEGREES(ASIN( SQRT( (F123*(F123+2*$U$8)) / (L123*(L123+2*$U$10)) ) * SIN(RADIANS(B123))  ))</f>
        <v>#VALUE!</v>
      </c>
      <c r="AK123" s="1" t="n">
        <f aca="false">IF(ISNUMBER(SQRT(AF123)),(-AC123-SQRT(AF123))/AD123,-100)</f>
        <v>-100</v>
      </c>
      <c r="AL123" s="1" t="n">
        <f aca="false">(AK123*AB123-$V$15)/((1-$V$15*AK123*AB123)*$Z$15)</f>
        <v>119.259440443469</v>
      </c>
      <c r="AM123" s="1" t="n">
        <f aca="false">IF(ABS(AL123)&lt;=1,AL123,IF(ABS(AL123)&lt;=1.00001,1*SIGN(AL123),0))</f>
        <v>0</v>
      </c>
      <c r="AN123" s="17" t="str">
        <f aca="false">IF(ISNUMBER(P123),DEGREES(ASIN( SQRT( (P123*(P123+2*$U$8)) / (S123*(S123+2*$U$10)) ) * SIN(RADIANS(B123)) ) ),"ignore")</f>
        <v>ignore</v>
      </c>
    </row>
    <row r="124" customFormat="false" ht="12.75" hidden="false" customHeight="false" outlineLevel="0" collapsed="false">
      <c r="B124" s="1" t="n">
        <v>94</v>
      </c>
      <c r="D124" s="27" t="str">
        <f aca="false">IF(ISNUMBER(F124),IF(ABS(AI124-1)&lt;0.000001,0,IF(ABS(AI124+1)&lt;0.000001,180,ROUND(DEGREES(ACOS(AI124)),3)))," ")</f>
        <v> </v>
      </c>
      <c r="F124" s="17" t="str">
        <f aca="false">IF(AG124&gt;0.0000001,$U$8*((1/SQRT(1-AG124*AG124))-1),"none")</f>
        <v>none</v>
      </c>
      <c r="H124" s="17" t="str">
        <f aca="false">IF(ISNUMBER(F124),$Z$15*(1+AC124/AG124)/(1+$V$15*$Z$15*AI124)/AG124," ")</f>
        <v> </v>
      </c>
      <c r="J124" s="27" t="str">
        <f aca="false">IF(ISNUMBER(F124),IF( AND( ( (F124*(F124+2*$U$8)*AB124*AB124) &gt; ($E$5*($E$5+2*$U$5)) ), ( B124&lt;90 ) ), 180-AJ124, AJ124)," ")</f>
        <v> </v>
      </c>
      <c r="L124" s="17" t="str">
        <f aca="false">IF(ISNUMBER(F124),$E$5+$O$10-F124," ")</f>
        <v> </v>
      </c>
      <c r="N124" s="1" t="str">
        <f aca="false">IF(ISNUMBER(P124),B124," ")</f>
        <v> </v>
      </c>
      <c r="O124" s="27" t="str">
        <f aca="false">IF(ISNUMBER(P124), IF( ABS(AM124-1)&lt;0.000001,0, IF(ABS(AM124+1)&lt;0.000001,180,ROUND(DEGREES(ACOS(AM124)),3)))," ")</f>
        <v> </v>
      </c>
      <c r="P124" s="17" t="str">
        <f aca="false">IF(AK124&gt;0.0000001,$U$8*((1/SQRT(1-AK124*AK124))-1),"none")</f>
        <v>none</v>
      </c>
      <c r="Q124" s="17" t="str">
        <f aca="false">IF(ISNUMBER(P124),ABS($Z$15*(1+AC124/AK124)/(1+$V$15*$Z$15*AM124)/AK124)," ")</f>
        <v> </v>
      </c>
      <c r="R124" s="27" t="str">
        <f aca="false">IF(ISNUMBER(P124),IF( AND( ( (P124*(P124+2*$U$8)*AB124*AB124) &gt; ($E$5*($E$5+2*$U$5)) ), ( B124&lt;90 ) ), 180-AN124, AN124)," ")</f>
        <v> </v>
      </c>
      <c r="S124" s="17" t="str">
        <f aca="false">IF(ISNUMBER(P124),$E$5+$O$10-P124," ")</f>
        <v> </v>
      </c>
      <c r="AB124" s="1" t="n">
        <f aca="false">COS(RADIANS(B124))</f>
        <v>-0.0697564737441253</v>
      </c>
      <c r="AC124" s="1" t="n">
        <f aca="false">-$V$15*AB124</f>
        <v>0.00466169095311083</v>
      </c>
      <c r="AD124" s="1" t="n">
        <f aca="false">$AA$15+AC124*AC124</f>
        <v>0.999994700858554</v>
      </c>
      <c r="AF124" s="1" t="n">
        <f aca="false">AC124*AC124-AD124*$AE$15</f>
        <v>-5.2989982072221E-006</v>
      </c>
      <c r="AG124" s="1" t="n">
        <f aca="false">IF(ISNUMBER(SQRT(AF124)),(-AC124+SQRT(AF124))/AD124,-100)</f>
        <v>-100</v>
      </c>
      <c r="AH124" s="1" t="n">
        <f aca="false">(AG124*AB124-$V$15)/((1-$V$15*AG124*AB124)*$Z$15)</f>
        <v>194.24666580587</v>
      </c>
      <c r="AI124" s="1" t="n">
        <f aca="false">IF(ABS(AH124)&lt;=1,AH124,IF(ABS(AH124)&lt;=1.00001,1*SIGN(AH124),0))</f>
        <v>0</v>
      </c>
      <c r="AJ124" s="17" t="e">
        <f aca="false">DEGREES(ASIN( SQRT( (F124*(F124+2*$U$8)) / (L124*(L124+2*$U$10)) ) * SIN(RADIANS(B124))  ))</f>
        <v>#VALUE!</v>
      </c>
      <c r="AK124" s="1" t="n">
        <f aca="false">IF(ISNUMBER(SQRT(AF124)),(-AC124-SQRT(AF124))/AD124,-100)</f>
        <v>-100</v>
      </c>
      <c r="AL124" s="1" t="n">
        <f aca="false">(AK124*AB124-$V$15)/((1-$V$15*AK124*AB124)*$Z$15)</f>
        <v>194.24666580587</v>
      </c>
      <c r="AM124" s="1" t="n">
        <f aca="false">IF(ABS(AL124)&lt;=1,AL124,IF(ABS(AL124)&lt;=1.00001,1*SIGN(AL124),0))</f>
        <v>0</v>
      </c>
      <c r="AN124" s="17" t="str">
        <f aca="false">IF(ISNUMBER(P124),DEGREES(ASIN( SQRT( (P124*(P124+2*$U$8)) / (S124*(S124+2*$U$10)) ) * SIN(RADIANS(B124)) ) ),"ignore")</f>
        <v>ignore</v>
      </c>
    </row>
    <row r="125" customFormat="false" ht="12.75" hidden="false" customHeight="false" outlineLevel="0" collapsed="false">
      <c r="B125" s="1" t="n">
        <v>95</v>
      </c>
      <c r="D125" s="27" t="str">
        <f aca="false">IF(ISNUMBER(F125),IF(ABS(AI125-1)&lt;0.000001,0,IF(ABS(AI125+1)&lt;0.000001,180,ROUND(DEGREES(ACOS(AI125)),3)))," ")</f>
        <v> </v>
      </c>
      <c r="F125" s="17" t="str">
        <f aca="false">IF(AG125&gt;0.0000001,$U$8*((1/SQRT(1-AG125*AG125))-1),"none")</f>
        <v>none</v>
      </c>
      <c r="H125" s="17" t="str">
        <f aca="false">IF(ISNUMBER(F125),$Z$15*(1+AC125/AG125)/(1+$V$15*$Z$15*AI125)/AG125," ")</f>
        <v> </v>
      </c>
      <c r="J125" s="27" t="str">
        <f aca="false">IF(ISNUMBER(F125),IF( AND( ( (F125*(F125+2*$U$8)*AB125*AB125) &gt; ($E$5*($E$5+2*$U$5)) ), ( B125&lt;90 ) ), 180-AJ125, AJ125)," ")</f>
        <v> </v>
      </c>
      <c r="L125" s="17" t="str">
        <f aca="false">IF(ISNUMBER(F125),$E$5+$O$10-F125," ")</f>
        <v> </v>
      </c>
      <c r="N125" s="1" t="str">
        <f aca="false">IF(ISNUMBER(P125),B125," ")</f>
        <v> </v>
      </c>
      <c r="O125" s="27" t="str">
        <f aca="false">IF(ISNUMBER(P125), IF( ABS(AM125-1)&lt;0.000001,0, IF(ABS(AM125+1)&lt;0.000001,180,ROUND(DEGREES(ACOS(AM125)),3)))," ")</f>
        <v> </v>
      </c>
      <c r="P125" s="17" t="str">
        <f aca="false">IF(AK125&gt;0.0000001,$U$8*((1/SQRT(1-AK125*AK125))-1),"none")</f>
        <v>none</v>
      </c>
      <c r="Q125" s="17" t="str">
        <f aca="false">IF(ISNUMBER(P125),ABS($Z$15*(1+AC125/AK125)/(1+$V$15*$Z$15*AM125)/AK125)," ")</f>
        <v> </v>
      </c>
      <c r="R125" s="27" t="str">
        <f aca="false">IF(ISNUMBER(P125),IF( AND( ( (P125*(P125+2*$U$8)*AB125*AB125) &gt; ($E$5*($E$5+2*$U$5)) ), ( B125&lt;90 ) ), 180-AN125, AN125)," ")</f>
        <v> </v>
      </c>
      <c r="S125" s="17" t="str">
        <f aca="false">IF(ISNUMBER(P125),$E$5+$O$10-P125," ")</f>
        <v> </v>
      </c>
      <c r="AB125" s="1" t="n">
        <f aca="false">COS(RADIANS(B125))</f>
        <v>-0.0871557427476582</v>
      </c>
      <c r="AC125" s="1" t="n">
        <f aca="false">-$V$15*AB125</f>
        <v>0.00582445063047113</v>
      </c>
      <c r="AD125" s="1" t="n">
        <f aca="false">$AA$15+AC125*AC125</f>
        <v>1.00000689372116</v>
      </c>
      <c r="AF125" s="1" t="n">
        <f aca="false">AC125*AC125-AD125*$AE$15</f>
        <v>6.89353481803677E-006</v>
      </c>
      <c r="AG125" s="1" t="n">
        <f aca="false">IF(ISNUMBER(SQRT(AF125)),(-AC125+SQRT(AF125))/AD125,-100)</f>
        <v>-0.0031988743857693</v>
      </c>
      <c r="AH125" s="1" t="n">
        <f aca="false">(AG125*AB125-$V$15)/((1-$V$15*AG125*AB125)*$Z$15)</f>
        <v>-0.998860591364866</v>
      </c>
      <c r="AI125" s="1" t="n">
        <f aca="false">IF(ABS(AH125)&lt;=1,AH125,IF(ABS(AH125)&lt;=1.00001,1*SIGN(AH125),0))</f>
        <v>-0.998860591364866</v>
      </c>
      <c r="AJ125" s="17" t="e">
        <f aca="false">DEGREES(ASIN( SQRT( (F125*(F125+2*$U$8)) / (L125*(L125+2*$U$10)) ) * SIN(RADIANS(B125))  ))</f>
        <v>#VALUE!</v>
      </c>
      <c r="AK125" s="1" t="n">
        <f aca="false">IF(ISNUMBER(SQRT(AF125)),(-AC125-SQRT(AF125))/AD125,-100)</f>
        <v>-0.00844994657144944</v>
      </c>
      <c r="AL125" s="1" t="n">
        <f aca="false">(AK125*AB125-$V$15)/((1-$V$15*AK125*AB125)*$Z$15)</f>
        <v>-0.992021742351048</v>
      </c>
      <c r="AM125" s="1" t="n">
        <f aca="false">IF(ABS(AL125)&lt;=1,AL125,IF(ABS(AL125)&lt;=1.00001,1*SIGN(AL125),0))</f>
        <v>-0.992021742351048</v>
      </c>
      <c r="AN125" s="17" t="str">
        <f aca="false">IF(ISNUMBER(P125),DEGREES(ASIN( SQRT( (P125*(P125+2*$U$8)) / (S125*(S125+2*$U$10)) ) * SIN(RADIANS(B125)) ) ),"ignore")</f>
        <v>ignore</v>
      </c>
    </row>
    <row r="126" customFormat="false" ht="12.75" hidden="false" customHeight="false" outlineLevel="0" collapsed="false">
      <c r="B126" s="1" t="n">
        <v>96</v>
      </c>
      <c r="D126" s="27" t="str">
        <f aca="false">IF(ISNUMBER(F126),IF(ABS(AI126-1)&lt;0.000001,0,IF(ABS(AI126+1)&lt;0.000001,180,ROUND(DEGREES(ACOS(AI126)),3)))," ")</f>
        <v> </v>
      </c>
      <c r="F126" s="17" t="str">
        <f aca="false">IF(AG126&gt;0.0000001,$U$8*((1/SQRT(1-AG126*AG126))-1),"none")</f>
        <v>none</v>
      </c>
      <c r="H126" s="17" t="str">
        <f aca="false">IF(ISNUMBER(F126),$Z$15*(1+AC126/AG126)/(1+$V$15*$Z$15*AI126)/AG126," ")</f>
        <v> </v>
      </c>
      <c r="J126" s="27" t="str">
        <f aca="false">IF(ISNUMBER(F126),IF( AND( ( (F126*(F126+2*$U$8)*AB126*AB126) &gt; ($E$5*($E$5+2*$U$5)) ), ( B126&lt;90 ) ), 180-AJ126, AJ126)," ")</f>
        <v> </v>
      </c>
      <c r="L126" s="17" t="str">
        <f aca="false">IF(ISNUMBER(F126),$E$5+$O$10-F126," ")</f>
        <v> </v>
      </c>
      <c r="N126" s="1" t="str">
        <f aca="false">IF(ISNUMBER(P126),B126," ")</f>
        <v> </v>
      </c>
      <c r="O126" s="27" t="str">
        <f aca="false">IF(ISNUMBER(P126), IF( ABS(AM126-1)&lt;0.000001,0, IF(ABS(AM126+1)&lt;0.000001,180,ROUND(DEGREES(ACOS(AM126)),3)))," ")</f>
        <v> </v>
      </c>
      <c r="P126" s="17" t="str">
        <f aca="false">IF(AK126&gt;0.0000001,$U$8*((1/SQRT(1-AK126*AK126))-1),"none")</f>
        <v>none</v>
      </c>
      <c r="Q126" s="17" t="str">
        <f aca="false">IF(ISNUMBER(P126),ABS($Z$15*(1+AC126/AK126)/(1+$V$15*$Z$15*AM126)/AK126)," ")</f>
        <v> </v>
      </c>
      <c r="R126" s="27" t="str">
        <f aca="false">IF(ISNUMBER(P126),IF( AND( ( (P126*(P126+2*$U$8)*AB126*AB126) &gt; ($E$5*($E$5+2*$U$5)) ), ( B126&lt;90 ) ), 180-AN126, AN126)," ")</f>
        <v> </v>
      </c>
      <c r="S126" s="17" t="str">
        <f aca="false">IF(ISNUMBER(P126),$E$5+$O$10-P126," ")</f>
        <v> </v>
      </c>
      <c r="AB126" s="1" t="n">
        <f aca="false">COS(RADIANS(B126))</f>
        <v>-0.104528463267653</v>
      </c>
      <c r="AC126" s="1" t="n">
        <f aca="false">-$V$15*AB126</f>
        <v>0.00698543612374662</v>
      </c>
      <c r="AD126" s="1" t="n">
        <f aca="false">$AA$15+AC126*AC126</f>
        <v>1.00002176581385</v>
      </c>
      <c r="AF126" s="1" t="n">
        <f aca="false">AC126*AC126-AD126*$AE$15</f>
        <v>2.17652255100247E-005</v>
      </c>
      <c r="AG126" s="1" t="n">
        <f aca="false">IF(ISNUMBER(SQRT(AF126)),(-AC126+SQRT(AF126))/AD126,-100)</f>
        <v>-0.00232006403867573</v>
      </c>
      <c r="AH126" s="1" t="n">
        <f aca="false">(AG126*AB126-$V$15)/((1-$V$15*AG126*AB126)*$Z$15)</f>
        <v>-0.999402819767379</v>
      </c>
      <c r="AI126" s="1" t="n">
        <f aca="false">IF(ABS(AH126)&lt;=1,AH126,IF(ABS(AH126)&lt;=1.00001,1*SIGN(AH126),0))</f>
        <v>-0.999402819767379</v>
      </c>
      <c r="AJ126" s="17" t="e">
        <f aca="false">DEGREES(ASIN( SQRT( (F126*(F126+2*$U$8)) / (L126*(L126+2*$U$10)) ) * SIN(RADIANS(B126))  ))</f>
        <v>#VALUE!</v>
      </c>
      <c r="AK126" s="1" t="n">
        <f aca="false">IF(ISNUMBER(SQRT(AF126)),(-AC126-SQRT(AF126))/AD126,-100)</f>
        <v>-0.0116505041280314</v>
      </c>
      <c r="AL126" s="1" t="n">
        <f aca="false">(AK126*AB126-$V$15)/((1-$V$15*AK126*AB126)*$Z$15)</f>
        <v>-0.984828488690199</v>
      </c>
      <c r="AM126" s="1" t="n">
        <f aca="false">IF(ABS(AL126)&lt;=1,AL126,IF(ABS(AL126)&lt;=1.00001,1*SIGN(AL126),0))</f>
        <v>-0.984828488690199</v>
      </c>
      <c r="AN126" s="17" t="str">
        <f aca="false">IF(ISNUMBER(P126),DEGREES(ASIN( SQRT( (P126*(P126+2*$U$8)) / (S126*(S126+2*$U$10)) ) * SIN(RADIANS(B126)) ) ),"ignore")</f>
        <v>ignore</v>
      </c>
    </row>
    <row r="127" customFormat="false" ht="12.75" hidden="false" customHeight="false" outlineLevel="0" collapsed="false">
      <c r="B127" s="1" t="n">
        <v>97</v>
      </c>
      <c r="D127" s="27" t="str">
        <f aca="false">IF(ISNUMBER(F127),IF(ABS(AI127-1)&lt;0.000001,0,IF(ABS(AI127+1)&lt;0.000001,180,ROUND(DEGREES(ACOS(AI127)),3)))," ")</f>
        <v> </v>
      </c>
      <c r="F127" s="17" t="str">
        <f aca="false">IF(AG127&gt;0.0000001,$U$8*((1/SQRT(1-AG127*AG127))-1),"none")</f>
        <v>none</v>
      </c>
      <c r="H127" s="17" t="str">
        <f aca="false">IF(ISNUMBER(F127),$Z$15*(1+AC127/AG127)/(1+$V$15*$Z$15*AI127)/AG127," ")</f>
        <v> </v>
      </c>
      <c r="J127" s="27" t="str">
        <f aca="false">IF(ISNUMBER(F127),IF( AND( ( (F127*(F127+2*$U$8)*AB127*AB127) &gt; ($E$5*($E$5+2*$U$5)) ), ( B127&lt;90 ) ), 180-AJ127, AJ127)," ")</f>
        <v> </v>
      </c>
      <c r="L127" s="17" t="str">
        <f aca="false">IF(ISNUMBER(F127),$E$5+$O$10-F127," ")</f>
        <v> </v>
      </c>
      <c r="N127" s="1" t="str">
        <f aca="false">IF(ISNUMBER(P127),B127," ")</f>
        <v> </v>
      </c>
      <c r="O127" s="27" t="str">
        <f aca="false">IF(ISNUMBER(P127), IF( ABS(AM127-1)&lt;0.000001,0, IF(ABS(AM127+1)&lt;0.000001,180,ROUND(DEGREES(ACOS(AM127)),3)))," ")</f>
        <v> </v>
      </c>
      <c r="P127" s="17" t="str">
        <f aca="false">IF(AK127&gt;0.0000001,$U$8*((1/SQRT(1-AK127*AK127))-1),"none")</f>
        <v>none</v>
      </c>
      <c r="Q127" s="17" t="str">
        <f aca="false">IF(ISNUMBER(P127),ABS($Z$15*(1+AC127/AK127)/(1+$V$15*$Z$15*AM127)/AK127)," ")</f>
        <v> </v>
      </c>
      <c r="R127" s="27" t="str">
        <f aca="false">IF(ISNUMBER(P127),IF( AND( ( (P127*(P127+2*$U$8)*AB127*AB127) &gt; ($E$5*($E$5+2*$U$5)) ), ( B127&lt;90 ) ), 180-AN127, AN127)," ")</f>
        <v> </v>
      </c>
      <c r="S127" s="17" t="str">
        <f aca="false">IF(ISNUMBER(P127),$E$5+$O$10-P127," ")</f>
        <v> </v>
      </c>
      <c r="AB127" s="1" t="n">
        <f aca="false">COS(RADIANS(B127))</f>
        <v>-0.121869343405147</v>
      </c>
      <c r="AC127" s="1" t="n">
        <f aca="false">-$V$15*AB127</f>
        <v>0.00814429378550942</v>
      </c>
      <c r="AD127" s="1" t="n">
        <f aca="false">$AA$15+AC127*AC127</f>
        <v>1.00003929901728</v>
      </c>
      <c r="AF127" s="1" t="n">
        <f aca="false">AC127*AC127-AD127*$AE$15</f>
        <v>3.92979550044427E-005</v>
      </c>
      <c r="AG127" s="1" t="n">
        <f aca="false">IF(ISNUMBER(SQRT(AF127)),(-AC127+SQRT(AF127))/AD127,-100)</f>
        <v>-0.00187541198287849</v>
      </c>
      <c r="AH127" s="1" t="n">
        <f aca="false">(AG127*AB127-$V$15)/((1-$V$15*AG127*AB127)*$Z$15)</f>
        <v>-0.999611379716799</v>
      </c>
      <c r="AI127" s="1" t="n">
        <f aca="false">IF(ABS(AH127)&lt;=1,AH127,IF(ABS(AH127)&lt;=1.00001,1*SIGN(AH127),0))</f>
        <v>-0.999611379716799</v>
      </c>
      <c r="AJ127" s="17" t="e">
        <f aca="false">DEGREES(ASIN( SQRT( (F127*(F127+2*$U$8)) / (L127*(L127+2*$U$10)) ) * SIN(RADIANS(B127))  ))</f>
        <v>#VALUE!</v>
      </c>
      <c r="AK127" s="1" t="n">
        <f aca="false">IF(ISNUMBER(SQRT(AF127)),(-AC127-SQRT(AF127))/AD127,-100)</f>
        <v>-0.0144125354878113</v>
      </c>
      <c r="AL127" s="1" t="n">
        <f aca="false">(AK127*AB127-$V$15)/((1-$V$15*AK127*AB127)*$Z$15)</f>
        <v>-0.976778560319209</v>
      </c>
      <c r="AM127" s="1" t="n">
        <f aca="false">IF(ABS(AL127)&lt;=1,AL127,IF(ABS(AL127)&lt;=1.00001,1*SIGN(AL127),0))</f>
        <v>-0.976778560319209</v>
      </c>
      <c r="AN127" s="17" t="str">
        <f aca="false">IF(ISNUMBER(P127),DEGREES(ASIN( SQRT( (P127*(P127+2*$U$8)) / (S127*(S127+2*$U$10)) ) * SIN(RADIANS(B127)) ) ),"ignore")</f>
        <v>ignore</v>
      </c>
    </row>
    <row r="128" customFormat="false" ht="12.75" hidden="false" customHeight="false" outlineLevel="0" collapsed="false">
      <c r="B128" s="1" t="n">
        <v>98</v>
      </c>
      <c r="D128" s="27" t="str">
        <f aca="false">IF(ISNUMBER(F128),IF(ABS(AI128-1)&lt;0.000001,0,IF(ABS(AI128+1)&lt;0.000001,180,ROUND(DEGREES(ACOS(AI128)),3)))," ")</f>
        <v> </v>
      </c>
      <c r="F128" s="17" t="str">
        <f aca="false">IF(AG128&gt;0.0000001,$U$8*((1/SQRT(1-AG128*AG128))-1),"none")</f>
        <v>none</v>
      </c>
      <c r="H128" s="17" t="str">
        <f aca="false">IF(ISNUMBER(F128),$Z$15*(1+AC128/AG128)/(1+$V$15*$Z$15*AI128)/AG128," ")</f>
        <v> </v>
      </c>
      <c r="J128" s="27" t="str">
        <f aca="false">IF(ISNUMBER(F128),IF( AND( ( (F128*(F128+2*$U$8)*AB128*AB128) &gt; ($E$5*($E$5+2*$U$5)) ), ( B128&lt;90 ) ), 180-AJ128, AJ128)," ")</f>
        <v> </v>
      </c>
      <c r="L128" s="17" t="str">
        <f aca="false">IF(ISNUMBER(F128),$E$5+$O$10-F128," ")</f>
        <v> </v>
      </c>
      <c r="N128" s="1" t="str">
        <f aca="false">IF(ISNUMBER(P128),B128," ")</f>
        <v> </v>
      </c>
      <c r="O128" s="27" t="str">
        <f aca="false">IF(ISNUMBER(P128), IF( ABS(AM128-1)&lt;0.000001,0, IF(ABS(AM128+1)&lt;0.000001,180,ROUND(DEGREES(ACOS(AM128)),3)))," ")</f>
        <v> </v>
      </c>
      <c r="P128" s="17" t="str">
        <f aca="false">IF(AK128&gt;0.0000001,$U$8*((1/SQRT(1-AK128*AK128))-1),"none")</f>
        <v>none</v>
      </c>
      <c r="Q128" s="17" t="str">
        <f aca="false">IF(ISNUMBER(P128),ABS($Z$15*(1+AC128/AK128)/(1+$V$15*$Z$15*AM128)/AK128)," ")</f>
        <v> </v>
      </c>
      <c r="R128" s="27" t="str">
        <f aca="false">IF(ISNUMBER(P128),IF( AND( ( (P128*(P128+2*$U$8)*AB128*AB128) &gt; ($E$5*($E$5+2*$U$5)) ), ( B128&lt;90 ) ), 180-AN128, AN128)," ")</f>
        <v> </v>
      </c>
      <c r="S128" s="17" t="str">
        <f aca="false">IF(ISNUMBER(P128),$E$5+$O$10-P128," ")</f>
        <v> </v>
      </c>
      <c r="AB128" s="1" t="n">
        <f aca="false">COS(RADIANS(B128))</f>
        <v>-0.139173100960065</v>
      </c>
      <c r="AC128" s="1" t="n">
        <f aca="false">-$V$15*AB128</f>
        <v>0.00930067061648961</v>
      </c>
      <c r="AD128" s="1" t="n">
        <f aca="false">$AA$15+AC128*AC128</f>
        <v>1.00005947196993</v>
      </c>
      <c r="AF128" s="1" t="n">
        <f aca="false">AC128*AC128-AD128*$AE$15</f>
        <v>5.94703623711115E-005</v>
      </c>
      <c r="AG128" s="1" t="n">
        <f aca="false">IF(ISNUMBER(SQRT(AF128)),(-AC128+SQRT(AF128))/AD128,-100)</f>
        <v>-0.00158887317423431</v>
      </c>
      <c r="AH128" s="1" t="n">
        <f aca="false">(AG128*AB128-$V$15)/((1-$V$15*AG128*AB128)*$Z$15)</f>
        <v>-0.999722354809873</v>
      </c>
      <c r="AI128" s="1" t="n">
        <f aca="false">IF(ABS(AH128)&lt;=1,AH128,IF(ABS(AH128)&lt;=1.00001,1*SIGN(AH128),0))</f>
        <v>-0.999722354809873</v>
      </c>
      <c r="AJ128" s="17" t="e">
        <f aca="false">DEGREES(ASIN( SQRT( (F128*(F128+2*$U$8)) / (L128*(L128+2*$U$10)) ) * SIN(RADIANS(B128))  ))</f>
        <v>#VALUE!</v>
      </c>
      <c r="AK128" s="1" t="n">
        <f aca="false">IF(ISNUMBER(SQRT(AF128)),(-AC128-SQRT(AF128))/AD128,-100)</f>
        <v>-0.0170113618661259</v>
      </c>
      <c r="AL128" s="1" t="n">
        <f aca="false">(AK128*AB128-$V$15)/((1-$V$15*AK128*AB128)*$Z$15)</f>
        <v>-0.967645302471422</v>
      </c>
      <c r="AM128" s="1" t="n">
        <f aca="false">IF(ABS(AL128)&lt;=1,AL128,IF(ABS(AL128)&lt;=1.00001,1*SIGN(AL128),0))</f>
        <v>-0.967645302471422</v>
      </c>
      <c r="AN128" s="17" t="str">
        <f aca="false">IF(ISNUMBER(P128),DEGREES(ASIN( SQRT( (P128*(P128+2*$U$8)) / (S128*(S128+2*$U$10)) ) * SIN(RADIANS(B128)) ) ),"ignore")</f>
        <v>ignore</v>
      </c>
    </row>
    <row r="129" customFormat="false" ht="12.75" hidden="false" customHeight="false" outlineLevel="0" collapsed="false">
      <c r="B129" s="1" t="n">
        <v>99</v>
      </c>
      <c r="D129" s="27" t="str">
        <f aca="false">IF(ISNUMBER(F129),IF(ABS(AI129-1)&lt;0.000001,0,IF(ABS(AI129+1)&lt;0.000001,180,ROUND(DEGREES(ACOS(AI129)),3)))," ")</f>
        <v> </v>
      </c>
      <c r="F129" s="17" t="str">
        <f aca="false">IF(AG129&gt;0.0000001,$U$8*((1/SQRT(1-AG129*AG129))-1),"none")</f>
        <v>none</v>
      </c>
      <c r="H129" s="17" t="str">
        <f aca="false">IF(ISNUMBER(F129),$Z$15*(1+AC129/AG129)/(1+$V$15*$Z$15*AI129)/AG129," ")</f>
        <v> </v>
      </c>
      <c r="J129" s="27" t="str">
        <f aca="false">IF(ISNUMBER(F129),IF( AND( ( (F129*(F129+2*$U$8)*AB129*AB129) &gt; ($E$5*($E$5+2*$U$5)) ), ( B129&lt;90 ) ), 180-AJ129, AJ129)," ")</f>
        <v> </v>
      </c>
      <c r="L129" s="17" t="str">
        <f aca="false">IF(ISNUMBER(F129),$E$5+$O$10-F129," ")</f>
        <v> </v>
      </c>
      <c r="N129" s="1" t="str">
        <f aca="false">IF(ISNUMBER(P129),B129," ")</f>
        <v> </v>
      </c>
      <c r="O129" s="27" t="str">
        <f aca="false">IF(ISNUMBER(P129), IF( ABS(AM129-1)&lt;0.000001,0, IF(ABS(AM129+1)&lt;0.000001,180,ROUND(DEGREES(ACOS(AM129)),3)))," ")</f>
        <v> </v>
      </c>
      <c r="P129" s="17" t="str">
        <f aca="false">IF(AK129&gt;0.0000001,$U$8*((1/SQRT(1-AK129*AK129))-1),"none")</f>
        <v>none</v>
      </c>
      <c r="Q129" s="17" t="str">
        <f aca="false">IF(ISNUMBER(P129),ABS($Z$15*(1+AC129/AK129)/(1+$V$15*$Z$15*AM129)/AK129)," ")</f>
        <v> </v>
      </c>
      <c r="R129" s="27" t="str">
        <f aca="false">IF(ISNUMBER(P129),IF( AND( ( (P129*(P129+2*$U$8)*AB129*AB129) &gt; ($E$5*($E$5+2*$U$5)) ), ( B129&lt;90 ) ), 180-AN129, AN129)," ")</f>
        <v> </v>
      </c>
      <c r="S129" s="17" t="str">
        <f aca="false">IF(ISNUMBER(P129),$E$5+$O$10-P129," ")</f>
        <v> </v>
      </c>
      <c r="AB129" s="1" t="n">
        <f aca="false">COS(RADIANS(B129))</f>
        <v>-0.156434465040231</v>
      </c>
      <c r="AC129" s="1" t="n">
        <f aca="false">-$V$15*AB129</f>
        <v>0.0104542143731024</v>
      </c>
      <c r="AD129" s="1" t="n">
        <f aca="false">$AA$15+AC129*AC129</f>
        <v>1.00008226009417</v>
      </c>
      <c r="AF129" s="1" t="n">
        <f aca="false">AC129*AC129-AD129*$AE$15</f>
        <v>8.22578706389766E-005</v>
      </c>
      <c r="AG129" s="1" t="n">
        <f aca="false">IF(ISNUMBER(SQRT(AF129)),(-AC129+SQRT(AF129))/AD129,-100)</f>
        <v>-0.00138448799938784</v>
      </c>
      <c r="AH129" s="1" t="n">
        <f aca="false">(AG129*AB129-$V$15)/((1-$V$15*AG129*AB129)*$Z$15)</f>
        <v>-0.999790294720259</v>
      </c>
      <c r="AI129" s="1" t="n">
        <f aca="false">IF(ABS(AH129)&lt;=1,AH129,IF(ABS(AH129)&lt;=1.00001,1*SIGN(AH129),0))</f>
        <v>-0.999790294720259</v>
      </c>
      <c r="AJ129" s="17" t="e">
        <f aca="false">DEGREES(ASIN( SQRT( (F129*(F129+2*$U$8)) / (L129*(L129+2*$U$10)) ) * SIN(RADIANS(B129))  ))</f>
        <v>#VALUE!</v>
      </c>
      <c r="AK129" s="1" t="n">
        <f aca="false">IF(ISNUMBER(SQRT(AF129)),(-AC129-SQRT(AF129))/AD129,-100)</f>
        <v>-0.0195222209589693</v>
      </c>
      <c r="AL129" s="1" t="n">
        <f aca="false">(AK129*AB129-$V$15)/((1-$V$15*AK129*AB129)*$Z$15)</f>
        <v>-0.957385015525127</v>
      </c>
      <c r="AM129" s="1" t="n">
        <f aca="false">IF(ABS(AL129)&lt;=1,AL129,IF(ABS(AL129)&lt;=1.00001,1*SIGN(AL129),0))</f>
        <v>-0.957385015525127</v>
      </c>
      <c r="AN129" s="17" t="str">
        <f aca="false">IF(ISNUMBER(P129),DEGREES(ASIN( SQRT( (P129*(P129+2*$U$8)) / (S129*(S129+2*$U$10)) ) * SIN(RADIANS(B129)) ) ),"ignore")</f>
        <v>ignore</v>
      </c>
    </row>
    <row r="130" customFormat="false" ht="12.75" hidden="false" customHeight="false" outlineLevel="0" collapsed="false">
      <c r="B130" s="1" t="n">
        <v>100</v>
      </c>
      <c r="D130" s="27" t="str">
        <f aca="false">IF(ISNUMBER(F130),IF(ABS(AI130-1)&lt;0.000001,0,IF(ABS(AI130+1)&lt;0.000001,180,ROUND(DEGREES(ACOS(AI130)),3)))," ")</f>
        <v> </v>
      </c>
      <c r="F130" s="17" t="str">
        <f aca="false">IF(AG130&gt;0.0000001,$U$8*((1/SQRT(1-AG130*AG130))-1),"none")</f>
        <v>none</v>
      </c>
      <c r="H130" s="17" t="str">
        <f aca="false">IF(ISNUMBER(F130),$Z$15*(1+AC130/AG130)/(1+$V$15*$Z$15*AI130)/AG130," ")</f>
        <v> </v>
      </c>
      <c r="J130" s="27" t="str">
        <f aca="false">IF(ISNUMBER(F130),IF( AND( ( (F130*(F130+2*$U$8)*AB130*AB130) &gt; ($E$5*($E$5+2*$U$5)) ), ( B130&lt;90 ) ), 180-AJ130, AJ130)," ")</f>
        <v> </v>
      </c>
      <c r="L130" s="17" t="str">
        <f aca="false">IF(ISNUMBER(F130),$E$5+$O$10-F130," ")</f>
        <v> </v>
      </c>
      <c r="N130" s="1" t="str">
        <f aca="false">IF(ISNUMBER(P130),B130," ")</f>
        <v> </v>
      </c>
      <c r="O130" s="27" t="str">
        <f aca="false">IF(ISNUMBER(P130), IF( ABS(AM130-1)&lt;0.000001,0, IF(ABS(AM130+1)&lt;0.000001,180,ROUND(DEGREES(ACOS(AM130)),3)))," ")</f>
        <v> </v>
      </c>
      <c r="P130" s="17" t="str">
        <f aca="false">IF(AK130&gt;0.0000001,$U$8*((1/SQRT(1-AK130*AK130))-1),"none")</f>
        <v>none</v>
      </c>
      <c r="Q130" s="17" t="str">
        <f aca="false">IF(ISNUMBER(P130),ABS($Z$15*(1+AC130/AK130)/(1+$V$15*$Z$15*AM130)/AK130)," ")</f>
        <v> </v>
      </c>
      <c r="R130" s="27" t="str">
        <f aca="false">IF(ISNUMBER(P130),IF( AND( ( (P130*(P130+2*$U$8)*AB130*AB130) &gt; ($E$5*($E$5+2*$U$5)) ), ( B130&lt;90 ) ), 180-AN130, AN130)," ")</f>
        <v> </v>
      </c>
      <c r="S130" s="17" t="str">
        <f aca="false">IF(ISNUMBER(P130),$E$5+$O$10-P130," ")</f>
        <v> </v>
      </c>
      <c r="AB130" s="1" t="n">
        <f aca="false">COS(RADIANS(B130))</f>
        <v>-0.17364817766693</v>
      </c>
      <c r="AC130" s="1" t="n">
        <f aca="false">-$V$15*AB130</f>
        <v>0.0116045736747449</v>
      </c>
      <c r="AD130" s="1" t="n">
        <f aca="false">$AA$15+AC130*AC130</f>
        <v>1.00010763562618</v>
      </c>
      <c r="AF130" s="1" t="n">
        <f aca="false">AC130*AC130-AD130*$AE$15</f>
        <v>0.000107632716739358</v>
      </c>
      <c r="AG130" s="1" t="n">
        <f aca="false">IF(ISNUMBER(SQRT(AF130)),(-AC130+SQRT(AF130))/AD130,-100)</f>
        <v>-0.00122982243003275</v>
      </c>
      <c r="AH130" s="1" t="n">
        <f aca="false">(AG130*AB130-$V$15)/((1-$V$15*AG130*AB130)*$Z$15)</f>
        <v>-0.999835498878149</v>
      </c>
      <c r="AI130" s="1" t="n">
        <f aca="false">IF(ABS(AH130)&lt;=1,AH130,IF(ABS(AH130)&lt;=1.00001,1*SIGN(AH130),0))</f>
        <v>-0.999835498878149</v>
      </c>
      <c r="AJ130" s="17" t="e">
        <f aca="false">DEGREES(ASIN( SQRT( (F130*(F130+2*$U$8)) / (L130*(L130+2*$U$10)) ) * SIN(RADIANS(B130))  ))</f>
        <v>#VALUE!</v>
      </c>
      <c r="AK130" s="1" t="n">
        <f aca="false">IF(ISNUMBER(SQRT(AF130)),(-AC130-SQRT(AF130))/AD130,-100)</f>
        <v>-0.0219768270572078</v>
      </c>
      <c r="AL130" s="1" t="n">
        <f aca="false">(AK130*AB130-$V$15)/((1-$V$15*AK130*AB130)*$Z$15)</f>
        <v>-0.945989658792197</v>
      </c>
      <c r="AM130" s="1" t="n">
        <f aca="false">IF(ABS(AL130)&lt;=1,AL130,IF(ABS(AL130)&lt;=1.00001,1*SIGN(AL130),0))</f>
        <v>-0.945989658792197</v>
      </c>
      <c r="AN130" s="17" t="str">
        <f aca="false">IF(ISNUMBER(P130),DEGREES(ASIN( SQRT( (P130*(P130+2*$U$8)) / (S130*(S130+2*$U$10)) ) * SIN(RADIANS(B130)) ) ),"ignore")</f>
        <v>ignore</v>
      </c>
    </row>
    <row r="131" customFormat="false" ht="12.75" hidden="false" customHeight="false" outlineLevel="0" collapsed="false">
      <c r="B131" s="1" t="n">
        <v>101</v>
      </c>
      <c r="D131" s="27" t="str">
        <f aca="false">IF(ISNUMBER(F131),IF(ABS(AI131-1)&lt;0.000001,0,IF(ABS(AI131+1)&lt;0.000001,180,ROUND(DEGREES(ACOS(AI131)),3)))," ")</f>
        <v> </v>
      </c>
      <c r="F131" s="17" t="str">
        <f aca="false">IF(AG131&gt;0.0000001,$U$8*((1/SQRT(1-AG131*AG131))-1),"none")</f>
        <v>none</v>
      </c>
      <c r="H131" s="17" t="str">
        <f aca="false">IF(ISNUMBER(F131),$Z$15*(1+AC131/AG131)/(1+$V$15*$Z$15*AI131)/AG131," ")</f>
        <v> </v>
      </c>
      <c r="J131" s="27" t="str">
        <f aca="false">IF(ISNUMBER(F131),IF( AND( ( (F131*(F131+2*$U$8)*AB131*AB131) &gt; ($E$5*($E$5+2*$U$5)) ), ( B131&lt;90 ) ), 180-AJ131, AJ131)," ")</f>
        <v> </v>
      </c>
      <c r="L131" s="17" t="str">
        <f aca="false">IF(ISNUMBER(F131),$E$5+$O$10-F131," ")</f>
        <v> </v>
      </c>
      <c r="N131" s="1" t="str">
        <f aca="false">IF(ISNUMBER(P131),B131," ")</f>
        <v> </v>
      </c>
      <c r="O131" s="27" t="str">
        <f aca="false">IF(ISNUMBER(P131), IF( ABS(AM131-1)&lt;0.000001,0, IF(ABS(AM131+1)&lt;0.000001,180,ROUND(DEGREES(ACOS(AM131)),3)))," ")</f>
        <v> </v>
      </c>
      <c r="P131" s="17" t="str">
        <f aca="false">IF(AK131&gt;0.0000001,$U$8*((1/SQRT(1-AK131*AK131))-1),"none")</f>
        <v>none</v>
      </c>
      <c r="Q131" s="17" t="str">
        <f aca="false">IF(ISNUMBER(P131),ABS($Z$15*(1+AC131/AK131)/(1+$V$15*$Z$15*AM131)/AK131)," ")</f>
        <v> </v>
      </c>
      <c r="R131" s="27" t="str">
        <f aca="false">IF(ISNUMBER(P131),IF( AND( ( (P131*(P131+2*$U$8)*AB131*AB131) &gt; ($E$5*($E$5+2*$U$5)) ), ( B131&lt;90 ) ), 180-AN131, AN131)," ")</f>
        <v> </v>
      </c>
      <c r="S131" s="17" t="str">
        <f aca="false">IF(ISNUMBER(P131),$E$5+$O$10-P131," ")</f>
        <v> </v>
      </c>
      <c r="AB131" s="1" t="n">
        <f aca="false">COS(RADIANS(B131))</f>
        <v>-0.190808995376545</v>
      </c>
      <c r="AC131" s="1" t="n">
        <f aca="false">-$V$15*AB131</f>
        <v>0.0127513981108301</v>
      </c>
      <c r="AD131" s="1" t="n">
        <f aca="false">$AA$15+AC131*AC131</f>
        <v>1.00013556764979</v>
      </c>
      <c r="AF131" s="1" t="n">
        <f aca="false">AC131*AC131-AD131*$AE$15</f>
        <v>0.000135563985330981</v>
      </c>
      <c r="AG131" s="1" t="n">
        <f aca="false">IF(ISNUMBER(SQRT(AF131)),(-AC131+SQRT(AF131))/AD131,-100)</f>
        <v>-0.00110805308693735</v>
      </c>
      <c r="AH131" s="1" t="n">
        <f aca="false">(AG131*AB131-$V$15)/((1-$V$15*AG131*AB131)*$Z$15)</f>
        <v>-0.999867325218639</v>
      </c>
      <c r="AI131" s="1" t="n">
        <f aca="false">IF(ABS(AH131)&lt;=1,AH131,IF(ABS(AH131)&lt;=1.00001,1*SIGN(AH131),0))</f>
        <v>-0.999867325218639</v>
      </c>
      <c r="AJ131" s="17" t="e">
        <f aca="false">DEGREES(ASIN( SQRT( (F131*(F131+2*$U$8)) / (L131*(L131+2*$U$10)) ) * SIN(RADIANS(B131))  ))</f>
        <v>#VALUE!</v>
      </c>
      <c r="AK131" s="1" t="n">
        <f aca="false">IF(ISNUMBER(SQRT(AF131)),(-AC131-SQRT(AF131))/AD131,-100)</f>
        <v>-0.0243912862492177</v>
      </c>
      <c r="AL131" s="1" t="n">
        <f aca="false">(AK131*AB131-$V$15)/((1-$V$15*AK131*AB131)*$Z$15)</f>
        <v>-0.933463527603255</v>
      </c>
      <c r="AM131" s="1" t="n">
        <f aca="false">IF(ABS(AL131)&lt;=1,AL131,IF(ABS(AL131)&lt;=1.00001,1*SIGN(AL131),0))</f>
        <v>-0.933463527603255</v>
      </c>
      <c r="AN131" s="17" t="str">
        <f aca="false">IF(ISNUMBER(P131),DEGREES(ASIN( SQRT( (P131*(P131+2*$U$8)) / (S131*(S131+2*$U$10)) ) * SIN(RADIANS(B131)) ) ),"ignore")</f>
        <v>ignore</v>
      </c>
    </row>
    <row r="132" customFormat="false" ht="12.75" hidden="false" customHeight="false" outlineLevel="0" collapsed="false">
      <c r="B132" s="1" t="n">
        <v>102</v>
      </c>
      <c r="D132" s="27" t="str">
        <f aca="false">IF(ISNUMBER(F132),IF(ABS(AI132-1)&lt;0.000001,0,IF(ABS(AI132+1)&lt;0.000001,180,ROUND(DEGREES(ACOS(AI132)),3)))," ")</f>
        <v> </v>
      </c>
      <c r="F132" s="17" t="str">
        <f aca="false">IF(AG132&gt;0.0000001,$U$8*((1/SQRT(1-AG132*AG132))-1),"none")</f>
        <v>none</v>
      </c>
      <c r="H132" s="17" t="str">
        <f aca="false">IF(ISNUMBER(F132),$Z$15*(1+AC132/AG132)/(1+$V$15*$Z$15*AI132)/AG132," ")</f>
        <v> </v>
      </c>
      <c r="J132" s="27" t="str">
        <f aca="false">IF(ISNUMBER(F132),IF( AND( ( (F132*(F132+2*$U$8)*AB132*AB132) &gt; ($E$5*($E$5+2*$U$5)) ), ( B132&lt;90 ) ), 180-AJ132, AJ132)," ")</f>
        <v> </v>
      </c>
      <c r="L132" s="17" t="str">
        <f aca="false">IF(ISNUMBER(F132),$E$5+$O$10-F132," ")</f>
        <v> </v>
      </c>
      <c r="N132" s="1" t="str">
        <f aca="false">IF(ISNUMBER(P132),B132," ")</f>
        <v> </v>
      </c>
      <c r="O132" s="27" t="str">
        <f aca="false">IF(ISNUMBER(P132), IF( ABS(AM132-1)&lt;0.000001,0, IF(ABS(AM132+1)&lt;0.000001,180,ROUND(DEGREES(ACOS(AM132)),3)))," ")</f>
        <v> </v>
      </c>
      <c r="P132" s="17" t="str">
        <f aca="false">IF(AK132&gt;0.0000001,$U$8*((1/SQRT(1-AK132*AK132))-1),"none")</f>
        <v>none</v>
      </c>
      <c r="Q132" s="17" t="str">
        <f aca="false">IF(ISNUMBER(P132),ABS($Z$15*(1+AC132/AK132)/(1+$V$15*$Z$15*AM132)/AK132)," ")</f>
        <v> </v>
      </c>
      <c r="R132" s="27" t="str">
        <f aca="false">IF(ISNUMBER(P132),IF( AND( ( (P132*(P132+2*$U$8)*AB132*AB132) &gt; ($E$5*($E$5+2*$U$5)) ), ( B132&lt;90 ) ), 180-AN132, AN132)," ")</f>
        <v> </v>
      </c>
      <c r="S132" s="17" t="str">
        <f aca="false">IF(ISNUMBER(P132),$E$5+$O$10-P132," ")</f>
        <v> </v>
      </c>
      <c r="AB132" s="1" t="n">
        <f aca="false">COS(RADIANS(B132))</f>
        <v>-0.207911690817759</v>
      </c>
      <c r="AC132" s="1" t="n">
        <f aca="false">-$V$15*AB132</f>
        <v>0.013894338347525</v>
      </c>
      <c r="AD132" s="1" t="n">
        <f aca="false">$AA$15+AC132*AC132</f>
        <v>1.00016602213413</v>
      </c>
      <c r="AF132" s="1" t="n">
        <f aca="false">AC132*AC132-AD132*$AE$15</f>
        <v>0.000166017646465545</v>
      </c>
      <c r="AG132" s="1" t="n">
        <f aca="false">IF(ISNUMBER(SQRT(AF132)),(-AC132+SQRT(AF132))/AD132,-100)</f>
        <v>-0.00100938724269894</v>
      </c>
      <c r="AH132" s="1" t="n">
        <f aca="false">(AG132*AB132-$V$15)/((1-$V$15*AG132*AB132)*$Z$15)</f>
        <v>-0.999890681581552</v>
      </c>
      <c r="AI132" s="1" t="n">
        <f aca="false">IF(ABS(AH132)&lt;=1,AH132,IF(ABS(AH132)&lt;=1.00001,1*SIGN(AH132),0))</f>
        <v>-0.999890681581552</v>
      </c>
      <c r="AJ132" s="17" t="e">
        <f aca="false">DEGREES(ASIN( SQRT( (F132*(F132+2*$U$8)) / (L132*(L132+2*$U$10)) ) * SIN(RADIANS(B132))  ))</f>
        <v>#VALUE!</v>
      </c>
      <c r="AK132" s="1" t="n">
        <f aca="false">IF(ISNUMBER(SQRT(AF132)),(-AC132-SQRT(AF132))/AD132,-100)</f>
        <v>-0.0267746766827635</v>
      </c>
      <c r="AL132" s="1" t="n">
        <f aca="false">(AK132*AB132-$V$15)/((1-$V$15*AK132*AB132)*$Z$15)</f>
        <v>-0.919816746120273</v>
      </c>
      <c r="AM132" s="1" t="n">
        <f aca="false">IF(ABS(AL132)&lt;=1,AL132,IF(ABS(AL132)&lt;=1.00001,1*SIGN(AL132),0))</f>
        <v>-0.919816746120273</v>
      </c>
      <c r="AN132" s="17" t="str">
        <f aca="false">IF(ISNUMBER(P132),DEGREES(ASIN( SQRT( (P132*(P132+2*$U$8)) / (S132*(S132+2*$U$10)) ) * SIN(RADIANS(B132)) ) ),"ignore")</f>
        <v>ignore</v>
      </c>
    </row>
    <row r="133" customFormat="false" ht="12.75" hidden="false" customHeight="false" outlineLevel="0" collapsed="false">
      <c r="B133" s="1" t="n">
        <v>103</v>
      </c>
      <c r="D133" s="27" t="str">
        <f aca="false">IF(ISNUMBER(F133),IF(ABS(AI133-1)&lt;0.000001,0,IF(ABS(AI133+1)&lt;0.000001,180,ROUND(DEGREES(ACOS(AI133)),3)))," ")</f>
        <v> </v>
      </c>
      <c r="F133" s="17" t="str">
        <f aca="false">IF(AG133&gt;0.0000001,$U$8*((1/SQRT(1-AG133*AG133))-1),"none")</f>
        <v>none</v>
      </c>
      <c r="H133" s="17" t="str">
        <f aca="false">IF(ISNUMBER(F133),$Z$15*(1+AC133/AG133)/(1+$V$15*$Z$15*AI133)/AG133," ")</f>
        <v> </v>
      </c>
      <c r="J133" s="27" t="str">
        <f aca="false">IF(ISNUMBER(F133),IF( AND( ( (F133*(F133+2*$U$8)*AB133*AB133) &gt; ($E$5*($E$5+2*$U$5)) ), ( B133&lt;90 ) ), 180-AJ133, AJ133)," ")</f>
        <v> </v>
      </c>
      <c r="L133" s="17" t="str">
        <f aca="false">IF(ISNUMBER(F133),$E$5+$O$10-F133," ")</f>
        <v> </v>
      </c>
      <c r="N133" s="1" t="str">
        <f aca="false">IF(ISNUMBER(P133),B133," ")</f>
        <v> </v>
      </c>
      <c r="O133" s="27" t="str">
        <f aca="false">IF(ISNUMBER(P133), IF( ABS(AM133-1)&lt;0.000001,0, IF(ABS(AM133+1)&lt;0.000001,180,ROUND(DEGREES(ACOS(AM133)),3)))," ")</f>
        <v> </v>
      </c>
      <c r="P133" s="17" t="str">
        <f aca="false">IF(AK133&gt;0.0000001,$U$8*((1/SQRT(1-AK133*AK133))-1),"none")</f>
        <v>none</v>
      </c>
      <c r="Q133" s="17" t="str">
        <f aca="false">IF(ISNUMBER(P133),ABS($Z$15*(1+AC133/AK133)/(1+$V$15*$Z$15*AM133)/AK133)," ")</f>
        <v> </v>
      </c>
      <c r="R133" s="27" t="str">
        <f aca="false">IF(ISNUMBER(P133),IF( AND( ( (P133*(P133+2*$U$8)*AB133*AB133) &gt; ($E$5*($E$5+2*$U$5)) ), ( B133&lt;90 ) ), 180-AN133, AN133)," ")</f>
        <v> </v>
      </c>
      <c r="S133" s="17" t="str">
        <f aca="false">IF(ISNUMBER(P133),$E$5+$O$10-P133," ")</f>
        <v> </v>
      </c>
      <c r="AB133" s="1" t="n">
        <f aca="false">COS(RADIANS(B133))</f>
        <v>-0.224951054343865</v>
      </c>
      <c r="AC133" s="1" t="n">
        <f aca="false">-$V$15*AB133</f>
        <v>0.0150330462341619</v>
      </c>
      <c r="AD133" s="1" t="n">
        <f aca="false">$AA$15+AC133*AC133</f>
        <v>1.00019896197509</v>
      </c>
      <c r="AF133" s="1" t="n">
        <f aca="false">AC133*AC133-AD133*$AE$15</f>
        <v>0.000198956597047988</v>
      </c>
      <c r="AG133" s="1" t="n">
        <f aca="false">IF(ISNUMBER(SQRT(AF133)),(-AC133+SQRT(AF133))/AD133,-100)</f>
        <v>-0.000927664145342821</v>
      </c>
      <c r="AH133" s="1" t="n">
        <f aca="false">(AG133*AB133-$V$15)/((1-$V$15*AG133*AB133)*$Z$15)</f>
        <v>-0.999908379127104</v>
      </c>
      <c r="AI133" s="1" t="n">
        <f aca="false">IF(ABS(AH133)&lt;=1,AH133,IF(ABS(AH133)&lt;=1.00001,1*SIGN(AH133),0))</f>
        <v>-0.999908379127104</v>
      </c>
      <c r="AJ133" s="17" t="e">
        <f aca="false">DEGREES(ASIN( SQRT( (F133*(F133+2*$U$8)) / (L133*(L133+2*$U$10)) ) * SIN(RADIANS(B133))  ))</f>
        <v>#VALUE!</v>
      </c>
      <c r="AK133" s="1" t="n">
        <f aca="false">IF(ISNUMBER(SQRT(AF133)),(-AC133-SQRT(AF133))/AD133,-100)</f>
        <v>-0.0291324475037959</v>
      </c>
      <c r="AL133" s="1" t="n">
        <f aca="false">(AK133*AB133-$V$15)/((1-$V$15*AK133*AB133)*$Z$15)</f>
        <v>-0.905062896527365</v>
      </c>
      <c r="AM133" s="1" t="n">
        <f aca="false">IF(ABS(AL133)&lt;=1,AL133,IF(ABS(AL133)&lt;=1.00001,1*SIGN(AL133),0))</f>
        <v>-0.905062896527365</v>
      </c>
      <c r="AN133" s="17" t="str">
        <f aca="false">IF(ISNUMBER(P133),DEGREES(ASIN( SQRT( (P133*(P133+2*$U$8)) / (S133*(S133+2*$U$10)) ) * SIN(RADIANS(B133)) ) ),"ignore")</f>
        <v>ignore</v>
      </c>
    </row>
    <row r="134" customFormat="false" ht="12.75" hidden="false" customHeight="false" outlineLevel="0" collapsed="false">
      <c r="B134" s="1" t="n">
        <v>104</v>
      </c>
      <c r="D134" s="27" t="str">
        <f aca="false">IF(ISNUMBER(F134),IF(ABS(AI134-1)&lt;0.000001,0,IF(ABS(AI134+1)&lt;0.000001,180,ROUND(DEGREES(ACOS(AI134)),3)))," ")</f>
        <v> </v>
      </c>
      <c r="F134" s="17" t="str">
        <f aca="false">IF(AG134&gt;0.0000001,$U$8*((1/SQRT(1-AG134*AG134))-1),"none")</f>
        <v>none</v>
      </c>
      <c r="H134" s="17" t="str">
        <f aca="false">IF(ISNUMBER(F134),$Z$15*(1+AC134/AG134)/(1+$V$15*$Z$15*AI134)/AG134," ")</f>
        <v> </v>
      </c>
      <c r="J134" s="27" t="str">
        <f aca="false">IF(ISNUMBER(F134),IF( AND( ( (F134*(F134+2*$U$8)*AB134*AB134) &gt; ($E$5*($E$5+2*$U$5)) ), ( B134&lt;90 ) ), 180-AJ134, AJ134)," ")</f>
        <v> </v>
      </c>
      <c r="L134" s="17" t="str">
        <f aca="false">IF(ISNUMBER(F134),$E$5+$O$10-F134," ")</f>
        <v> </v>
      </c>
      <c r="N134" s="1" t="str">
        <f aca="false">IF(ISNUMBER(P134),B134," ")</f>
        <v> </v>
      </c>
      <c r="O134" s="27" t="str">
        <f aca="false">IF(ISNUMBER(P134), IF( ABS(AM134-1)&lt;0.000001,0, IF(ABS(AM134+1)&lt;0.000001,180,ROUND(DEGREES(ACOS(AM134)),3)))," ")</f>
        <v> </v>
      </c>
      <c r="P134" s="17" t="str">
        <f aca="false">IF(AK134&gt;0.0000001,$U$8*((1/SQRT(1-AK134*AK134))-1),"none")</f>
        <v>none</v>
      </c>
      <c r="Q134" s="17" t="str">
        <f aca="false">IF(ISNUMBER(P134),ABS($Z$15*(1+AC134/AK134)/(1+$V$15*$Z$15*AM134)/AK134)," ")</f>
        <v> </v>
      </c>
      <c r="R134" s="27" t="str">
        <f aca="false">IF(ISNUMBER(P134),IF( AND( ( (P134*(P134+2*$U$8)*AB134*AB134) &gt; ($E$5*($E$5+2*$U$5)) ), ( B134&lt;90 ) ), 180-AN134, AN134)," ")</f>
        <v> </v>
      </c>
      <c r="S134" s="17" t="str">
        <f aca="false">IF(ISNUMBER(P134),$E$5+$O$10-P134," ")</f>
        <v> </v>
      </c>
      <c r="AB134" s="1" t="n">
        <f aca="false">COS(RADIANS(B134))</f>
        <v>-0.241921895599668</v>
      </c>
      <c r="AC134" s="1" t="n">
        <f aca="false">-$V$15*AB134</f>
        <v>0.0161671749092875</v>
      </c>
      <c r="AD134" s="1" t="n">
        <f aca="false">$AA$15+AC134*AC134</f>
        <v>1.00023434704056</v>
      </c>
      <c r="AF134" s="1" t="n">
        <f aca="false">AC134*AC134-AD134*$AE$15</f>
        <v>0.00023434070604088</v>
      </c>
      <c r="AG134" s="1" t="n">
        <f aca="false">IF(ISNUMBER(SQRT(AF134)),(-AC134+SQRT(AF134))/AD134,-100)</f>
        <v>-0.000858782840664347</v>
      </c>
      <c r="AH134" s="1" t="n">
        <f aca="false">(AG134*AB134-$V$15)/((1-$V$15*AG134*AB134)*$Z$15)</f>
        <v>-0.999922135960694</v>
      </c>
      <c r="AI134" s="1" t="n">
        <f aca="false">IF(ABS(AH134)&lt;=1,AH134,IF(ABS(AH134)&lt;=1.00001,1*SIGN(AH134),0))</f>
        <v>-0.999922135960694</v>
      </c>
      <c r="AJ134" s="17" t="e">
        <f aca="false">DEGREES(ASIN( SQRT( (F134*(F134+2*$U$8)) / (L134*(L134+2*$U$10)) ) * SIN(RADIANS(B134))  ))</f>
        <v>#VALUE!</v>
      </c>
      <c r="AK134" s="1" t="n">
        <f aca="false">IF(ISNUMBER(SQRT(AF134)),(-AC134-SQRT(AF134))/AD134,-100)</f>
        <v>-0.0314679912940614</v>
      </c>
      <c r="AL134" s="1" t="n">
        <f aca="false">(AK134*AB134-$V$15)/((1-$V$15*AK134*AB134)*$Z$15)</f>
        <v>-0.889217996423296</v>
      </c>
      <c r="AM134" s="1" t="n">
        <f aca="false">IF(ABS(AL134)&lt;=1,AL134,IF(ABS(AL134)&lt;=1.00001,1*SIGN(AL134),0))</f>
        <v>-0.889217996423296</v>
      </c>
      <c r="AN134" s="17" t="str">
        <f aca="false">IF(ISNUMBER(P134),DEGREES(ASIN( SQRT( (P134*(P134+2*$U$8)) / (S134*(S134+2*$U$10)) ) * SIN(RADIANS(B134)) ) ),"ignore")</f>
        <v>ignore</v>
      </c>
    </row>
    <row r="135" customFormat="false" ht="12.75" hidden="false" customHeight="false" outlineLevel="0" collapsed="false">
      <c r="B135" s="1" t="n">
        <v>105</v>
      </c>
      <c r="D135" s="27" t="str">
        <f aca="false">IF(ISNUMBER(F135),IF(ABS(AI135-1)&lt;0.000001,0,IF(ABS(AI135+1)&lt;0.000001,180,ROUND(DEGREES(ACOS(AI135)),3)))," ")</f>
        <v> </v>
      </c>
      <c r="F135" s="17" t="str">
        <f aca="false">IF(AG135&gt;0.0000001,$U$8*((1/SQRT(1-AG135*AG135))-1),"none")</f>
        <v>none</v>
      </c>
      <c r="H135" s="17" t="str">
        <f aca="false">IF(ISNUMBER(F135),$Z$15*(1+AC135/AG135)/(1+$V$15*$Z$15*AI135)/AG135," ")</f>
        <v> </v>
      </c>
      <c r="J135" s="27" t="str">
        <f aca="false">IF(ISNUMBER(F135),IF( AND( ( (F135*(F135+2*$U$8)*AB135*AB135) &gt; ($E$5*($E$5+2*$U$5)) ), ( B135&lt;90 ) ), 180-AJ135, AJ135)," ")</f>
        <v> </v>
      </c>
      <c r="L135" s="17" t="str">
        <f aca="false">IF(ISNUMBER(F135),$E$5+$O$10-F135," ")</f>
        <v> </v>
      </c>
      <c r="N135" s="1" t="str">
        <f aca="false">IF(ISNUMBER(P135),B135," ")</f>
        <v> </v>
      </c>
      <c r="O135" s="27" t="str">
        <f aca="false">IF(ISNUMBER(P135), IF( ABS(AM135-1)&lt;0.000001,0, IF(ABS(AM135+1)&lt;0.000001,180,ROUND(DEGREES(ACOS(AM135)),3)))," ")</f>
        <v> </v>
      </c>
      <c r="P135" s="17" t="str">
        <f aca="false">IF(AK135&gt;0.0000001,$U$8*((1/SQRT(1-AK135*AK135))-1),"none")</f>
        <v>none</v>
      </c>
      <c r="Q135" s="17" t="str">
        <f aca="false">IF(ISNUMBER(P135),ABS($Z$15*(1+AC135/AK135)/(1+$V$15*$Z$15*AM135)/AK135)," ")</f>
        <v> </v>
      </c>
      <c r="R135" s="27" t="str">
        <f aca="false">IF(ISNUMBER(P135),IF( AND( ( (P135*(P135+2*$U$8)*AB135*AB135) &gt; ($E$5*($E$5+2*$U$5)) ), ( B135&lt;90 ) ), 180-AN135, AN135)," ")</f>
        <v> </v>
      </c>
      <c r="S135" s="17" t="str">
        <f aca="false">IF(ISNUMBER(P135),$E$5+$O$10-P135," ")</f>
        <v> </v>
      </c>
      <c r="AB135" s="1" t="n">
        <f aca="false">COS(RADIANS(B135))</f>
        <v>-0.258819045102521</v>
      </c>
      <c r="AC135" s="1" t="n">
        <f aca="false">-$V$15*AB135</f>
        <v>0.0172963789063208</v>
      </c>
      <c r="AD135" s="1" t="n">
        <f aca="false">$AA$15+AC135*AC135</f>
        <v>1.00027213421928</v>
      </c>
      <c r="AF135" s="1" t="n">
        <f aca="false">AC135*AC135-AD135*$AE$15</f>
        <v>0.000272126863357916</v>
      </c>
      <c r="AG135" s="1" t="n">
        <f aca="false">IF(ISNUMBER(SQRT(AF135)),(-AC135+SQRT(AF135))/AD135,-100)</f>
        <v>-0.000799893063460939</v>
      </c>
      <c r="AH135" s="1" t="n">
        <f aca="false">(AG135*AB135-$V$15)/((1-$V$15*AG135*AB135)*$Z$15)</f>
        <v>-0.999933056104601</v>
      </c>
      <c r="AI135" s="1" t="n">
        <f aca="false">IF(ABS(AH135)&lt;=1,AH135,IF(ABS(AH135)&lt;=1.00001,1*SIGN(AH135),0))</f>
        <v>-0.999933056104601</v>
      </c>
      <c r="AJ135" s="17" t="e">
        <f aca="false">DEGREES(ASIN( SQRT( (F135*(F135+2*$U$8)) / (L135*(L135+2*$U$10)) ) * SIN(RADIANS(B135))  ))</f>
        <v>#VALUE!</v>
      </c>
      <c r="AK135" s="1" t="n">
        <f aca="false">IF(ISNUMBER(SQRT(AF135)),(-AC135-SQRT(AF135))/AD135,-100)</f>
        <v>-0.0337834534371804</v>
      </c>
      <c r="AL135" s="1" t="n">
        <f aca="false">(AK135*AB135-$V$15)/((1-$V$15*AK135*AB135)*$Z$15)</f>
        <v>-0.872299999296296</v>
      </c>
      <c r="AM135" s="1" t="n">
        <f aca="false">IF(ABS(AL135)&lt;=1,AL135,IF(ABS(AL135)&lt;=1.00001,1*SIGN(AL135),0))</f>
        <v>-0.872299999296296</v>
      </c>
      <c r="AN135" s="17" t="str">
        <f aca="false">IF(ISNUMBER(P135),DEGREES(ASIN( SQRT( (P135*(P135+2*$U$8)) / (S135*(S135+2*$U$10)) ) * SIN(RADIANS(B135)) ) ),"ignore")</f>
        <v>ignore</v>
      </c>
    </row>
    <row r="136" customFormat="false" ht="12.75" hidden="false" customHeight="false" outlineLevel="0" collapsed="false">
      <c r="B136" s="1" t="n">
        <v>106</v>
      </c>
      <c r="D136" s="27" t="str">
        <f aca="false">IF(ISNUMBER(F136),IF(ABS(AI136-1)&lt;0.000001,0,IF(ABS(AI136+1)&lt;0.000001,180,ROUND(DEGREES(ACOS(AI136)),3)))," ")</f>
        <v> </v>
      </c>
      <c r="F136" s="17" t="str">
        <f aca="false">IF(AG136&gt;0.0000001,$U$8*((1/SQRT(1-AG136*AG136))-1),"none")</f>
        <v>none</v>
      </c>
      <c r="H136" s="17" t="str">
        <f aca="false">IF(ISNUMBER(F136),$Z$15*(1+AC136/AG136)/(1+$V$15*$Z$15*AI136)/AG136," ")</f>
        <v> </v>
      </c>
      <c r="J136" s="27" t="str">
        <f aca="false">IF(ISNUMBER(F136),IF( AND( ( (F136*(F136+2*$U$8)*AB136*AB136) &gt; ($E$5*($E$5+2*$U$5)) ), ( B136&lt;90 ) ), 180-AJ136, AJ136)," ")</f>
        <v> </v>
      </c>
      <c r="L136" s="17" t="str">
        <f aca="false">IF(ISNUMBER(F136),$E$5+$O$10-F136," ")</f>
        <v> </v>
      </c>
      <c r="N136" s="1" t="str">
        <f aca="false">IF(ISNUMBER(P136),B136," ")</f>
        <v> </v>
      </c>
      <c r="O136" s="27" t="str">
        <f aca="false">IF(ISNUMBER(P136), IF( ABS(AM136-1)&lt;0.000001,0, IF(ABS(AM136+1)&lt;0.000001,180,ROUND(DEGREES(ACOS(AM136)),3)))," ")</f>
        <v> </v>
      </c>
      <c r="P136" s="17" t="str">
        <f aca="false">IF(AK136&gt;0.0000001,$U$8*((1/SQRT(1-AK136*AK136))-1),"none")</f>
        <v>none</v>
      </c>
      <c r="Q136" s="17" t="str">
        <f aca="false">IF(ISNUMBER(P136),ABS($Z$15*(1+AC136/AK136)/(1+$V$15*$Z$15*AM136)/AK136)," ")</f>
        <v> </v>
      </c>
      <c r="R136" s="27" t="str">
        <f aca="false">IF(ISNUMBER(P136),IF( AND( ( (P136*(P136+2*$U$8)*AB136*AB136) &gt; ($E$5*($E$5+2*$U$5)) ), ( B136&lt;90 ) ), 180-AN136, AN136)," ")</f>
        <v> </v>
      </c>
      <c r="S136" s="17" t="str">
        <f aca="false">IF(ISNUMBER(P136),$E$5+$O$10-P136," ")</f>
        <v> </v>
      </c>
      <c r="AB136" s="1" t="n">
        <f aca="false">COS(RADIANS(B136))</f>
        <v>-0.275637355816999</v>
      </c>
      <c r="AC136" s="1" t="n">
        <f aca="false">-$V$15*AB136</f>
        <v>0.0184203142587853</v>
      </c>
      <c r="AD136" s="1" t="n">
        <f aca="false">$AA$15+AC136*AC136</f>
        <v>1.0003122774734</v>
      </c>
      <c r="AF136" s="1" t="n">
        <f aca="false">AC136*AC136-AD136*$AE$15</f>
        <v>0.000312269032386918</v>
      </c>
      <c r="AG136" s="1" t="n">
        <f aca="false">IF(ISNUMBER(SQRT(AF136)),(-AC136+SQRT(AF136))/AD136,-100)</f>
        <v>-0.000748944808676183</v>
      </c>
      <c r="AH136" s="1" t="n">
        <f aca="false">(AG136*AB136-$V$15)/((1-$V$15*AG136*AB136)*$Z$15)</f>
        <v>-0.999941878004562</v>
      </c>
      <c r="AI136" s="1" t="n">
        <f aca="false">IF(ABS(AH136)&lt;=1,AH136,IF(ABS(AH136)&lt;=1.00001,1*SIGN(AH136),0))</f>
        <v>-0.999941878004562</v>
      </c>
      <c r="AJ136" s="17" t="e">
        <f aca="false">DEGREES(ASIN( SQRT( (F136*(F136+2*$U$8)) / (L136*(L136+2*$U$10)) ) * SIN(RADIANS(B136))  ))</f>
        <v>#VALUE!</v>
      </c>
      <c r="AK136" s="1" t="n">
        <f aca="false">IF(ISNUMBER(SQRT(AF136)),(-AC136-SQRT(AF136))/AD136,-100)</f>
        <v>-0.0360801828019765</v>
      </c>
      <c r="AL136" s="1" t="n">
        <f aca="false">(AK136*AB136-$V$15)/((1-$V$15*AK136*AB136)*$Z$15)</f>
        <v>-0.854328523913193</v>
      </c>
      <c r="AM136" s="1" t="n">
        <f aca="false">IF(ABS(AL136)&lt;=1,AL136,IF(ABS(AL136)&lt;=1.00001,1*SIGN(AL136),0))</f>
        <v>-0.854328523913193</v>
      </c>
      <c r="AN136" s="17" t="str">
        <f aca="false">IF(ISNUMBER(P136),DEGREES(ASIN( SQRT( (P136*(P136+2*$U$8)) / (S136*(S136+2*$U$10)) ) * SIN(RADIANS(B136)) ) ),"ignore")</f>
        <v>ignore</v>
      </c>
    </row>
    <row r="137" customFormat="false" ht="12.75" hidden="false" customHeight="false" outlineLevel="0" collapsed="false">
      <c r="B137" s="1" t="n">
        <v>107</v>
      </c>
      <c r="D137" s="27" t="str">
        <f aca="false">IF(ISNUMBER(F137),IF(ABS(AI137-1)&lt;0.000001,0,IF(ABS(AI137+1)&lt;0.000001,180,ROUND(DEGREES(ACOS(AI137)),3)))," ")</f>
        <v> </v>
      </c>
      <c r="F137" s="17" t="str">
        <f aca="false">IF(AG137&gt;0.0000001,$U$8*((1/SQRT(1-AG137*AG137))-1),"none")</f>
        <v>none</v>
      </c>
      <c r="H137" s="17" t="str">
        <f aca="false">IF(ISNUMBER(F137),$Z$15*(1+AC137/AG137)/(1+$V$15*$Z$15*AI137)/AG137," ")</f>
        <v> </v>
      </c>
      <c r="J137" s="27" t="str">
        <f aca="false">IF(ISNUMBER(F137),IF( AND( ( (F137*(F137+2*$U$8)*AB137*AB137) &gt; ($E$5*($E$5+2*$U$5)) ), ( B137&lt;90 ) ), 180-AJ137, AJ137)," ")</f>
        <v> </v>
      </c>
      <c r="L137" s="17" t="str">
        <f aca="false">IF(ISNUMBER(F137),$E$5+$O$10-F137," ")</f>
        <v> </v>
      </c>
      <c r="N137" s="1" t="str">
        <f aca="false">IF(ISNUMBER(P137),B137," ")</f>
        <v> </v>
      </c>
      <c r="O137" s="27" t="str">
        <f aca="false">IF(ISNUMBER(P137), IF( ABS(AM137-1)&lt;0.000001,0, IF(ABS(AM137+1)&lt;0.000001,180,ROUND(DEGREES(ACOS(AM137)),3)))," ")</f>
        <v> </v>
      </c>
      <c r="P137" s="17" t="str">
        <f aca="false">IF(AK137&gt;0.0000001,$U$8*((1/SQRT(1-AK137*AK137))-1),"none")</f>
        <v>none</v>
      </c>
      <c r="Q137" s="17" t="str">
        <f aca="false">IF(ISNUMBER(P137),ABS($Z$15*(1+AC137/AK137)/(1+$V$15*$Z$15*AM137)/AK137)," ")</f>
        <v> </v>
      </c>
      <c r="R137" s="27" t="str">
        <f aca="false">IF(ISNUMBER(P137),IF( AND( ( (P137*(P137+2*$U$8)*AB137*AB137) &gt; ($E$5*($E$5+2*$U$5)) ), ( B137&lt;90 ) ), 180-AN137, AN137)," ")</f>
        <v> </v>
      </c>
      <c r="S137" s="17" t="str">
        <f aca="false">IF(ISNUMBER(P137),$E$5+$O$10-P137," ")</f>
        <v> </v>
      </c>
      <c r="AB137" s="1" t="n">
        <f aca="false">COS(RADIANS(B137))</f>
        <v>-0.292371704722737</v>
      </c>
      <c r="AC137" s="1" t="n">
        <f aca="false">-$V$15*AB137</f>
        <v>0.0195386386050851</v>
      </c>
      <c r="AD137" s="1" t="n">
        <f aca="false">$AA$15+AC137*AC137</f>
        <v>1.00035472789455</v>
      </c>
      <c r="AF137" s="1" t="n">
        <f aca="false">AC137*AC137-AD137*$AE$15</f>
        <v>0.000354718306078353</v>
      </c>
      <c r="AG137" s="1" t="n">
        <f aca="false">IF(ISNUMBER(SQRT(AF137)),(-AC137+SQRT(AF137))/AD137,-100)</f>
        <v>-0.000704421909599422</v>
      </c>
      <c r="AH137" s="1" t="n">
        <f aca="false">(AG137*AB137-$V$15)/((1-$V$15*AG137*AB137)*$Z$15)</f>
        <v>-0.999949112120363</v>
      </c>
      <c r="AI137" s="1" t="n">
        <f aca="false">IF(ABS(AH137)&lt;=1,AH137,IF(ABS(AH137)&lt;=1.00001,1*SIGN(AH137),0))</f>
        <v>-0.999949112120363</v>
      </c>
      <c r="AJ137" s="17" t="e">
        <f aca="false">DEGREES(ASIN( SQRT( (F137*(F137+2*$U$8)) / (L137*(L137+2*$U$10)) ) * SIN(RADIANS(B137))  ))</f>
        <v>#VALUE!</v>
      </c>
      <c r="AK137" s="1" t="n">
        <f aca="false">IF(ISNUMBER(SQRT(AF137)),(-AC137-SQRT(AF137))/AD137,-100)</f>
        <v>-0.0383589984157248</v>
      </c>
      <c r="AL137" s="1" t="n">
        <f aca="false">(AK137*AB137-$V$15)/((1-$V$15*AK137*AB137)*$Z$15)</f>
        <v>-0.835324693095308</v>
      </c>
      <c r="AM137" s="1" t="n">
        <f aca="false">IF(ABS(AL137)&lt;=1,AL137,IF(ABS(AL137)&lt;=1.00001,1*SIGN(AL137),0))</f>
        <v>-0.835324693095308</v>
      </c>
      <c r="AN137" s="17" t="str">
        <f aca="false">IF(ISNUMBER(P137),DEGREES(ASIN( SQRT( (P137*(P137+2*$U$8)) / (S137*(S137+2*$U$10)) ) * SIN(RADIANS(B137)) ) ),"ignore")</f>
        <v>ignore</v>
      </c>
    </row>
    <row r="138" customFormat="false" ht="12.75" hidden="false" customHeight="false" outlineLevel="0" collapsed="false">
      <c r="B138" s="1" t="n">
        <v>108</v>
      </c>
      <c r="D138" s="27" t="str">
        <f aca="false">IF(ISNUMBER(F138),IF(ABS(AI138-1)&lt;0.000001,0,IF(ABS(AI138+1)&lt;0.000001,180,ROUND(DEGREES(ACOS(AI138)),3)))," ")</f>
        <v> </v>
      </c>
      <c r="F138" s="17" t="str">
        <f aca="false">IF(AG138&gt;0.0000001,$U$8*((1/SQRT(1-AG138*AG138))-1),"none")</f>
        <v>none</v>
      </c>
      <c r="H138" s="17" t="str">
        <f aca="false">IF(ISNUMBER(F138),$Z$15*(1+AC138/AG138)/(1+$V$15*$Z$15*AI138)/AG138," ")</f>
        <v> </v>
      </c>
      <c r="J138" s="27" t="str">
        <f aca="false">IF(ISNUMBER(F138),IF( AND( ( (F138*(F138+2*$U$8)*AB138*AB138) &gt; ($E$5*($E$5+2*$U$5)) ), ( B138&lt;90 ) ), 180-AJ138, AJ138)," ")</f>
        <v> </v>
      </c>
      <c r="L138" s="17" t="str">
        <f aca="false">IF(ISNUMBER(F138),$E$5+$O$10-F138," ")</f>
        <v> </v>
      </c>
      <c r="N138" s="1" t="str">
        <f aca="false">IF(ISNUMBER(P138),B138," ")</f>
        <v> </v>
      </c>
      <c r="O138" s="27" t="str">
        <f aca="false">IF(ISNUMBER(P138), IF( ABS(AM138-1)&lt;0.000001,0, IF(ABS(AM138+1)&lt;0.000001,180,ROUND(DEGREES(ACOS(AM138)),3)))," ")</f>
        <v> </v>
      </c>
      <c r="P138" s="17" t="str">
        <f aca="false">IF(AK138&gt;0.0000001,$U$8*((1/SQRT(1-AK138*AK138))-1),"none")</f>
        <v>none</v>
      </c>
      <c r="Q138" s="17" t="str">
        <f aca="false">IF(ISNUMBER(P138),ABS($Z$15*(1+AC138/AK138)/(1+$V$15*$Z$15*AM138)/AK138)," ")</f>
        <v> </v>
      </c>
      <c r="R138" s="27" t="str">
        <f aca="false">IF(ISNUMBER(P138),IF( AND( ( (P138*(P138+2*$U$8)*AB138*AB138) &gt; ($E$5*($E$5+2*$U$5)) ), ( B138&lt;90 ) ), 180-AN138, AN138)," ")</f>
        <v> </v>
      </c>
      <c r="S138" s="17" t="str">
        <f aca="false">IF(ISNUMBER(P138),$E$5+$O$10-P138," ")</f>
        <v> </v>
      </c>
      <c r="AB138" s="1" t="n">
        <f aca="false">COS(RADIANS(B138))</f>
        <v>-0.309016994374947</v>
      </c>
      <c r="AC138" s="1" t="n">
        <f aca="false">-$V$15*AB138</f>
        <v>0.0206510112927907</v>
      </c>
      <c r="AD138" s="1" t="n">
        <f aca="false">$AA$15+AC138*AC138</f>
        <v>1.00039943376343</v>
      </c>
      <c r="AF138" s="1" t="n">
        <f aca="false">AC138*AC138-AD138*$AE$15</f>
        <v>0.000399422966531033</v>
      </c>
      <c r="AG138" s="1" t="n">
        <f aca="false">IF(ISNUMBER(SQRT(AF138)),(-AC138+SQRT(AF138))/AD138,-100)</f>
        <v>-0.000665176641880602</v>
      </c>
      <c r="AH138" s="1" t="n">
        <f aca="false">(AG138*AB138-$V$15)/((1-$V$15*AG138*AB138)*$Z$15)</f>
        <v>-0.999955121191646</v>
      </c>
      <c r="AI138" s="1" t="n">
        <f aca="false">IF(ABS(AH138)&lt;=1,AH138,IF(ABS(AH138)&lt;=1.00001,1*SIGN(AH138),0))</f>
        <v>-0.999955121191646</v>
      </c>
      <c r="AJ138" s="17" t="e">
        <f aca="false">DEGREES(ASIN( SQRT( (F138*(F138+2*$U$8)) / (L138*(L138+2*$U$10)) ) * SIN(RADIANS(B138))  ))</f>
        <v>#VALUE!</v>
      </c>
      <c r="AK138" s="1" t="n">
        <f aca="false">IF(ISNUMBER(SQRT(AF138)),(-AC138-SQRT(AF138))/AD138,-100)</f>
        <v>-0.0406203551083788</v>
      </c>
      <c r="AL138" s="1" t="n">
        <f aca="false">(AK138*AB138-$V$15)/((1-$V$15*AK138*AB138)*$Z$15)</f>
        <v>-0.815311028313117</v>
      </c>
      <c r="AM138" s="1" t="n">
        <f aca="false">IF(ABS(AL138)&lt;=1,AL138,IF(ABS(AL138)&lt;=1.00001,1*SIGN(AL138),0))</f>
        <v>-0.815311028313117</v>
      </c>
      <c r="AN138" s="17" t="str">
        <f aca="false">IF(ISNUMBER(P138),DEGREES(ASIN( SQRT( (P138*(P138+2*$U$8)) / (S138*(S138+2*$U$10)) ) * SIN(RADIANS(B138)) ) ),"ignore")</f>
        <v>ignore</v>
      </c>
    </row>
    <row r="139" customFormat="false" ht="12.75" hidden="false" customHeight="false" outlineLevel="0" collapsed="false">
      <c r="B139" s="1" t="n">
        <v>109</v>
      </c>
      <c r="D139" s="27" t="str">
        <f aca="false">IF(ISNUMBER(F139),IF(ABS(AI139-1)&lt;0.000001,0,IF(ABS(AI139+1)&lt;0.000001,180,ROUND(DEGREES(ACOS(AI139)),3)))," ")</f>
        <v> </v>
      </c>
      <c r="F139" s="17" t="str">
        <f aca="false">IF(AG139&gt;0.0000001,$U$8*((1/SQRT(1-AG139*AG139))-1),"none")</f>
        <v>none</v>
      </c>
      <c r="H139" s="17" t="str">
        <f aca="false">IF(ISNUMBER(F139),$Z$15*(1+AC139/AG139)/(1+$V$15*$Z$15*AI139)/AG139," ")</f>
        <v> </v>
      </c>
      <c r="J139" s="27" t="str">
        <f aca="false">IF(ISNUMBER(F139),IF( AND( ( (F139*(F139+2*$U$8)*AB139*AB139) &gt; ($E$5*($E$5+2*$U$5)) ), ( B139&lt;90 ) ), 180-AJ139, AJ139)," ")</f>
        <v> </v>
      </c>
      <c r="L139" s="17" t="str">
        <f aca="false">IF(ISNUMBER(F139),$E$5+$O$10-F139," ")</f>
        <v> </v>
      </c>
      <c r="N139" s="1" t="str">
        <f aca="false">IF(ISNUMBER(P139),B139," ")</f>
        <v> </v>
      </c>
      <c r="O139" s="27" t="str">
        <f aca="false">IF(ISNUMBER(P139), IF( ABS(AM139-1)&lt;0.000001,0, IF(ABS(AM139+1)&lt;0.000001,180,ROUND(DEGREES(ACOS(AM139)),3)))," ")</f>
        <v> </v>
      </c>
      <c r="P139" s="17" t="str">
        <f aca="false">IF(AK139&gt;0.0000001,$U$8*((1/SQRT(1-AK139*AK139))-1),"none")</f>
        <v>none</v>
      </c>
      <c r="Q139" s="17" t="str">
        <f aca="false">IF(ISNUMBER(P139),ABS($Z$15*(1+AC139/AK139)/(1+$V$15*$Z$15*AM139)/AK139)," ")</f>
        <v> </v>
      </c>
      <c r="R139" s="27" t="str">
        <f aca="false">IF(ISNUMBER(P139),IF( AND( ( (P139*(P139+2*$U$8)*AB139*AB139) &gt; ($E$5*($E$5+2*$U$5)) ), ( B139&lt;90 ) ), 180-AN139, AN139)," ")</f>
        <v> </v>
      </c>
      <c r="S139" s="17" t="str">
        <f aca="false">IF(ISNUMBER(P139),$E$5+$O$10-P139," ")</f>
        <v> </v>
      </c>
      <c r="AB139" s="1" t="n">
        <f aca="false">COS(RADIANS(B139))</f>
        <v>-0.325568154457156</v>
      </c>
      <c r="AC139" s="1" t="n">
        <f aca="false">-$V$15*AB139</f>
        <v>0.0217570934824057</v>
      </c>
      <c r="AD139" s="1" t="n">
        <f aca="false">$AA$15+AC139*AC139</f>
        <v>1.00044634061281</v>
      </c>
      <c r="AF139" s="1" t="n">
        <f aca="false">AC139*AC139-AD139*$AE$15</f>
        <v>0.000446328548002425</v>
      </c>
      <c r="AG139" s="1" t="n">
        <f aca="false">IF(ISNUMBER(SQRT(AF139)),(-AC139+SQRT(AF139))/AD139,-100)</f>
        <v>-0.000630322894360039</v>
      </c>
      <c r="AH139" s="1" t="n">
        <f aca="false">(AG139*AB139-$V$15)/((1-$V$15*AG139*AB139)*$Z$15)</f>
        <v>-0.999960169123487</v>
      </c>
      <c r="AI139" s="1" t="n">
        <f aca="false">IF(ABS(AH139)&lt;=1,AH139,IF(ABS(AH139)&lt;=1.00001,1*SIGN(AH139),0))</f>
        <v>-0.999960169123487</v>
      </c>
      <c r="AJ139" s="17" t="e">
        <f aca="false">DEGREES(ASIN( SQRT( (F139*(F139+2*$U$8)) / (L139*(L139+2*$U$10)) ) * SIN(RADIANS(B139))  ))</f>
        <v>#VALUE!</v>
      </c>
      <c r="AK139" s="1" t="n">
        <f aca="false">IF(ISNUMBER(SQRT(AF139)),(-AC139-SQRT(AF139))/AD139,-100)</f>
        <v>-0.0428644505866017</v>
      </c>
      <c r="AL139" s="1" t="n">
        <f aca="false">(AK139*AB139-$V$15)/((1-$V$15*AK139*AB139)*$Z$15)</f>
        <v>-0.794311374179872</v>
      </c>
      <c r="AM139" s="1" t="n">
        <f aca="false">IF(ABS(AL139)&lt;=1,AL139,IF(ABS(AL139)&lt;=1.00001,1*SIGN(AL139),0))</f>
        <v>-0.794311374179872</v>
      </c>
      <c r="AN139" s="17" t="str">
        <f aca="false">IF(ISNUMBER(P139),DEGREES(ASIN( SQRT( (P139*(P139+2*$U$8)) / (S139*(S139+2*$U$10)) ) * SIN(RADIANS(B139)) ) ),"ignore")</f>
        <v>ignore</v>
      </c>
    </row>
    <row r="140" customFormat="false" ht="12.75" hidden="false" customHeight="false" outlineLevel="0" collapsed="false">
      <c r="B140" s="1" t="n">
        <v>110</v>
      </c>
      <c r="D140" s="27" t="str">
        <f aca="false">IF(ISNUMBER(F140),IF(ABS(AI140-1)&lt;0.000001,0,IF(ABS(AI140+1)&lt;0.000001,180,ROUND(DEGREES(ACOS(AI140)),3)))," ")</f>
        <v> </v>
      </c>
      <c r="F140" s="17" t="str">
        <f aca="false">IF(AG140&gt;0.0000001,$U$8*((1/SQRT(1-AG140*AG140))-1),"none")</f>
        <v>none</v>
      </c>
      <c r="H140" s="17" t="str">
        <f aca="false">IF(ISNUMBER(F140),$Z$15*(1+AC140/AG140)/(1+$V$15*$Z$15*AI140)/AG140," ")</f>
        <v> </v>
      </c>
      <c r="J140" s="27" t="str">
        <f aca="false">IF(ISNUMBER(F140),IF( AND( ( (F140*(F140+2*$U$8)*AB140*AB140) &gt; ($E$5*($E$5+2*$U$5)) ), ( B140&lt;90 ) ), 180-AJ140, AJ140)," ")</f>
        <v> </v>
      </c>
      <c r="L140" s="17" t="str">
        <f aca="false">IF(ISNUMBER(F140),$E$5+$O$10-F140," ")</f>
        <v> </v>
      </c>
      <c r="N140" s="1" t="str">
        <f aca="false">IF(ISNUMBER(P140),B140," ")</f>
        <v> </v>
      </c>
      <c r="O140" s="27" t="str">
        <f aca="false">IF(ISNUMBER(P140), IF( ABS(AM140-1)&lt;0.000001,0, IF(ABS(AM140+1)&lt;0.000001,180,ROUND(DEGREES(ACOS(AM140)),3)))," ")</f>
        <v> </v>
      </c>
      <c r="P140" s="17" t="str">
        <f aca="false">IF(AK140&gt;0.0000001,$U$8*((1/SQRT(1-AK140*AK140))-1),"none")</f>
        <v>none</v>
      </c>
      <c r="Q140" s="17" t="str">
        <f aca="false">IF(ISNUMBER(P140),ABS($Z$15*(1+AC140/AK140)/(1+$V$15*$Z$15*AM140)/AK140)," ")</f>
        <v> </v>
      </c>
      <c r="R140" s="27" t="str">
        <f aca="false">IF(ISNUMBER(P140),IF( AND( ( (P140*(P140+2*$U$8)*AB140*AB140) &gt; ($E$5*($E$5+2*$U$5)) ), ( B140&lt;90 ) ), 180-AN140, AN140)," ")</f>
        <v> </v>
      </c>
      <c r="S140" s="17" t="str">
        <f aca="false">IF(ISNUMBER(P140),$E$5+$O$10-P140," ")</f>
        <v> </v>
      </c>
      <c r="AB140" s="1" t="n">
        <f aca="false">COS(RADIANS(B140))</f>
        <v>-0.342020143325669</v>
      </c>
      <c r="AC140" s="1" t="n">
        <f aca="false">-$V$15*AB140</f>
        <v>0.0228565482505803</v>
      </c>
      <c r="AD140" s="1" t="n">
        <f aca="false">$AA$15+AC140*AC140</f>
        <v>1.00049539129394</v>
      </c>
      <c r="AF140" s="1" t="n">
        <f aca="false">AC140*AC140-AD140*$AE$15</f>
        <v>0.000495377903266759</v>
      </c>
      <c r="AG140" s="1" t="n">
        <f aca="false">IF(ISNUMBER(SQRT(AF140)),(-AC140+SQRT(AF140))/AD140,-100)</f>
        <v>-0.000599164844205521</v>
      </c>
      <c r="AH140" s="1" t="n">
        <f aca="false">(AG140*AB140-$V$15)/((1-$V$15*AG140*AB140)*$Z$15)</f>
        <v>-0.999964451858327</v>
      </c>
      <c r="AI140" s="1" t="n">
        <f aca="false">IF(ABS(AH140)&lt;=1,AH140,IF(ABS(AH140)&lt;=1.00001,1*SIGN(AH140),0))</f>
        <v>-0.999964451858327</v>
      </c>
      <c r="AJ140" s="17" t="e">
        <f aca="false">DEGREES(ASIN( SQRT( (F140*(F140+2*$U$8)) / (L140*(L140+2*$U$10)) ) * SIN(RADIANS(B140))  ))</f>
        <v>#VALUE!</v>
      </c>
      <c r="AK140" s="1" t="n">
        <f aca="false">IF(ISNUMBER(SQRT(AF140)),(-AC140-SQRT(AF140))/AD140,-100)</f>
        <v>-0.0450912969999413</v>
      </c>
      <c r="AL140" s="1" t="n">
        <f aca="false">(AK140*AB140-$V$15)/((1-$V$15*AK140*AB140)*$Z$15)</f>
        <v>-0.772350839504019</v>
      </c>
      <c r="AM140" s="1" t="n">
        <f aca="false">IF(ABS(AL140)&lt;=1,AL140,IF(ABS(AL140)&lt;=1.00001,1*SIGN(AL140),0))</f>
        <v>-0.772350839504019</v>
      </c>
      <c r="AN140" s="17" t="str">
        <f aca="false">IF(ISNUMBER(P140),DEGREES(ASIN( SQRT( (P140*(P140+2*$U$8)) / (S140*(S140+2*$U$10)) ) * SIN(RADIANS(B140)) ) ),"ignore")</f>
        <v>ignore</v>
      </c>
    </row>
    <row r="141" customFormat="false" ht="12.75" hidden="false" customHeight="false" outlineLevel="0" collapsed="false">
      <c r="B141" s="1" t="n">
        <v>111</v>
      </c>
      <c r="D141" s="27" t="str">
        <f aca="false">IF(ISNUMBER(F141),IF(ABS(AI141-1)&lt;0.000001,0,IF(ABS(AI141+1)&lt;0.000001,180,ROUND(DEGREES(ACOS(AI141)),3)))," ")</f>
        <v> </v>
      </c>
      <c r="F141" s="17" t="str">
        <f aca="false">IF(AG141&gt;0.0000001,$U$8*((1/SQRT(1-AG141*AG141))-1),"none")</f>
        <v>none</v>
      </c>
      <c r="H141" s="17" t="str">
        <f aca="false">IF(ISNUMBER(F141),$Z$15*(1+AC141/AG141)/(1+$V$15*$Z$15*AI141)/AG141," ")</f>
        <v> </v>
      </c>
      <c r="J141" s="27" t="str">
        <f aca="false">IF(ISNUMBER(F141),IF( AND( ( (F141*(F141+2*$U$8)*AB141*AB141) &gt; ($E$5*($E$5+2*$U$5)) ), ( B141&lt;90 ) ), 180-AJ141, AJ141)," ")</f>
        <v> </v>
      </c>
      <c r="L141" s="17" t="str">
        <f aca="false">IF(ISNUMBER(F141),$E$5+$O$10-F141," ")</f>
        <v> </v>
      </c>
      <c r="N141" s="1" t="str">
        <f aca="false">IF(ISNUMBER(P141),B141," ")</f>
        <v> </v>
      </c>
      <c r="O141" s="27" t="str">
        <f aca="false">IF(ISNUMBER(P141), IF( ABS(AM141-1)&lt;0.000001,0, IF(ABS(AM141+1)&lt;0.000001,180,ROUND(DEGREES(ACOS(AM141)),3)))," ")</f>
        <v> </v>
      </c>
      <c r="P141" s="17" t="str">
        <f aca="false">IF(AK141&gt;0.0000001,$U$8*((1/SQRT(1-AK141*AK141))-1),"none")</f>
        <v>none</v>
      </c>
      <c r="Q141" s="17" t="str">
        <f aca="false">IF(ISNUMBER(P141),ABS($Z$15*(1+AC141/AK141)/(1+$V$15*$Z$15*AM141)/AK141)," ")</f>
        <v> </v>
      </c>
      <c r="R141" s="27" t="str">
        <f aca="false">IF(ISNUMBER(P141),IF( AND( ( (P141*(P141+2*$U$8)*AB141*AB141) &gt; ($E$5*($E$5+2*$U$5)) ), ( B141&lt;90 ) ), 180-AN141, AN141)," ")</f>
        <v> </v>
      </c>
      <c r="S141" s="17" t="str">
        <f aca="false">IF(ISNUMBER(P141),$E$5+$O$10-P141," ")</f>
        <v> </v>
      </c>
      <c r="AB141" s="1" t="n">
        <f aca="false">COS(RADIANS(B141))</f>
        <v>-0.3583679495453</v>
      </c>
      <c r="AC141" s="1" t="n">
        <f aca="false">-$V$15*AB141</f>
        <v>0.0239490406927414</v>
      </c>
      <c r="AD141" s="1" t="n">
        <f aca="false">$AA$15+AC141*AC141</f>
        <v>1.00054652604611</v>
      </c>
      <c r="AF141" s="1" t="n">
        <f aca="false">AC141*AC141-AD141*$AE$15</f>
        <v>0.000546511273240113</v>
      </c>
      <c r="AG141" s="1" t="n">
        <f aca="false">IF(ISNUMBER(SQRT(AF141)),(-AC141+SQRT(AF141))/AD141,-100)</f>
        <v>-0.000571147976923017</v>
      </c>
      <c r="AH141" s="1" t="n">
        <f aca="false">(AG141*AB141-$V$15)/((1-$V$15*AG141*AB141)*$Z$15)</f>
        <v>-0.999968117484941</v>
      </c>
      <c r="AI141" s="1" t="n">
        <f aca="false">IF(ABS(AH141)&lt;=1,AH141,IF(ABS(AH141)&lt;=1.00001,1*SIGN(AH141),0))</f>
        <v>-0.999968117484941</v>
      </c>
      <c r="AJ141" s="17" t="e">
        <f aca="false">DEGREES(ASIN( SQRT( (F141*(F141+2*$U$8)) / (L141*(L141+2*$U$10)) ) * SIN(RADIANS(B141))  ))</f>
        <v>#VALUE!</v>
      </c>
      <c r="AK141" s="1" t="n">
        <f aca="false">IF(ISNUMBER(SQRT(AF141)),(-AC141-SQRT(AF141))/AD141,-100)</f>
        <v>-0.0473007701584213</v>
      </c>
      <c r="AL141" s="1" t="n">
        <f aca="false">(AK141*AB141-$V$15)/((1-$V$15*AK141*AB141)*$Z$15)</f>
        <v>-0.749455747677668</v>
      </c>
      <c r="AM141" s="1" t="n">
        <f aca="false">IF(ABS(AL141)&lt;=1,AL141,IF(ABS(AL141)&lt;=1.00001,1*SIGN(AL141),0))</f>
        <v>-0.749455747677668</v>
      </c>
      <c r="AN141" s="17" t="str">
        <f aca="false">IF(ISNUMBER(P141),DEGREES(ASIN( SQRT( (P141*(P141+2*$U$8)) / (S141*(S141+2*$U$10)) ) * SIN(RADIANS(B141)) ) ),"ignore")</f>
        <v>ignore</v>
      </c>
    </row>
    <row r="142" customFormat="false" ht="12.75" hidden="false" customHeight="false" outlineLevel="0" collapsed="false">
      <c r="B142" s="1" t="n">
        <v>112</v>
      </c>
      <c r="D142" s="27" t="str">
        <f aca="false">IF(ISNUMBER(F142),IF(ABS(AI142-1)&lt;0.000001,0,IF(ABS(AI142+1)&lt;0.000001,180,ROUND(DEGREES(ACOS(AI142)),3)))," ")</f>
        <v> </v>
      </c>
      <c r="F142" s="17" t="str">
        <f aca="false">IF(AG142&gt;0.0000001,$U$8*((1/SQRT(1-AG142*AG142))-1),"none")</f>
        <v>none</v>
      </c>
      <c r="H142" s="17" t="str">
        <f aca="false">IF(ISNUMBER(F142),$Z$15*(1+AC142/AG142)/(1+$V$15*$Z$15*AI142)/AG142," ")</f>
        <v> </v>
      </c>
      <c r="J142" s="27" t="str">
        <f aca="false">IF(ISNUMBER(F142),IF( AND( ( (F142*(F142+2*$U$8)*AB142*AB142) &gt; ($E$5*($E$5+2*$U$5)) ), ( B142&lt;90 ) ), 180-AJ142, AJ142)," ")</f>
        <v> </v>
      </c>
      <c r="L142" s="17" t="str">
        <f aca="false">IF(ISNUMBER(F142),$E$5+$O$10-F142," ")</f>
        <v> </v>
      </c>
      <c r="N142" s="1" t="str">
        <f aca="false">IF(ISNUMBER(P142),B142," ")</f>
        <v> </v>
      </c>
      <c r="O142" s="27" t="str">
        <f aca="false">IF(ISNUMBER(P142), IF( ABS(AM142-1)&lt;0.000001,0, IF(ABS(AM142+1)&lt;0.000001,180,ROUND(DEGREES(ACOS(AM142)),3)))," ")</f>
        <v> </v>
      </c>
      <c r="P142" s="17" t="str">
        <f aca="false">IF(AK142&gt;0.0000001,$U$8*((1/SQRT(1-AK142*AK142))-1),"none")</f>
        <v>none</v>
      </c>
      <c r="Q142" s="17" t="str">
        <f aca="false">IF(ISNUMBER(P142),ABS($Z$15*(1+AC142/AK142)/(1+$V$15*$Z$15*AM142)/AK142)," ")</f>
        <v> </v>
      </c>
      <c r="R142" s="27" t="str">
        <f aca="false">IF(ISNUMBER(P142),IF( AND( ( (P142*(P142+2*$U$8)*AB142*AB142) &gt; ($E$5*($E$5+2*$U$5)) ), ( B142&lt;90 ) ), 180-AN142, AN142)," ")</f>
        <v> </v>
      </c>
      <c r="S142" s="17" t="str">
        <f aca="false">IF(ISNUMBER(P142),$E$5+$O$10-P142," ")</f>
        <v> </v>
      </c>
      <c r="AB142" s="1" t="n">
        <f aca="false">COS(RADIANS(B142))</f>
        <v>-0.374606593415912</v>
      </c>
      <c r="AC142" s="1" t="n">
        <f aca="false">-$V$15*AB142</f>
        <v>0.0250342380251079</v>
      </c>
      <c r="AD142" s="1" t="n">
        <f aca="false">$AA$15+AC142*AC142</f>
        <v>1.00059968256951</v>
      </c>
      <c r="AF142" s="1" t="n">
        <f aca="false">AC142*AC142-AD142*$AE$15</f>
        <v>0.000599666359787672</v>
      </c>
      <c r="AG142" s="1" t="n">
        <f aca="false">IF(ISNUMBER(SQRT(AF142)),(-AC142+SQRT(AF142))/AD142,-100)</f>
        <v>-0.00054582462510147</v>
      </c>
      <c r="AH142" s="1" t="n">
        <f aca="false">(AG142*AB142-$V$15)/((1-$V$15*AG142*AB142)*$Z$15)</f>
        <v>-0.999971279692545</v>
      </c>
      <c r="AI142" s="1" t="n">
        <f aca="false">IF(ABS(AH142)&lt;=1,AH142,IF(ABS(AH142)&lt;=1.00001,1*SIGN(AH142),0))</f>
        <v>-0.999971279692545</v>
      </c>
      <c r="AJ142" s="17" t="e">
        <f aca="false">DEGREES(ASIN( SQRT( (F142*(F142+2*$U$8)) / (L142*(L142+2*$U$10)) ) * SIN(RADIANS(B142))  ))</f>
        <v>#VALUE!</v>
      </c>
      <c r="AK142" s="1" t="n">
        <f aca="false">IF(ISNUMBER(SQRT(AF142)),(-AC142-SQRT(AF142))/AD142,-100)</f>
        <v>-0.0494926442275385</v>
      </c>
      <c r="AL142" s="1" t="n">
        <f aca="false">(AK142*AB142-$V$15)/((1-$V$15*AK142*AB142)*$Z$15)</f>
        <v>-0.725653592322562</v>
      </c>
      <c r="AM142" s="1" t="n">
        <f aca="false">IF(ABS(AL142)&lt;=1,AL142,IF(ABS(AL142)&lt;=1.00001,1*SIGN(AL142),0))</f>
        <v>-0.725653592322562</v>
      </c>
      <c r="AN142" s="17" t="str">
        <f aca="false">IF(ISNUMBER(P142),DEGREES(ASIN( SQRT( (P142*(P142+2*$U$8)) / (S142*(S142+2*$U$10)) ) * SIN(RADIANS(B142)) ) ),"ignore")</f>
        <v>ignore</v>
      </c>
    </row>
    <row r="143" customFormat="false" ht="12.75" hidden="false" customHeight="false" outlineLevel="0" collapsed="false">
      <c r="B143" s="1" t="n">
        <v>113</v>
      </c>
      <c r="D143" s="27" t="str">
        <f aca="false">IF(ISNUMBER(F143),IF(ABS(AI143-1)&lt;0.000001,0,IF(ABS(AI143+1)&lt;0.000001,180,ROUND(DEGREES(ACOS(AI143)),3)))," ")</f>
        <v> </v>
      </c>
      <c r="F143" s="17" t="str">
        <f aca="false">IF(AG143&gt;0.0000001,$U$8*((1/SQRT(1-AG143*AG143))-1),"none")</f>
        <v>none</v>
      </c>
      <c r="H143" s="17" t="str">
        <f aca="false">IF(ISNUMBER(F143),$Z$15*(1+AC143/AG143)/(1+$V$15*$Z$15*AI143)/AG143," ")</f>
        <v> </v>
      </c>
      <c r="J143" s="27" t="str">
        <f aca="false">IF(ISNUMBER(F143),IF( AND( ( (F143*(F143+2*$U$8)*AB143*AB143) &gt; ($E$5*($E$5+2*$U$5)) ), ( B143&lt;90 ) ), 180-AJ143, AJ143)," ")</f>
        <v> </v>
      </c>
      <c r="L143" s="17" t="str">
        <f aca="false">IF(ISNUMBER(F143),$E$5+$O$10-F143," ")</f>
        <v> </v>
      </c>
      <c r="N143" s="1" t="str">
        <f aca="false">IF(ISNUMBER(P143),B143," ")</f>
        <v> </v>
      </c>
      <c r="O143" s="27" t="str">
        <f aca="false">IF(ISNUMBER(P143), IF( ABS(AM143-1)&lt;0.000001,0, IF(ABS(AM143+1)&lt;0.000001,180,ROUND(DEGREES(ACOS(AM143)),3)))," ")</f>
        <v> </v>
      </c>
      <c r="P143" s="17" t="str">
        <f aca="false">IF(AK143&gt;0.0000001,$U$8*((1/SQRT(1-AK143*AK143))-1),"none")</f>
        <v>none</v>
      </c>
      <c r="Q143" s="17" t="str">
        <f aca="false">IF(ISNUMBER(P143),ABS($Z$15*(1+AC143/AK143)/(1+$V$15*$Z$15*AM143)/AK143)," ")</f>
        <v> </v>
      </c>
      <c r="R143" s="27" t="str">
        <f aca="false">IF(ISNUMBER(P143),IF( AND( ( (P143*(P143+2*$U$8)*AB143*AB143) &gt; ($E$5*($E$5+2*$U$5)) ), ( B143&lt;90 ) ), 180-AN143, AN143)," ")</f>
        <v> </v>
      </c>
      <c r="S143" s="17" t="str">
        <f aca="false">IF(ISNUMBER(P143),$E$5+$O$10-P143," ")</f>
        <v> </v>
      </c>
      <c r="AB143" s="1" t="n">
        <f aca="false">COS(RADIANS(B143))</f>
        <v>-0.390731128489274</v>
      </c>
      <c r="AC143" s="1" t="n">
        <f aca="false">-$V$15*AB143</f>
        <v>0.0261118096860599</v>
      </c>
      <c r="AD143" s="1" t="n">
        <f aca="false">$AA$15+AC143*AC143</f>
        <v>1.00065479610109</v>
      </c>
      <c r="AF143" s="1" t="n">
        <f aca="false">AC143*AC143-AD143*$AE$15</f>
        <v>0.000654778401624388</v>
      </c>
      <c r="AG143" s="1" t="n">
        <f aca="false">IF(ISNUMBER(SQRT(AF143)),(-AC143+SQRT(AF143))/AD143,-100)</f>
        <v>-0.000522829204136645</v>
      </c>
      <c r="AH143" s="1" t="n">
        <f aca="false">(AG143*AB143-$V$15)/((1-$V$15*AG143*AB143)*$Z$15)</f>
        <v>-0.999974026986072</v>
      </c>
      <c r="AI143" s="1" t="n">
        <f aca="false">IF(ABS(AH143)&lt;=1,AH143,IF(ABS(AH143)&lt;=1.00001,1*SIGN(AH143),0))</f>
        <v>-0.999974026986072</v>
      </c>
      <c r="AJ143" s="17" t="e">
        <f aca="false">DEGREES(ASIN( SQRT( (F143*(F143+2*$U$8)) / (L143*(L143+2*$U$10)) ) * SIN(RADIANS(B143))  ))</f>
        <v>#VALUE!</v>
      </c>
      <c r="AK143" s="1" t="n">
        <f aca="false">IF(ISNUMBER(SQRT(AF143)),(-AC143-SQRT(AF143))/AD143,-100)</f>
        <v>-0.0516666167222723</v>
      </c>
      <c r="AL143" s="1" t="n">
        <f aca="false">(AK143*AB143-$V$15)/((1-$V$15*AK143*AB143)*$Z$15)</f>
        <v>-0.700972995808702</v>
      </c>
      <c r="AM143" s="1" t="n">
        <f aca="false">IF(ABS(AL143)&lt;=1,AL143,IF(ABS(AL143)&lt;=1.00001,1*SIGN(AL143),0))</f>
        <v>-0.700972995808702</v>
      </c>
      <c r="AN143" s="17" t="str">
        <f aca="false">IF(ISNUMBER(P143),DEGREES(ASIN( SQRT( (P143*(P143+2*$U$8)) / (S143*(S143+2*$U$10)) ) * SIN(RADIANS(B143)) ) ),"ignore")</f>
        <v>ignore</v>
      </c>
    </row>
    <row r="144" customFormat="false" ht="12.75" hidden="false" customHeight="false" outlineLevel="0" collapsed="false">
      <c r="B144" s="1" t="n">
        <v>114</v>
      </c>
      <c r="D144" s="27" t="str">
        <f aca="false">IF(ISNUMBER(F144),IF(ABS(AI144-1)&lt;0.000001,0,IF(ABS(AI144+1)&lt;0.000001,180,ROUND(DEGREES(ACOS(AI144)),3)))," ")</f>
        <v> </v>
      </c>
      <c r="F144" s="17" t="str">
        <f aca="false">IF(AG144&gt;0.0000001,$U$8*((1/SQRT(1-AG144*AG144))-1),"none")</f>
        <v>none</v>
      </c>
      <c r="H144" s="17" t="str">
        <f aca="false">IF(ISNUMBER(F144),$Z$15*(1+AC144/AG144)/(1+$V$15*$Z$15*AI144)/AG144," ")</f>
        <v> </v>
      </c>
      <c r="J144" s="27" t="str">
        <f aca="false">IF(ISNUMBER(F144),IF( AND( ( (F144*(F144+2*$U$8)*AB144*AB144) &gt; ($E$5*($E$5+2*$U$5)) ), ( B144&lt;90 ) ), 180-AJ144, AJ144)," ")</f>
        <v> </v>
      </c>
      <c r="L144" s="17" t="str">
        <f aca="false">IF(ISNUMBER(F144),$E$5+$O$10-F144," ")</f>
        <v> </v>
      </c>
      <c r="N144" s="1" t="str">
        <f aca="false">IF(ISNUMBER(P144),B144," ")</f>
        <v> </v>
      </c>
      <c r="O144" s="27" t="str">
        <f aca="false">IF(ISNUMBER(P144), IF( ABS(AM144-1)&lt;0.000001,0, IF(ABS(AM144+1)&lt;0.000001,180,ROUND(DEGREES(ACOS(AM144)),3)))," ")</f>
        <v> </v>
      </c>
      <c r="P144" s="17" t="str">
        <f aca="false">IF(AK144&gt;0.0000001,$U$8*((1/SQRT(1-AK144*AK144))-1),"none")</f>
        <v>none</v>
      </c>
      <c r="Q144" s="17" t="str">
        <f aca="false">IF(ISNUMBER(P144),ABS($Z$15*(1+AC144/AK144)/(1+$V$15*$Z$15*AM144)/AK144)," ")</f>
        <v> </v>
      </c>
      <c r="R144" s="27" t="str">
        <f aca="false">IF(ISNUMBER(P144),IF( AND( ( (P144*(P144+2*$U$8)*AB144*AB144) &gt; ($E$5*($E$5+2*$U$5)) ), ( B144&lt;90 ) ), 180-AN144, AN144)," ")</f>
        <v> </v>
      </c>
      <c r="S144" s="17" t="str">
        <f aca="false">IF(ISNUMBER(P144),$E$5+$O$10-P144," ")</f>
        <v> </v>
      </c>
      <c r="AB144" s="1" t="n">
        <f aca="false">COS(RADIANS(B144))</f>
        <v>-0.4067366430758</v>
      </c>
      <c r="AC144" s="1" t="n">
        <f aca="false">-$V$15*AB144</f>
        <v>0.0271814274368307</v>
      </c>
      <c r="AD144" s="1" t="n">
        <f aca="false">$AA$15+AC144*AC144</f>
        <v>1.00071179949352</v>
      </c>
      <c r="AF144" s="1" t="n">
        <f aca="false">AC144*AC144-AD144*$AE$15</f>
        <v>0.000711780253216642</v>
      </c>
      <c r="AG144" s="1" t="n">
        <f aca="false">IF(ISNUMBER(SQRT(AF144)),(-AC144+SQRT(AF144))/AD144,-100)</f>
        <v>-0.000501860082029951</v>
      </c>
      <c r="AH144" s="1" t="n">
        <f aca="false">(AG144*AB144-$V$15)/((1-$V$15*AG144*AB144)*$Z$15)</f>
        <v>-0.999976429130309</v>
      </c>
      <c r="AI144" s="1" t="n">
        <f aca="false">IF(ABS(AH144)&lt;=1,AH144,IF(ABS(AH144)&lt;=1.00001,1*SIGN(AH144),0))</f>
        <v>-0.999976429130309</v>
      </c>
      <c r="AJ144" s="17" t="e">
        <f aca="false">DEGREES(ASIN( SQRT( (F144*(F144+2*$U$8)) / (L144*(L144+2*$U$10)) ) * SIN(RADIANS(B144))  ))</f>
        <v>#VALUE!</v>
      </c>
      <c r="AK144" s="1" t="n">
        <f aca="false">IF(ISNUMBER(SQRT(AF144)),(-AC144-SQRT(AF144))/AD144,-100)</f>
        <v>-0.0538223268628784</v>
      </c>
      <c r="AL144" s="1" t="n">
        <f aca="false">(AK144*AB144-$V$15)/((1-$V$15*AK144*AB144)*$Z$15)</f>
        <v>-0.675443669210587</v>
      </c>
      <c r="AM144" s="1" t="n">
        <f aca="false">IF(ABS(AL144)&lt;=1,AL144,IF(ABS(AL144)&lt;=1.00001,1*SIGN(AL144),0))</f>
        <v>-0.675443669210587</v>
      </c>
      <c r="AN144" s="17" t="str">
        <f aca="false">IF(ISNUMBER(P144),DEGREES(ASIN( SQRT( (P144*(P144+2*$U$8)) / (S144*(S144+2*$U$10)) ) * SIN(RADIANS(B144)) ) ),"ignore")</f>
        <v>ignore</v>
      </c>
    </row>
    <row r="145" customFormat="false" ht="12.75" hidden="false" customHeight="false" outlineLevel="0" collapsed="false">
      <c r="B145" s="1" t="n">
        <v>115</v>
      </c>
      <c r="D145" s="27" t="str">
        <f aca="false">IF(ISNUMBER(F145),IF(ABS(AI145-1)&lt;0.000001,0,IF(ABS(AI145+1)&lt;0.000001,180,ROUND(DEGREES(ACOS(AI145)),3)))," ")</f>
        <v> </v>
      </c>
      <c r="F145" s="17" t="str">
        <f aca="false">IF(AG145&gt;0.0000001,$U$8*((1/SQRT(1-AG145*AG145))-1),"none")</f>
        <v>none</v>
      </c>
      <c r="H145" s="17" t="str">
        <f aca="false">IF(ISNUMBER(F145),$Z$15*(1+AC145/AG145)/(1+$V$15*$Z$15*AI145)/AG145," ")</f>
        <v> </v>
      </c>
      <c r="J145" s="27" t="str">
        <f aca="false">IF(ISNUMBER(F145),IF( AND( ( (F145*(F145+2*$U$8)*AB145*AB145) &gt; ($E$5*($E$5+2*$U$5)) ), ( B145&lt;90 ) ), 180-AJ145, AJ145)," ")</f>
        <v> </v>
      </c>
      <c r="L145" s="17" t="str">
        <f aca="false">IF(ISNUMBER(F145),$E$5+$O$10-F145," ")</f>
        <v> </v>
      </c>
      <c r="N145" s="1" t="str">
        <f aca="false">IF(ISNUMBER(P145),B145," ")</f>
        <v> </v>
      </c>
      <c r="O145" s="27" t="str">
        <f aca="false">IF(ISNUMBER(P145), IF( ABS(AM145-1)&lt;0.000001,0, IF(ABS(AM145+1)&lt;0.000001,180,ROUND(DEGREES(ACOS(AM145)),3)))," ")</f>
        <v> </v>
      </c>
      <c r="P145" s="17" t="str">
        <f aca="false">IF(AK145&gt;0.0000001,$U$8*((1/SQRT(1-AK145*AK145))-1),"none")</f>
        <v>none</v>
      </c>
      <c r="Q145" s="17" t="str">
        <f aca="false">IF(ISNUMBER(P145),ABS($Z$15*(1+AC145/AK145)/(1+$V$15*$Z$15*AM145)/AK145)," ")</f>
        <v> </v>
      </c>
      <c r="R145" s="27" t="str">
        <f aca="false">IF(ISNUMBER(P145),IF( AND( ( (P145*(P145+2*$U$8)*AB145*AB145) &gt; ($E$5*($E$5+2*$U$5)) ), ( B145&lt;90 ) ), 180-AN145, AN145)," ")</f>
        <v> </v>
      </c>
      <c r="S145" s="17" t="str">
        <f aca="false">IF(ISNUMBER(P145),$E$5+$O$10-P145," ")</f>
        <v> </v>
      </c>
      <c r="AB145" s="1" t="n">
        <f aca="false">COS(RADIANS(B145))</f>
        <v>-0.422618261740699</v>
      </c>
      <c r="AC145" s="1" t="n">
        <f aca="false">-$V$15*AB145</f>
        <v>0.0282427654614918</v>
      </c>
      <c r="AD145" s="1" t="n">
        <f aca="false">$AA$15+AC145*AC145</f>
        <v>1.00077062329693</v>
      </c>
      <c r="AF145" s="1" t="n">
        <f aca="false">AC145*AC145-AD145*$AE$15</f>
        <v>0.000770602466588732</v>
      </c>
      <c r="AG145" s="1" t="n">
        <f aca="false">IF(ISNUMBER(SQRT(AF145)),(-AC145+SQRT(AF145))/AD145,-100)</f>
        <v>-0.000482666084951697</v>
      </c>
      <c r="AH145" s="1" t="n">
        <f aca="false">(AG145*AB145-$V$15)/((1-$V$15*AG145*AB145)*$Z$15)</f>
        <v>-0.999978541740215</v>
      </c>
      <c r="AI145" s="1" t="n">
        <f aca="false">IF(ABS(AH145)&lt;=1,AH145,IF(ABS(AH145)&lt;=1.00001,1*SIGN(AH145),0))</f>
        <v>-0.999978541740215</v>
      </c>
      <c r="AJ145" s="17" t="e">
        <f aca="false">DEGREES(ASIN( SQRT( (F145*(F145+2*$U$8)) / (L145*(L145+2*$U$10)) ) * SIN(RADIANS(B145))  ))</f>
        <v>#VALUE!</v>
      </c>
      <c r="AK145" s="1" t="n">
        <f aca="false">IF(ISNUMBER(SQRT(AF145)),(-AC145-SQRT(AF145))/AD145,-100)</f>
        <v>-0.0559593692906456</v>
      </c>
      <c r="AL145" s="1" t="n">
        <f aca="false">(AK145*AB145-$V$15)/((1-$V$15*AK145*AB145)*$Z$15)</f>
        <v>-0.649096372818073</v>
      </c>
      <c r="AM145" s="1" t="n">
        <f aca="false">IF(ABS(AL145)&lt;=1,AL145,IF(ABS(AL145)&lt;=1.00001,1*SIGN(AL145),0))</f>
        <v>-0.649096372818073</v>
      </c>
      <c r="AN145" s="17" t="str">
        <f aca="false">IF(ISNUMBER(P145),DEGREES(ASIN( SQRT( (P145*(P145+2*$U$8)) / (S145*(S145+2*$U$10)) ) * SIN(RADIANS(B145)) ) ),"ignore")</f>
        <v>ignore</v>
      </c>
    </row>
    <row r="146" customFormat="false" ht="12.75" hidden="false" customHeight="false" outlineLevel="0" collapsed="false">
      <c r="B146" s="1" t="n">
        <v>116</v>
      </c>
      <c r="D146" s="27" t="str">
        <f aca="false">IF(ISNUMBER(F146),IF(ABS(AI146-1)&lt;0.000001,0,IF(ABS(AI146+1)&lt;0.000001,180,ROUND(DEGREES(ACOS(AI146)),3)))," ")</f>
        <v> </v>
      </c>
      <c r="F146" s="17" t="str">
        <f aca="false">IF(AG146&gt;0.0000001,$U$8*((1/SQRT(1-AG146*AG146))-1),"none")</f>
        <v>none</v>
      </c>
      <c r="H146" s="17" t="str">
        <f aca="false">IF(ISNUMBER(F146),$Z$15*(1+AC146/AG146)/(1+$V$15*$Z$15*AI146)/AG146," ")</f>
        <v> </v>
      </c>
      <c r="J146" s="27" t="str">
        <f aca="false">IF(ISNUMBER(F146),IF( AND( ( (F146*(F146+2*$U$8)*AB146*AB146) &gt; ($E$5*($E$5+2*$U$5)) ), ( B146&lt;90 ) ), 180-AJ146, AJ146)," ")</f>
        <v> </v>
      </c>
      <c r="L146" s="17" t="str">
        <f aca="false">IF(ISNUMBER(F146),$E$5+$O$10-F146," ")</f>
        <v> </v>
      </c>
      <c r="N146" s="1" t="str">
        <f aca="false">IF(ISNUMBER(P146),B146," ")</f>
        <v> </v>
      </c>
      <c r="O146" s="27" t="str">
        <f aca="false">IF(ISNUMBER(P146), IF( ABS(AM146-1)&lt;0.000001,0, IF(ABS(AM146+1)&lt;0.000001,180,ROUND(DEGREES(ACOS(AM146)),3)))," ")</f>
        <v> </v>
      </c>
      <c r="P146" s="17" t="str">
        <f aca="false">IF(AK146&gt;0.0000001,$U$8*((1/SQRT(1-AK146*AK146))-1),"none")</f>
        <v>none</v>
      </c>
      <c r="Q146" s="17" t="str">
        <f aca="false">IF(ISNUMBER(P146),ABS($Z$15*(1+AC146/AK146)/(1+$V$15*$Z$15*AM146)/AK146)," ")</f>
        <v> </v>
      </c>
      <c r="R146" s="27" t="str">
        <f aca="false">IF(ISNUMBER(P146),IF( AND( ( (P146*(P146+2*$U$8)*AB146*AB146) &gt; ($E$5*($E$5+2*$U$5)) ), ( B146&lt;90 ) ), 180-AN146, AN146)," ")</f>
        <v> </v>
      </c>
      <c r="S146" s="17" t="str">
        <f aca="false">IF(ISNUMBER(P146),$E$5+$O$10-P146," ")</f>
        <v> </v>
      </c>
      <c r="AB146" s="1" t="n">
        <f aca="false">COS(RADIANS(B146))</f>
        <v>-0.438371146789078</v>
      </c>
      <c r="AC146" s="1" t="n">
        <f aca="false">-$V$15*AB146</f>
        <v>0.0292955004661996</v>
      </c>
      <c r="AD146" s="1" t="n">
        <f aca="false">$AA$15+AC146*AC146</f>
        <v>1.00083119584358</v>
      </c>
      <c r="AF146" s="1" t="n">
        <f aca="false">AC146*AC146-AD146*$AE$15</f>
        <v>0.000831173375934536</v>
      </c>
      <c r="AG146" s="1" t="n">
        <f aca="false">IF(ISNUMBER(SQRT(AF146)),(-AC146+SQRT(AF146))/AD146,-100)</f>
        <v>-0.000465036303725319</v>
      </c>
      <c r="AH146" s="1" t="n">
        <f aca="false">(AG146*AB146-$V$15)/((1-$V$15*AG146*AB146)*$Z$15)</f>
        <v>-0.999980409605328</v>
      </c>
      <c r="AI146" s="1" t="n">
        <f aca="false">IF(ABS(AH146)&lt;=1,AH146,IF(ABS(AH146)&lt;=1.00001,1*SIGN(AH146),0))</f>
        <v>-0.999980409605328</v>
      </c>
      <c r="AJ146" s="17" t="e">
        <f aca="false">DEGREES(ASIN( SQRT( (F146*(F146+2*$U$8)) / (L146*(L146+2*$U$10)) ) * SIN(RADIANS(B146))  ))</f>
        <v>#VALUE!</v>
      </c>
      <c r="AK146" s="1" t="n">
        <f aca="false">IF(ISNUMBER(SQRT(AF146)),(-AC146-SQRT(AF146))/AD146,-100)</f>
        <v>-0.0580773044783426</v>
      </c>
      <c r="AL146" s="1" t="n">
        <f aca="false">(AK146*AB146-$V$15)/((1-$V$15*AK146*AB146)*$Z$15)</f>
        <v>-0.621962876649747</v>
      </c>
      <c r="AM146" s="1" t="n">
        <f aca="false">IF(ABS(AL146)&lt;=1,AL146,IF(ABS(AL146)&lt;=1.00001,1*SIGN(AL146),0))</f>
        <v>-0.621962876649747</v>
      </c>
      <c r="AN146" s="17" t="str">
        <f aca="false">IF(ISNUMBER(P146),DEGREES(ASIN( SQRT( (P146*(P146+2*$U$8)) / (S146*(S146+2*$U$10)) ) * SIN(RADIANS(B146)) ) ),"ignore")</f>
        <v>ignore</v>
      </c>
    </row>
    <row r="147" customFormat="false" ht="12.75" hidden="false" customHeight="false" outlineLevel="0" collapsed="false">
      <c r="B147" s="1" t="n">
        <v>117</v>
      </c>
      <c r="D147" s="27" t="str">
        <f aca="false">IF(ISNUMBER(F147),IF(ABS(AI147-1)&lt;0.000001,0,IF(ABS(AI147+1)&lt;0.000001,180,ROUND(DEGREES(ACOS(AI147)),3)))," ")</f>
        <v> </v>
      </c>
      <c r="F147" s="17" t="str">
        <f aca="false">IF(AG147&gt;0.0000001,$U$8*((1/SQRT(1-AG147*AG147))-1),"none")</f>
        <v>none</v>
      </c>
      <c r="H147" s="17" t="str">
        <f aca="false">IF(ISNUMBER(F147),$Z$15*(1+AC147/AG147)/(1+$V$15*$Z$15*AI147)/AG147," ")</f>
        <v> </v>
      </c>
      <c r="J147" s="27" t="str">
        <f aca="false">IF(ISNUMBER(F147),IF( AND( ( (F147*(F147+2*$U$8)*AB147*AB147) &gt; ($E$5*($E$5+2*$U$5)) ), ( B147&lt;90 ) ), 180-AJ147, AJ147)," ")</f>
        <v> </v>
      </c>
      <c r="L147" s="17" t="str">
        <f aca="false">IF(ISNUMBER(F147),$E$5+$O$10-F147," ")</f>
        <v> </v>
      </c>
      <c r="N147" s="1" t="str">
        <f aca="false">IF(ISNUMBER(P147),B147," ")</f>
        <v> </v>
      </c>
      <c r="O147" s="27" t="str">
        <f aca="false">IF(ISNUMBER(P147), IF( ABS(AM147-1)&lt;0.000001,0, IF(ABS(AM147+1)&lt;0.000001,180,ROUND(DEGREES(ACOS(AM147)),3)))," ")</f>
        <v> </v>
      </c>
      <c r="P147" s="17" t="str">
        <f aca="false">IF(AK147&gt;0.0000001,$U$8*((1/SQRT(1-AK147*AK147))-1),"none")</f>
        <v>none</v>
      </c>
      <c r="Q147" s="17" t="str">
        <f aca="false">IF(ISNUMBER(P147),ABS($Z$15*(1+AC147/AK147)/(1+$V$15*$Z$15*AM147)/AK147)," ")</f>
        <v> </v>
      </c>
      <c r="R147" s="27" t="str">
        <f aca="false">IF(ISNUMBER(P147),IF( AND( ( (P147*(P147+2*$U$8)*AB147*AB147) &gt; ($E$5*($E$5+2*$U$5)) ), ( B147&lt;90 ) ), 180-AN147, AN147)," ")</f>
        <v> </v>
      </c>
      <c r="S147" s="17" t="str">
        <f aca="false">IF(ISNUMBER(P147),$E$5+$O$10-P147," ")</f>
        <v> </v>
      </c>
      <c r="AB147" s="1" t="n">
        <f aca="false">COS(RADIANS(B147))</f>
        <v>-0.453990499739547</v>
      </c>
      <c r="AC147" s="1" t="n">
        <f aca="false">-$V$15*AB147</f>
        <v>0.0303393117776735</v>
      </c>
      <c r="AD147" s="1" t="n">
        <f aca="false">$AA$15+AC147*AC147</f>
        <v>1.00089344333515</v>
      </c>
      <c r="AF147" s="1" t="n">
        <f aca="false">AC147*AC147-AD147*$AE$15</f>
        <v>0.000893419184931241</v>
      </c>
      <c r="AG147" s="1" t="n">
        <f aca="false">IF(ISNUMBER(SQRT(AF147)),(-AC147+SQRT(AF147))/AD147,-100)</f>
        <v>-0.000448792290678702</v>
      </c>
      <c r="AH147" s="1" t="n">
        <f aca="false">(AG147*AB147-$V$15)/((1-$V$15*AG147*AB147)*$Z$15)</f>
        <v>-0.999982069133675</v>
      </c>
      <c r="AI147" s="1" t="n">
        <f aca="false">IF(ABS(AH147)&lt;=1,AH147,IF(ABS(AH147)&lt;=1.00001,1*SIGN(AH147),0))</f>
        <v>-0.999982069133675</v>
      </c>
      <c r="AJ147" s="17" t="e">
        <f aca="false">DEGREES(ASIN( SQRT( (F147*(F147+2*$U$8)) / (L147*(L147+2*$U$10)) ) * SIN(RADIANS(B147))  ))</f>
        <v>#VALUE!</v>
      </c>
      <c r="AK147" s="1" t="n">
        <f aca="false">IF(ISNUMBER(SQRT(AF147)),(-AC147-SQRT(AF147))/AD147,-100)</f>
        <v>-0.0601756667457947</v>
      </c>
      <c r="AL147" s="1" t="n">
        <f aca="false">(AK147*AB147-$V$15)/((1-$V$15*AK147*AB147)*$Z$15)</f>
        <v>-0.594075920620813</v>
      </c>
      <c r="AM147" s="1" t="n">
        <f aca="false">IF(ABS(AL147)&lt;=1,AL147,IF(ABS(AL147)&lt;=1.00001,1*SIGN(AL147),0))</f>
        <v>-0.594075920620813</v>
      </c>
      <c r="AN147" s="17" t="str">
        <f aca="false">IF(ISNUMBER(P147),DEGREES(ASIN( SQRT( (P147*(P147+2*$U$8)) / (S147*(S147+2*$U$10)) ) * SIN(RADIANS(B147)) ) ),"ignore")</f>
        <v>ignore</v>
      </c>
    </row>
    <row r="148" customFormat="false" ht="12.75" hidden="false" customHeight="false" outlineLevel="0" collapsed="false">
      <c r="B148" s="1" t="n">
        <v>118</v>
      </c>
      <c r="D148" s="27" t="str">
        <f aca="false">IF(ISNUMBER(F148),IF(ABS(AI148-1)&lt;0.000001,0,IF(ABS(AI148+1)&lt;0.000001,180,ROUND(DEGREES(ACOS(AI148)),3)))," ")</f>
        <v> </v>
      </c>
      <c r="F148" s="17" t="str">
        <f aca="false">IF(AG148&gt;0.0000001,$U$8*((1/SQRT(1-AG148*AG148))-1),"none")</f>
        <v>none</v>
      </c>
      <c r="H148" s="17" t="str">
        <f aca="false">IF(ISNUMBER(F148),$Z$15*(1+AC148/AG148)/(1+$V$15*$Z$15*AI148)/AG148," ")</f>
        <v> </v>
      </c>
      <c r="J148" s="27" t="str">
        <f aca="false">IF(ISNUMBER(F148),IF( AND( ( (F148*(F148+2*$U$8)*AB148*AB148) &gt; ($E$5*($E$5+2*$U$5)) ), ( B148&lt;90 ) ), 180-AJ148, AJ148)," ")</f>
        <v> </v>
      </c>
      <c r="L148" s="17" t="str">
        <f aca="false">IF(ISNUMBER(F148),$E$5+$O$10-F148," ")</f>
        <v> </v>
      </c>
      <c r="N148" s="1" t="str">
        <f aca="false">IF(ISNUMBER(P148),B148," ")</f>
        <v> </v>
      </c>
      <c r="O148" s="27" t="str">
        <f aca="false">IF(ISNUMBER(P148), IF( ABS(AM148-1)&lt;0.000001,0, IF(ABS(AM148+1)&lt;0.000001,180,ROUND(DEGREES(ACOS(AM148)),3)))," ")</f>
        <v> </v>
      </c>
      <c r="P148" s="17" t="str">
        <f aca="false">IF(AK148&gt;0.0000001,$U$8*((1/SQRT(1-AK148*AK148))-1),"none")</f>
        <v>none</v>
      </c>
      <c r="Q148" s="17" t="str">
        <f aca="false">IF(ISNUMBER(P148),ABS($Z$15*(1+AC148/AK148)/(1+$V$15*$Z$15*AM148)/AK148)," ")</f>
        <v> </v>
      </c>
      <c r="R148" s="27" t="str">
        <f aca="false">IF(ISNUMBER(P148),IF( AND( ( (P148*(P148+2*$U$8)*AB148*AB148) &gt; ($E$5*($E$5+2*$U$5)) ), ( B148&lt;90 ) ), 180-AN148, AN148)," ")</f>
        <v> </v>
      </c>
      <c r="S148" s="17" t="str">
        <f aca="false">IF(ISNUMBER(P148),$E$5+$O$10-P148," ")</f>
        <v> </v>
      </c>
      <c r="AB148" s="1" t="n">
        <f aca="false">COS(RADIANS(B148))</f>
        <v>-0.469471562785891</v>
      </c>
      <c r="AC148" s="1" t="n">
        <f aca="false">-$V$15*AB148</f>
        <v>0.0313738814408764</v>
      </c>
      <c r="AD148" s="1" t="n">
        <f aca="false">$AA$15+AC148*AC148</f>
        <v>1.00095728993268</v>
      </c>
      <c r="AF148" s="1" t="n">
        <f aca="false">AC148*AC148-AD148*$AE$15</f>
        <v>0.000957264056648821</v>
      </c>
      <c r="AG148" s="1" t="n">
        <f aca="false">IF(ISNUMBER(SQRT(AF148)),(-AC148+SQRT(AF148))/AD148,-100)</f>
        <v>-0.00043378201395229</v>
      </c>
      <c r="AH148" s="1" t="n">
        <f aca="false">(AG148*AB148-$V$15)/((1-$V$15*AG148*AB148)*$Z$15)</f>
        <v>-0.999983550172934</v>
      </c>
      <c r="AI148" s="1" t="n">
        <f aca="false">IF(ABS(AH148)&lt;=1,AH148,IF(ABS(AH148)&lt;=1.00001,1*SIGN(AH148),0))</f>
        <v>-0.999983550172934</v>
      </c>
      <c r="AJ148" s="17" t="e">
        <f aca="false">DEGREES(ASIN( SQRT( (F148*(F148+2*$U$8)) / (L148*(L148+2*$U$10)) ) * SIN(RADIANS(B148))  ))</f>
        <v>#VALUE!</v>
      </c>
      <c r="AK148" s="1" t="n">
        <f aca="false">IF(ISNUMBER(SQRT(AF148)),(-AC148-SQRT(AF148))/AD148,-100)</f>
        <v>-0.0622539705134038</v>
      </c>
      <c r="AL148" s="1" t="n">
        <f aca="false">(AK148*AB148-$V$15)/((1-$V$15*AK148*AB148)*$Z$15)</f>
        <v>-0.565469174146597</v>
      </c>
      <c r="AM148" s="1" t="n">
        <f aca="false">IF(ABS(AL148)&lt;=1,AL148,IF(ABS(AL148)&lt;=1.00001,1*SIGN(AL148),0))</f>
        <v>-0.565469174146597</v>
      </c>
      <c r="AN148" s="17" t="str">
        <f aca="false">IF(ISNUMBER(P148),DEGREES(ASIN( SQRT( (P148*(P148+2*$U$8)) / (S148*(S148+2*$U$10)) ) * SIN(RADIANS(B148)) ) ),"ignore")</f>
        <v>ignore</v>
      </c>
    </row>
    <row r="149" customFormat="false" ht="12.75" hidden="false" customHeight="false" outlineLevel="0" collapsed="false">
      <c r="B149" s="1" t="n">
        <v>119</v>
      </c>
      <c r="D149" s="27" t="str">
        <f aca="false">IF(ISNUMBER(F149),IF(ABS(AI149-1)&lt;0.000001,0,IF(ABS(AI149+1)&lt;0.000001,180,ROUND(DEGREES(ACOS(AI149)),3)))," ")</f>
        <v> </v>
      </c>
      <c r="F149" s="17" t="str">
        <f aca="false">IF(AG149&gt;0.0000001,$U$8*((1/SQRT(1-AG149*AG149))-1),"none")</f>
        <v>none</v>
      </c>
      <c r="H149" s="17" t="str">
        <f aca="false">IF(ISNUMBER(F149),$Z$15*(1+AC149/AG149)/(1+$V$15*$Z$15*AI149)/AG149," ")</f>
        <v> </v>
      </c>
      <c r="J149" s="27" t="str">
        <f aca="false">IF(ISNUMBER(F149),IF( AND( ( (F149*(F149+2*$U$8)*AB149*AB149) &gt; ($E$5*($E$5+2*$U$5)) ), ( B149&lt;90 ) ), 180-AJ149, AJ149)," ")</f>
        <v> </v>
      </c>
      <c r="L149" s="17" t="str">
        <f aca="false">IF(ISNUMBER(F149),$E$5+$O$10-F149," ")</f>
        <v> </v>
      </c>
      <c r="N149" s="1" t="str">
        <f aca="false">IF(ISNUMBER(P149),B149," ")</f>
        <v> </v>
      </c>
      <c r="O149" s="27" t="str">
        <f aca="false">IF(ISNUMBER(P149), IF( ABS(AM149-1)&lt;0.000001,0, IF(ABS(AM149+1)&lt;0.000001,180,ROUND(DEGREES(ACOS(AM149)),3)))," ")</f>
        <v> </v>
      </c>
      <c r="P149" s="17" t="str">
        <f aca="false">IF(AK149&gt;0.0000001,$U$8*((1/SQRT(1-AK149*AK149))-1),"none")</f>
        <v>none</v>
      </c>
      <c r="Q149" s="17" t="str">
        <f aca="false">IF(ISNUMBER(P149),ABS($Z$15*(1+AC149/AK149)/(1+$V$15*$Z$15*AM149)/AK149)," ")</f>
        <v> </v>
      </c>
      <c r="R149" s="27" t="str">
        <f aca="false">IF(ISNUMBER(P149),IF( AND( ( (P149*(P149+2*$U$8)*AB149*AB149) &gt; ($E$5*($E$5+2*$U$5)) ), ( B149&lt;90 ) ), 180-AN149, AN149)," ")</f>
        <v> </v>
      </c>
      <c r="S149" s="17" t="str">
        <f aca="false">IF(ISNUMBER(P149),$E$5+$O$10-P149," ")</f>
        <v> </v>
      </c>
      <c r="AB149" s="1" t="n">
        <f aca="false">COS(RADIANS(B149))</f>
        <v>-0.484809620246337</v>
      </c>
      <c r="AC149" s="1" t="n">
        <f aca="false">-$V$15*AB149</f>
        <v>0.0323988943158667</v>
      </c>
      <c r="AD149" s="1" t="n">
        <f aca="false">$AA$15+AC149*AC149</f>
        <v>1.0010226578489</v>
      </c>
      <c r="AF149" s="1" t="n">
        <f aca="false">AC149*AC149-AD149*$AE$15</f>
        <v>0.00102263020594564</v>
      </c>
      <c r="AG149" s="1" t="n">
        <f aca="false">IF(ISNUMBER(SQRT(AF149)),(-AC149+SQRT(AF149))/AD149,-100)</f>
        <v>-0.000419875121821487</v>
      </c>
      <c r="AH149" s="1" t="n">
        <f aca="false">(AG149*AB149-$V$15)/((1-$V$15*AG149*AB149)*$Z$15)</f>
        <v>-0.999984877384464</v>
      </c>
      <c r="AI149" s="1" t="n">
        <f aca="false">IF(ABS(AH149)&lt;=1,AH149,IF(ABS(AH149)&lt;=1.00001,1*SIGN(AH149),0))</f>
        <v>-0.999984877384464</v>
      </c>
      <c r="AJ149" s="17" t="e">
        <f aca="false">DEGREES(ASIN( SQRT( (F149*(F149+2*$U$8)) / (L149*(L149+2*$U$10)) ) * SIN(RADIANS(B149))  ))</f>
        <v>#VALUE!</v>
      </c>
      <c r="AK149" s="1" t="n">
        <f aca="false">IF(ISNUMBER(SQRT(AF149)),(-AC149-SQRT(AF149))/AD149,-100)</f>
        <v>-0.0643117152409555</v>
      </c>
      <c r="AL149" s="1" t="n">
        <f aca="false">(AK149*AB149-$V$15)/((1-$V$15*AK149*AB149)*$Z$15)</f>
        <v>-0.536177195046542</v>
      </c>
      <c r="AM149" s="1" t="n">
        <f aca="false">IF(ABS(AL149)&lt;=1,AL149,IF(ABS(AL149)&lt;=1.00001,1*SIGN(AL149),0))</f>
        <v>-0.536177195046542</v>
      </c>
      <c r="AN149" s="17" t="str">
        <f aca="false">IF(ISNUMBER(P149),DEGREES(ASIN( SQRT( (P149*(P149+2*$U$8)) / (S149*(S149+2*$U$10)) ) * SIN(RADIANS(B149)) ) ),"ignore")</f>
        <v>ignore</v>
      </c>
    </row>
    <row r="150" customFormat="false" ht="12.75" hidden="false" customHeight="false" outlineLevel="0" collapsed="false">
      <c r="B150" s="1" t="n">
        <v>120</v>
      </c>
      <c r="D150" s="27" t="str">
        <f aca="false">IF(ISNUMBER(F150),IF(ABS(AI150-1)&lt;0.000001,0,IF(ABS(AI150+1)&lt;0.000001,180,ROUND(DEGREES(ACOS(AI150)),3)))," ")</f>
        <v> </v>
      </c>
      <c r="F150" s="17" t="str">
        <f aca="false">IF(AG150&gt;0.0000001,$U$8*((1/SQRT(1-AG150*AG150))-1),"none")</f>
        <v>none</v>
      </c>
      <c r="H150" s="17" t="str">
        <f aca="false">IF(ISNUMBER(F150),$Z$15*(1+AC150/AG150)/(1+$V$15*$Z$15*AI150)/AG150," ")</f>
        <v> </v>
      </c>
      <c r="J150" s="27" t="str">
        <f aca="false">IF(ISNUMBER(F150),IF( AND( ( (F150*(F150+2*$U$8)*AB150*AB150) &gt; ($E$5*($E$5+2*$U$5)) ), ( B150&lt;90 ) ), 180-AJ150, AJ150)," ")</f>
        <v> </v>
      </c>
      <c r="L150" s="17" t="str">
        <f aca="false">IF(ISNUMBER(F150),$E$5+$O$10-F150," ")</f>
        <v> </v>
      </c>
      <c r="N150" s="1" t="str">
        <f aca="false">IF(ISNUMBER(P150),B150," ")</f>
        <v> </v>
      </c>
      <c r="O150" s="27" t="str">
        <f aca="false">IF(ISNUMBER(P150), IF( ABS(AM150-1)&lt;0.000001,0, IF(ABS(AM150+1)&lt;0.000001,180,ROUND(DEGREES(ACOS(AM150)),3)))," ")</f>
        <v> </v>
      </c>
      <c r="P150" s="17" t="str">
        <f aca="false">IF(AK150&gt;0.0000001,$U$8*((1/SQRT(1-AK150*AK150))-1),"none")</f>
        <v>none</v>
      </c>
      <c r="Q150" s="17" t="str">
        <f aca="false">IF(ISNUMBER(P150),ABS($Z$15*(1+AC150/AK150)/(1+$V$15*$Z$15*AM150)/AK150)," ")</f>
        <v> </v>
      </c>
      <c r="R150" s="27" t="str">
        <f aca="false">IF(ISNUMBER(P150),IF( AND( ( (P150*(P150+2*$U$8)*AB150*AB150) &gt; ($E$5*($E$5+2*$U$5)) ), ( B150&lt;90 ) ), 180-AN150, AN150)," ")</f>
        <v> </v>
      </c>
      <c r="S150" s="17" t="str">
        <f aca="false">IF(ISNUMBER(P150),$E$5+$O$10-P150," ")</f>
        <v> </v>
      </c>
      <c r="AB150" s="1" t="n">
        <f aca="false">COS(RADIANS(B150))</f>
        <v>-0.5</v>
      </c>
      <c r="AC150" s="1" t="n">
        <f aca="false">-$V$15*AB150</f>
        <v>0.0334140381737933</v>
      </c>
      <c r="AD150" s="1" t="n">
        <f aca="false">$AA$15+AC150*AC150</f>
        <v>1.00108946744309</v>
      </c>
      <c r="AF150" s="1" t="n">
        <f aca="false">AC150*AC150-AD150*$AE$15</f>
        <v>0.00108943799423765</v>
      </c>
      <c r="AG150" s="1" t="n">
        <f aca="false">IF(ISNUMBER(SQRT(AF150)),(-AC150+SQRT(AF150))/AD150,-100)</f>
        <v>-0.000406959195811831</v>
      </c>
      <c r="AH150" s="1" t="n">
        <f aca="false">(AG150*AB150-$V$15)/((1-$V$15*AG150*AB150)*$Z$15)</f>
        <v>-0.999986071291797</v>
      </c>
      <c r="AI150" s="1" t="n">
        <f aca="false">IF(ABS(AH150)&lt;=1,AH150,IF(ABS(AH150)&lt;=1.00001,1*SIGN(AH150),0))</f>
        <v>-0.999986071291797</v>
      </c>
      <c r="AJ150" s="17" t="e">
        <f aca="false">DEGREES(ASIN( SQRT( (F150*(F150+2*$U$8)) / (L150*(L150+2*$U$10)) ) * SIN(RADIANS(B150))  ))</f>
        <v>#VALUE!</v>
      </c>
      <c r="AK150" s="1" t="n">
        <f aca="false">IF(ISNUMBER(SQRT(AF150)),(-AC150-SQRT(AF150))/AD150,-100)</f>
        <v>-0.066348389372857</v>
      </c>
      <c r="AL150" s="1" t="n">
        <f aca="false">(AK150*AB150-$V$15)/((1-$V$15*AK150*AB150)*$Z$15)</f>
        <v>-0.506235387668967</v>
      </c>
      <c r="AM150" s="1" t="n">
        <f aca="false">IF(ABS(AL150)&lt;=1,AL150,IF(ABS(AL150)&lt;=1.00001,1*SIGN(AL150),0))</f>
        <v>-0.506235387668967</v>
      </c>
      <c r="AN150" s="17" t="str">
        <f aca="false">IF(ISNUMBER(P150),DEGREES(ASIN( SQRT( (P150*(P150+2*$U$8)) / (S150*(S150+2*$U$10)) ) * SIN(RADIANS(B150)) ) ),"ignore")</f>
        <v>ignore</v>
      </c>
    </row>
    <row r="151" customFormat="false" ht="12.75" hidden="false" customHeight="false" outlineLevel="0" collapsed="false">
      <c r="B151" s="1" t="n">
        <v>121</v>
      </c>
      <c r="D151" s="27" t="str">
        <f aca="false">IF(ISNUMBER(F151),IF(ABS(AI151-1)&lt;0.000001,0,IF(ABS(AI151+1)&lt;0.000001,180,ROUND(DEGREES(ACOS(AI151)),3)))," ")</f>
        <v> </v>
      </c>
      <c r="F151" s="17" t="str">
        <f aca="false">IF(AG151&gt;0.0000001,$U$8*((1/SQRT(1-AG151*AG151))-1),"none")</f>
        <v>none</v>
      </c>
      <c r="H151" s="17" t="str">
        <f aca="false">IF(ISNUMBER(F151),$Z$15*(1+AC151/AG151)/(1+$V$15*$Z$15*AI151)/AG151," ")</f>
        <v> </v>
      </c>
      <c r="J151" s="27" t="str">
        <f aca="false">IF(ISNUMBER(F151),IF( AND( ( (F151*(F151+2*$U$8)*AB151*AB151) &gt; ($E$5*($E$5+2*$U$5)) ), ( B151&lt;90 ) ), 180-AJ151, AJ151)," ")</f>
        <v> </v>
      </c>
      <c r="L151" s="17" t="str">
        <f aca="false">IF(ISNUMBER(F151),$E$5+$O$10-F151," ")</f>
        <v> </v>
      </c>
      <c r="N151" s="1" t="str">
        <f aca="false">IF(ISNUMBER(P151),B151," ")</f>
        <v> </v>
      </c>
      <c r="O151" s="27" t="str">
        <f aca="false">IF(ISNUMBER(P151), IF( ABS(AM151-1)&lt;0.000001,0, IF(ABS(AM151+1)&lt;0.000001,180,ROUND(DEGREES(ACOS(AM151)),3)))," ")</f>
        <v> </v>
      </c>
      <c r="P151" s="17" t="str">
        <f aca="false">IF(AK151&gt;0.0000001,$U$8*((1/SQRT(1-AK151*AK151))-1),"none")</f>
        <v>none</v>
      </c>
      <c r="Q151" s="17" t="str">
        <f aca="false">IF(ISNUMBER(P151),ABS($Z$15*(1+AC151/AK151)/(1+$V$15*$Z$15*AM151)/AK151)," ")</f>
        <v> </v>
      </c>
      <c r="R151" s="27" t="str">
        <f aca="false">IF(ISNUMBER(P151),IF( AND( ( (P151*(P151+2*$U$8)*AB151*AB151) &gt; ($E$5*($E$5+2*$U$5)) ), ( B151&lt;90 ) ), 180-AN151, AN151)," ")</f>
        <v> </v>
      </c>
      <c r="S151" s="17" t="str">
        <f aca="false">IF(ISNUMBER(P151),$E$5+$O$10-P151," ")</f>
        <v> </v>
      </c>
      <c r="AB151" s="1" t="n">
        <f aca="false">COS(RADIANS(B151))</f>
        <v>-0.515038074910054</v>
      </c>
      <c r="AC151" s="1" t="n">
        <f aca="false">-$V$15*AB151</f>
        <v>0.0344190037920032</v>
      </c>
      <c r="AD151" s="1" t="n">
        <f aca="false">$AA$15+AC151*AC151</f>
        <v>1.00115763731805</v>
      </c>
      <c r="AF151" s="1" t="n">
        <f aca="false">AC151*AC151-AD151*$AE$15</f>
        <v>0.00115760602652578</v>
      </c>
      <c r="AG151" s="1" t="n">
        <f aca="false">IF(ISNUMBER(SQRT(AF151)),(-AC151+SQRT(AF151))/AD151,-100)</f>
        <v>-0.000394936758748665</v>
      </c>
      <c r="AH151" s="1" t="n">
        <f aca="false">(AG151*AB151-$V$15)/((1-$V$15*AG151*AB151)*$Z$15)</f>
        <v>-0.999987149089132</v>
      </c>
      <c r="AI151" s="1" t="n">
        <f aca="false">IF(ABS(AH151)&lt;=1,AH151,IF(ABS(AH151)&lt;=1.00001,1*SIGN(AH151),0))</f>
        <v>-0.999987149089132</v>
      </c>
      <c r="AJ151" s="17" t="e">
        <f aca="false">DEGREES(ASIN( SQRT( (F151*(F151+2*$U$8)) / (L151*(L151+2*$U$10)) ) * SIN(RADIANS(B151))  ))</f>
        <v>#VALUE!</v>
      </c>
      <c r="AK151" s="1" t="n">
        <f aca="false">IF(ISNUMBER(SQRT(AF151)),(-AC151-SQRT(AF151))/AD151,-100)</f>
        <v>-0.0683634735235853</v>
      </c>
      <c r="AL151" s="1" t="n">
        <f aca="false">(AK151*AB151-$V$15)/((1-$V$15*AK151*AB151)*$Z$15)</f>
        <v>-0.475679960194475</v>
      </c>
      <c r="AM151" s="1" t="n">
        <f aca="false">IF(ABS(AL151)&lt;=1,AL151,IF(ABS(AL151)&lt;=1.00001,1*SIGN(AL151),0))</f>
        <v>-0.475679960194475</v>
      </c>
      <c r="AN151" s="17" t="str">
        <f aca="false">IF(ISNUMBER(P151),DEGREES(ASIN( SQRT( (P151*(P151+2*$U$8)) / (S151*(S151+2*$U$10)) ) * SIN(RADIANS(B151)) ) ),"ignore")</f>
        <v>ignore</v>
      </c>
    </row>
    <row r="152" customFormat="false" ht="12.75" hidden="false" customHeight="false" outlineLevel="0" collapsed="false">
      <c r="B152" s="1" t="n">
        <v>122</v>
      </c>
      <c r="D152" s="27" t="str">
        <f aca="false">IF(ISNUMBER(F152),IF(ABS(AI152-1)&lt;0.000001,0,IF(ABS(AI152+1)&lt;0.000001,180,ROUND(DEGREES(ACOS(AI152)),3)))," ")</f>
        <v> </v>
      </c>
      <c r="F152" s="17" t="str">
        <f aca="false">IF(AG152&gt;0.0000001,$U$8*((1/SQRT(1-AG152*AG152))-1),"none")</f>
        <v>none</v>
      </c>
      <c r="H152" s="17" t="str">
        <f aca="false">IF(ISNUMBER(F152),$Z$15*(1+AC152/AG152)/(1+$V$15*$Z$15*AI152)/AG152," ")</f>
        <v> </v>
      </c>
      <c r="J152" s="27" t="str">
        <f aca="false">IF(ISNUMBER(F152),IF( AND( ( (F152*(F152+2*$U$8)*AB152*AB152) &gt; ($E$5*($E$5+2*$U$5)) ), ( B152&lt;90 ) ), 180-AJ152, AJ152)," ")</f>
        <v> </v>
      </c>
      <c r="L152" s="17" t="str">
        <f aca="false">IF(ISNUMBER(F152),$E$5+$O$10-F152," ")</f>
        <v> </v>
      </c>
      <c r="N152" s="1" t="str">
        <f aca="false">IF(ISNUMBER(P152),B152," ")</f>
        <v> </v>
      </c>
      <c r="O152" s="27" t="str">
        <f aca="false">IF(ISNUMBER(P152), IF( ABS(AM152-1)&lt;0.000001,0, IF(ABS(AM152+1)&lt;0.000001,180,ROUND(DEGREES(ACOS(AM152)),3)))," ")</f>
        <v> </v>
      </c>
      <c r="P152" s="17" t="str">
        <f aca="false">IF(AK152&gt;0.0000001,$U$8*((1/SQRT(1-AK152*AK152))-1),"none")</f>
        <v>none</v>
      </c>
      <c r="Q152" s="17" t="str">
        <f aca="false">IF(ISNUMBER(P152),ABS($Z$15*(1+AC152/AK152)/(1+$V$15*$Z$15*AM152)/AK152)," ")</f>
        <v> </v>
      </c>
      <c r="R152" s="27" t="str">
        <f aca="false">IF(ISNUMBER(P152),IF( AND( ( (P152*(P152+2*$U$8)*AB152*AB152) &gt; ($E$5*($E$5+2*$U$5)) ), ( B152&lt;90 ) ), 180-AN152, AN152)," ")</f>
        <v> </v>
      </c>
      <c r="S152" s="17" t="str">
        <f aca="false">IF(ISNUMBER(P152),$E$5+$O$10-P152," ")</f>
        <v> </v>
      </c>
      <c r="AB152" s="1" t="n">
        <f aca="false">COS(RADIANS(B152))</f>
        <v>-0.529919264233205</v>
      </c>
      <c r="AC152" s="1" t="n">
        <f aca="false">-$V$15*AB152</f>
        <v>0.0354134850482336</v>
      </c>
      <c r="AD152" s="1" t="n">
        <f aca="false">$AA$15+AC152*AC152</f>
        <v>1.00122708441927</v>
      </c>
      <c r="AF152" s="1" t="n">
        <f aca="false">AC152*AC152-AD152*$AE$15</f>
        <v>0.00122705125056317</v>
      </c>
      <c r="AG152" s="1" t="n">
        <f aca="false">IF(ISNUMBER(SQRT(AF152)),(-AC152+SQRT(AF152))/AD152,-100)</f>
        <v>-0.00038372286529007</v>
      </c>
      <c r="AH152" s="1" t="n">
        <f aca="false">(AG152*AB152-$V$15)/((1-$V$15*AG152*AB152)*$Z$15)</f>
        <v>-0.999988125270797</v>
      </c>
      <c r="AI152" s="1" t="n">
        <f aca="false">IF(ABS(AH152)&lt;=1,AH152,IF(ABS(AH152)&lt;=1.00001,1*SIGN(AH152),0))</f>
        <v>-0.999988125270797</v>
      </c>
      <c r="AJ152" s="17" t="e">
        <f aca="false">DEGREES(ASIN( SQRT( (F152*(F152+2*$U$8)) / (L152*(L152+2*$U$10)) ) * SIN(RADIANS(B152))  ))</f>
        <v>#VALUE!</v>
      </c>
      <c r="AK152" s="1" t="n">
        <f aca="false">IF(ISNUMBER(SQRT(AF152)),(-AC152-SQRT(AF152))/AD152,-100)</f>
        <v>-0.070356443075734</v>
      </c>
      <c r="AL152" s="1" t="n">
        <f aca="false">(AK152*AB152-$V$15)/((1-$V$15*AK152*AB152)*$Z$15)</f>
        <v>-0.444547881101894</v>
      </c>
      <c r="AM152" s="1" t="n">
        <f aca="false">IF(ABS(AL152)&lt;=1,AL152,IF(ABS(AL152)&lt;=1.00001,1*SIGN(AL152),0))</f>
        <v>-0.444547881101894</v>
      </c>
      <c r="AN152" s="17" t="str">
        <f aca="false">IF(ISNUMBER(P152),DEGREES(ASIN( SQRT( (P152*(P152+2*$U$8)) / (S152*(S152+2*$U$10)) ) * SIN(RADIANS(B152)) ) ),"ignore")</f>
        <v>ignore</v>
      </c>
    </row>
    <row r="153" customFormat="false" ht="12.75" hidden="false" customHeight="false" outlineLevel="0" collapsed="false">
      <c r="B153" s="1" t="n">
        <v>123</v>
      </c>
      <c r="D153" s="27" t="str">
        <f aca="false">IF(ISNUMBER(F153),IF(ABS(AI153-1)&lt;0.000001,0,IF(ABS(AI153+1)&lt;0.000001,180,ROUND(DEGREES(ACOS(AI153)),3)))," ")</f>
        <v> </v>
      </c>
      <c r="F153" s="17" t="str">
        <f aca="false">IF(AG153&gt;0.0000001,$U$8*((1/SQRT(1-AG153*AG153))-1),"none")</f>
        <v>none</v>
      </c>
      <c r="H153" s="17" t="str">
        <f aca="false">IF(ISNUMBER(F153),$Z$15*(1+AC153/AG153)/(1+$V$15*$Z$15*AI153)/AG153," ")</f>
        <v> </v>
      </c>
      <c r="J153" s="27" t="str">
        <f aca="false">IF(ISNUMBER(F153),IF( AND( ( (F153*(F153+2*$U$8)*AB153*AB153) &gt; ($E$5*($E$5+2*$U$5)) ), ( B153&lt;90 ) ), 180-AJ153, AJ153)," ")</f>
        <v> </v>
      </c>
      <c r="L153" s="17" t="str">
        <f aca="false">IF(ISNUMBER(F153),$E$5+$O$10-F153," ")</f>
        <v> </v>
      </c>
      <c r="N153" s="1" t="str">
        <f aca="false">IF(ISNUMBER(P153),B153," ")</f>
        <v> </v>
      </c>
      <c r="O153" s="27" t="str">
        <f aca="false">IF(ISNUMBER(P153), IF( ABS(AM153-1)&lt;0.000001,0, IF(ABS(AM153+1)&lt;0.000001,180,ROUND(DEGREES(ACOS(AM153)),3)))," ")</f>
        <v> </v>
      </c>
      <c r="P153" s="17" t="str">
        <f aca="false">IF(AK153&gt;0.0000001,$U$8*((1/SQRT(1-AK153*AK153))-1),"none")</f>
        <v>none</v>
      </c>
      <c r="Q153" s="17" t="str">
        <f aca="false">IF(ISNUMBER(P153),ABS($Z$15*(1+AC153/AK153)/(1+$V$15*$Z$15*AM153)/AK153)," ")</f>
        <v> </v>
      </c>
      <c r="R153" s="27" t="str">
        <f aca="false">IF(ISNUMBER(P153),IF( AND( ( (P153*(P153+2*$U$8)*AB153*AB153) &gt; ($E$5*($E$5+2*$U$5)) ), ( B153&lt;90 ) ), 180-AN153, AN153)," ")</f>
        <v> </v>
      </c>
      <c r="S153" s="17" t="str">
        <f aca="false">IF(ISNUMBER(P153),$E$5+$O$10-P153," ")</f>
        <v> </v>
      </c>
      <c r="AB153" s="1" t="n">
        <f aca="false">COS(RADIANS(B153))</f>
        <v>-0.544639035015027</v>
      </c>
      <c r="AC153" s="1" t="n">
        <f aca="false">-$V$15*AB153</f>
        <v>0.0363971790138602</v>
      </c>
      <c r="AD153" s="1" t="n">
        <f aca="false">$AA$15+AC153*AC153</f>
        <v>1.00129772413618</v>
      </c>
      <c r="AF153" s="1" t="n">
        <f aca="false">AC153*AC153-AD153*$AE$15</f>
        <v>0.00129768905804154</v>
      </c>
      <c r="AG153" s="1" t="n">
        <f aca="false">IF(ISNUMBER(SQRT(AF153)),(-AC153+SQRT(AF153))/AD153,-100)</f>
        <v>-0.000373243146267175</v>
      </c>
      <c r="AH153" s="1" t="n">
        <f aca="false">(AG153*AB153-$V$15)/((1-$V$15*AG153*AB153)*$Z$15)</f>
        <v>-0.999989012125713</v>
      </c>
      <c r="AI153" s="1" t="n">
        <f aca="false">IF(ABS(AH153)&lt;=1,AH153,IF(ABS(AH153)&lt;=1.00001,1*SIGN(AH153),0))</f>
        <v>-0.999989012125713</v>
      </c>
      <c r="AJ153" s="17" t="e">
        <f aca="false">DEGREES(ASIN( SQRT( (F153*(F153+2*$U$8)) / (L153*(L153+2*$U$10)) ) * SIN(RADIANS(B153))  ))</f>
        <v>#VALUE!</v>
      </c>
      <c r="AK153" s="1" t="n">
        <f aca="false">IF(ISNUMBER(SQRT(AF153)),(-AC153-SQRT(AF153))/AD153,-100)</f>
        <v>-0.0723267703192784</v>
      </c>
      <c r="AL153" s="1" t="n">
        <f aca="false">(AK153*AB153-$V$15)/((1-$V$15*AK153*AB153)*$Z$15)</f>
        <v>-0.412876834798989</v>
      </c>
      <c r="AM153" s="1" t="n">
        <f aca="false">IF(ABS(AL153)&lt;=1,AL153,IF(ABS(AL153)&lt;=1.00001,1*SIGN(AL153),0))</f>
        <v>-0.412876834798989</v>
      </c>
      <c r="AN153" s="17" t="str">
        <f aca="false">IF(ISNUMBER(P153),DEGREES(ASIN( SQRT( (P153*(P153+2*$U$8)) / (S153*(S153+2*$U$10)) ) * SIN(RADIANS(B153)) ) ),"ignore")</f>
        <v>ignore</v>
      </c>
    </row>
    <row r="154" customFormat="false" ht="12.75" hidden="false" customHeight="false" outlineLevel="0" collapsed="false">
      <c r="B154" s="1" t="n">
        <v>124</v>
      </c>
      <c r="D154" s="27" t="str">
        <f aca="false">IF(ISNUMBER(F154),IF(ABS(AI154-1)&lt;0.000001,0,IF(ABS(AI154+1)&lt;0.000001,180,ROUND(DEGREES(ACOS(AI154)),3)))," ")</f>
        <v> </v>
      </c>
      <c r="F154" s="17" t="str">
        <f aca="false">IF(AG154&gt;0.0000001,$U$8*((1/SQRT(1-AG154*AG154))-1),"none")</f>
        <v>none</v>
      </c>
      <c r="H154" s="17" t="str">
        <f aca="false">IF(ISNUMBER(F154),$Z$15*(1+AC154/AG154)/(1+$V$15*$Z$15*AI154)/AG154," ")</f>
        <v> </v>
      </c>
      <c r="J154" s="27" t="str">
        <f aca="false">IF(ISNUMBER(F154),IF( AND( ( (F154*(F154+2*$U$8)*AB154*AB154) &gt; ($E$5*($E$5+2*$U$5)) ), ( B154&lt;90 ) ), 180-AJ154, AJ154)," ")</f>
        <v> </v>
      </c>
      <c r="L154" s="17" t="str">
        <f aca="false">IF(ISNUMBER(F154),$E$5+$O$10-F154," ")</f>
        <v> </v>
      </c>
      <c r="N154" s="1" t="str">
        <f aca="false">IF(ISNUMBER(P154),B154," ")</f>
        <v> </v>
      </c>
      <c r="O154" s="27" t="str">
        <f aca="false">IF(ISNUMBER(P154), IF( ABS(AM154-1)&lt;0.000001,0, IF(ABS(AM154+1)&lt;0.000001,180,ROUND(DEGREES(ACOS(AM154)),3)))," ")</f>
        <v> </v>
      </c>
      <c r="P154" s="17" t="str">
        <f aca="false">IF(AK154&gt;0.0000001,$U$8*((1/SQRT(1-AK154*AK154))-1),"none")</f>
        <v>none</v>
      </c>
      <c r="Q154" s="17" t="str">
        <f aca="false">IF(ISNUMBER(P154),ABS($Z$15*(1+AC154/AK154)/(1+$V$15*$Z$15*AM154)/AK154)," ")</f>
        <v> </v>
      </c>
      <c r="R154" s="27" t="str">
        <f aca="false">IF(ISNUMBER(P154),IF( AND( ( (P154*(P154+2*$U$8)*AB154*AB154) &gt; ($E$5*($E$5+2*$U$5)) ), ( B154&lt;90 ) ), 180-AN154, AN154)," ")</f>
        <v> </v>
      </c>
      <c r="S154" s="17" t="str">
        <f aca="false">IF(ISNUMBER(P154),$E$5+$O$10-P154," ")</f>
        <v> </v>
      </c>
      <c r="AB154" s="1" t="n">
        <f aca="false">COS(RADIANS(B154))</f>
        <v>-0.559192903470747</v>
      </c>
      <c r="AC154" s="1" t="n">
        <f aca="false">-$V$15*AB154</f>
        <v>0.0373697860461717</v>
      </c>
      <c r="AD154" s="1" t="n">
        <f aca="false">$AA$15+AC154*AC154</f>
        <v>1.00136947040515</v>
      </c>
      <c r="AF154" s="1" t="n">
        <f aca="false">AC154*AC154-AD154*$AE$15</f>
        <v>0.0013694333876734</v>
      </c>
      <c r="AG154" s="1" t="n">
        <f aca="false">IF(ISNUMBER(SQRT(AF154)),(-AC154+SQRT(AF154))/AD154,-100)</f>
        <v>-0.000363432209770476</v>
      </c>
      <c r="AH154" s="1" t="n">
        <f aca="false">(AG154*AB154-$V$15)/((1-$V$15*AG154*AB154)*$Z$15)</f>
        <v>-0.999989820129062</v>
      </c>
      <c r="AI154" s="1" t="n">
        <f aca="false">IF(ABS(AH154)&lt;=1,AH154,IF(ABS(AH154)&lt;=1.00001,1*SIGN(AH154),0))</f>
        <v>-0.999989820129062</v>
      </c>
      <c r="AJ154" s="17" t="e">
        <f aca="false">DEGREES(ASIN( SQRT( (F154*(F154+2*$U$8)) / (L154*(L154+2*$U$10)) ) * SIN(RADIANS(B154))  ))</f>
        <v>#VALUE!</v>
      </c>
      <c r="AK154" s="1" t="n">
        <f aca="false">IF(ISNUMBER(SQRT(AF154)),(-AC154-SQRT(AF154))/AD154,-100)</f>
        <v>-0.0742739262290725</v>
      </c>
      <c r="AL154" s="1" t="n">
        <f aca="false">(AK154*AB154-$V$15)/((1-$V$15*AK154*AB154)*$Z$15)</f>
        <v>-0.380705176433441</v>
      </c>
      <c r="AM154" s="1" t="n">
        <f aca="false">IF(ABS(AL154)&lt;=1,AL154,IF(ABS(AL154)&lt;=1.00001,1*SIGN(AL154),0))</f>
        <v>-0.380705176433441</v>
      </c>
      <c r="AN154" s="17" t="str">
        <f aca="false">IF(ISNUMBER(P154),DEGREES(ASIN( SQRT( (P154*(P154+2*$U$8)) / (S154*(S154+2*$U$10)) ) * SIN(RADIANS(B154)) ) ),"ignore")</f>
        <v>ignore</v>
      </c>
    </row>
    <row r="155" customFormat="false" ht="12.75" hidden="false" customHeight="false" outlineLevel="0" collapsed="false">
      <c r="B155" s="1" t="n">
        <v>125</v>
      </c>
      <c r="D155" s="27" t="str">
        <f aca="false">IF(ISNUMBER(F155),IF(ABS(AI155-1)&lt;0.000001,0,IF(ABS(AI155+1)&lt;0.000001,180,ROUND(DEGREES(ACOS(AI155)),3)))," ")</f>
        <v> </v>
      </c>
      <c r="F155" s="17" t="str">
        <f aca="false">IF(AG155&gt;0.0000001,$U$8*((1/SQRT(1-AG155*AG155))-1),"none")</f>
        <v>none</v>
      </c>
      <c r="H155" s="17" t="str">
        <f aca="false">IF(ISNUMBER(F155),$Z$15*(1+AC155/AG155)/(1+$V$15*$Z$15*AI155)/AG155," ")</f>
        <v> </v>
      </c>
      <c r="J155" s="27" t="str">
        <f aca="false">IF(ISNUMBER(F155),IF( AND( ( (F155*(F155+2*$U$8)*AB155*AB155) &gt; ($E$5*($E$5+2*$U$5)) ), ( B155&lt;90 ) ), 180-AJ155, AJ155)," ")</f>
        <v> </v>
      </c>
      <c r="L155" s="17" t="str">
        <f aca="false">IF(ISNUMBER(F155),$E$5+$O$10-F155," ")</f>
        <v> </v>
      </c>
      <c r="N155" s="1" t="str">
        <f aca="false">IF(ISNUMBER(P155),B155," ")</f>
        <v> </v>
      </c>
      <c r="O155" s="27" t="str">
        <f aca="false">IF(ISNUMBER(P155), IF( ABS(AM155-1)&lt;0.000001,0, IF(ABS(AM155+1)&lt;0.000001,180,ROUND(DEGREES(ACOS(AM155)),3)))," ")</f>
        <v> </v>
      </c>
      <c r="P155" s="17" t="str">
        <f aca="false">IF(AK155&gt;0.0000001,$U$8*((1/SQRT(1-AK155*AK155))-1),"none")</f>
        <v>none</v>
      </c>
      <c r="Q155" s="17" t="str">
        <f aca="false">IF(ISNUMBER(P155),ABS($Z$15*(1+AC155/AK155)/(1+$V$15*$Z$15*AM155)/AK155)," ")</f>
        <v> </v>
      </c>
      <c r="R155" s="27" t="str">
        <f aca="false">IF(ISNUMBER(P155),IF( AND( ( (P155*(P155+2*$U$8)*AB155*AB155) &gt; ($E$5*($E$5+2*$U$5)) ), ( B155&lt;90 ) ), 180-AN155, AN155)," ")</f>
        <v> </v>
      </c>
      <c r="S155" s="17" t="str">
        <f aca="false">IF(ISNUMBER(P155),$E$5+$O$10-P155," ")</f>
        <v> </v>
      </c>
      <c r="AB155" s="1" t="n">
        <f aca="false">COS(RADIANS(B155))</f>
        <v>-0.573576436351046</v>
      </c>
      <c r="AC155" s="1" t="n">
        <f aca="false">-$V$15*AB155</f>
        <v>0.0383310098796444</v>
      </c>
      <c r="AD155" s="1" t="n">
        <f aca="false">$AA$15+AC155*AC155</f>
        <v>1.00144223581441</v>
      </c>
      <c r="AF155" s="1" t="n">
        <f aca="false">AC155*AC155-AD155*$AE$15</f>
        <v>0.00144219683004446</v>
      </c>
      <c r="AG155" s="1" t="n">
        <f aca="false">IF(ISNUMBER(SQRT(AF155)),(-AC155+SQRT(AF155))/AD155,-100)</f>
        <v>-0.000354232325027336</v>
      </c>
      <c r="AH155" s="1" t="n">
        <f aca="false">(AG155*AB155-$V$15)/((1-$V$15*AG155*AB155)*$Z$15)</f>
        <v>-0.999990558254923</v>
      </c>
      <c r="AI155" s="1" t="n">
        <f aca="false">IF(ABS(AH155)&lt;=1,AH155,IF(ABS(AH155)&lt;=1.00001,1*SIGN(AH155),0))</f>
        <v>-0.999990558254923</v>
      </c>
      <c r="AJ155" s="17" t="e">
        <f aca="false">DEGREES(ASIN( SQRT( (F155*(F155+2*$U$8)) / (L155*(L155+2*$U$10)) ) * SIN(RADIANS(B155))  ))</f>
        <v>#VALUE!</v>
      </c>
      <c r="AK155" s="1" t="n">
        <f aca="false">IF(ISNUMBER(SQRT(AF155)),(-AC155-SQRT(AF155))/AD155,-100)</f>
        <v>-0.076197381954497</v>
      </c>
      <c r="AL155" s="1" t="n">
        <f aca="false">(AK155*AB155-$V$15)/((1-$V$15*AK155*AB155)*$Z$15)</f>
        <v>-0.348071885909388</v>
      </c>
      <c r="AM155" s="1" t="n">
        <f aca="false">IF(ABS(AL155)&lt;=1,AL155,IF(ABS(AL155)&lt;=1.00001,1*SIGN(AL155),0))</f>
        <v>-0.348071885909388</v>
      </c>
      <c r="AN155" s="17" t="str">
        <f aca="false">IF(ISNUMBER(P155),DEGREES(ASIN( SQRT( (P155*(P155+2*$U$8)) / (S155*(S155+2*$U$10)) ) * SIN(RADIANS(B155)) ) ),"ignore")</f>
        <v>ignore</v>
      </c>
    </row>
    <row r="156" customFormat="false" ht="12.75" hidden="false" customHeight="false" outlineLevel="0" collapsed="false">
      <c r="B156" s="1" t="n">
        <v>126</v>
      </c>
      <c r="D156" s="27" t="str">
        <f aca="false">IF(ISNUMBER(F156),IF(ABS(AI156-1)&lt;0.000001,0,IF(ABS(AI156+1)&lt;0.000001,180,ROUND(DEGREES(ACOS(AI156)),3)))," ")</f>
        <v> </v>
      </c>
      <c r="F156" s="17" t="str">
        <f aca="false">IF(AG156&gt;0.0000001,$U$8*((1/SQRT(1-AG156*AG156))-1),"none")</f>
        <v>none</v>
      </c>
      <c r="H156" s="17" t="str">
        <f aca="false">IF(ISNUMBER(F156),$Z$15*(1+AC156/AG156)/(1+$V$15*$Z$15*AI156)/AG156," ")</f>
        <v> </v>
      </c>
      <c r="J156" s="27" t="str">
        <f aca="false">IF(ISNUMBER(F156),IF( AND( ( (F156*(F156+2*$U$8)*AB156*AB156) &gt; ($E$5*($E$5+2*$U$5)) ), ( B156&lt;90 ) ), 180-AJ156, AJ156)," ")</f>
        <v> </v>
      </c>
      <c r="L156" s="17" t="str">
        <f aca="false">IF(ISNUMBER(F156),$E$5+$O$10-F156," ")</f>
        <v> </v>
      </c>
      <c r="N156" s="1" t="str">
        <f aca="false">IF(ISNUMBER(P156),B156," ")</f>
        <v> </v>
      </c>
      <c r="O156" s="27" t="str">
        <f aca="false">IF(ISNUMBER(P156), IF( ABS(AM156-1)&lt;0.000001,0, IF(ABS(AM156+1)&lt;0.000001,180,ROUND(DEGREES(ACOS(AM156)),3)))," ")</f>
        <v> </v>
      </c>
      <c r="P156" s="17" t="str">
        <f aca="false">IF(AK156&gt;0.0000001,$U$8*((1/SQRT(1-AK156*AK156))-1),"none")</f>
        <v>none</v>
      </c>
      <c r="Q156" s="17" t="str">
        <f aca="false">IF(ISNUMBER(P156),ABS($Z$15*(1+AC156/AK156)/(1+$V$15*$Z$15*AM156)/AK156)," ")</f>
        <v> </v>
      </c>
      <c r="R156" s="27" t="str">
        <f aca="false">IF(ISNUMBER(P156),IF( AND( ( (P156*(P156+2*$U$8)*AB156*AB156) &gt; ($E$5*($E$5+2*$U$5)) ), ( B156&lt;90 ) ), 180-AN156, AN156)," ")</f>
        <v> </v>
      </c>
      <c r="S156" s="17" t="str">
        <f aca="false">IF(ISNUMBER(P156),$E$5+$O$10-P156," ")</f>
        <v> </v>
      </c>
      <c r="AB156" s="1" t="n">
        <f aca="false">COS(RADIANS(B156))</f>
        <v>-0.587785252292473</v>
      </c>
      <c r="AC156" s="1" t="n">
        <f aca="false">-$V$15*AB156</f>
        <v>0.0392805577161869</v>
      </c>
      <c r="AD156" s="1" t="n">
        <f aca="false">$AA$15+AC156*AC156</f>
        <v>1.00151593171051</v>
      </c>
      <c r="AF156" s="1" t="n">
        <f aca="false">AC156*AC156-AD156*$AE$15</f>
        <v>0.00151589073410854</v>
      </c>
      <c r="AG156" s="1" t="n">
        <f aca="false">IF(ISNUMBER(SQRT(AF156)),(-AC156+SQRT(AF156))/AD156,-100)</f>
        <v>-0.000345592332192916</v>
      </c>
      <c r="AH156" s="1" t="n">
        <f aca="false">(AG156*AB156-$V$15)/((1-$V$15*AG156*AB156)*$Z$15)</f>
        <v>-0.999991234227641</v>
      </c>
      <c r="AI156" s="1" t="n">
        <f aca="false">IF(ABS(AH156)&lt;=1,AH156,IF(ABS(AH156)&lt;=1.00001,1*SIGN(AH156),0))</f>
        <v>-0.999991234227641</v>
      </c>
      <c r="AJ156" s="17" t="e">
        <f aca="false">DEGREES(ASIN( SQRT( (F156*(F156+2*$U$8)) / (L156*(L156+2*$U$10)) ) * SIN(RADIANS(B156))  ))</f>
        <v>#VALUE!</v>
      </c>
      <c r="AK156" s="1" t="n">
        <f aca="false">IF(ISNUMBER(SQRT(AF156)),(-AC156-SQRT(AF156))/AD156,-100)</f>
        <v>-0.0780966100781051</v>
      </c>
      <c r="AL156" s="1" t="n">
        <f aca="false">(AK156*AB156-$V$15)/((1-$V$15*AK156*AB156)*$Z$15)</f>
        <v>-0.31501652114215</v>
      </c>
      <c r="AM156" s="1" t="n">
        <f aca="false">IF(ABS(AL156)&lt;=1,AL156,IF(ABS(AL156)&lt;=1.00001,1*SIGN(AL156),0))</f>
        <v>-0.31501652114215</v>
      </c>
      <c r="AN156" s="17" t="str">
        <f aca="false">IF(ISNUMBER(P156),DEGREES(ASIN( SQRT( (P156*(P156+2*$U$8)) / (S156*(S156+2*$U$10)) ) * SIN(RADIANS(B156)) ) ),"ignore")</f>
        <v>ignore</v>
      </c>
    </row>
    <row r="157" customFormat="false" ht="12.75" hidden="false" customHeight="false" outlineLevel="0" collapsed="false">
      <c r="B157" s="1" t="n">
        <v>127</v>
      </c>
      <c r="D157" s="27" t="str">
        <f aca="false">IF(ISNUMBER(F157),IF(ABS(AI157-1)&lt;0.000001,0,IF(ABS(AI157+1)&lt;0.000001,180,ROUND(DEGREES(ACOS(AI157)),3)))," ")</f>
        <v> </v>
      </c>
      <c r="F157" s="17" t="str">
        <f aca="false">IF(AG157&gt;0.0000001,$U$8*((1/SQRT(1-AG157*AG157))-1),"none")</f>
        <v>none</v>
      </c>
      <c r="H157" s="17" t="str">
        <f aca="false">IF(ISNUMBER(F157),$Z$15*(1+AC157/AG157)/(1+$V$15*$Z$15*AI157)/AG157," ")</f>
        <v> </v>
      </c>
      <c r="J157" s="27" t="str">
        <f aca="false">IF(ISNUMBER(F157),IF( AND( ( (F157*(F157+2*$U$8)*AB157*AB157) &gt; ($E$5*($E$5+2*$U$5)) ), ( B157&lt;90 ) ), 180-AJ157, AJ157)," ")</f>
        <v> </v>
      </c>
      <c r="L157" s="17" t="str">
        <f aca="false">IF(ISNUMBER(F157),$E$5+$O$10-F157," ")</f>
        <v> </v>
      </c>
      <c r="N157" s="1" t="str">
        <f aca="false">IF(ISNUMBER(P157),B157," ")</f>
        <v> </v>
      </c>
      <c r="O157" s="27" t="str">
        <f aca="false">IF(ISNUMBER(P157), IF( ABS(AM157-1)&lt;0.000001,0, IF(ABS(AM157+1)&lt;0.000001,180,ROUND(DEGREES(ACOS(AM157)),3)))," ")</f>
        <v> </v>
      </c>
      <c r="P157" s="17" t="str">
        <f aca="false">IF(AK157&gt;0.0000001,$U$8*((1/SQRT(1-AK157*AK157))-1),"none")</f>
        <v>none</v>
      </c>
      <c r="Q157" s="17" t="str">
        <f aca="false">IF(ISNUMBER(P157),ABS($Z$15*(1+AC157/AK157)/(1+$V$15*$Z$15*AM157)/AK157)," ")</f>
        <v> </v>
      </c>
      <c r="R157" s="27" t="str">
        <f aca="false">IF(ISNUMBER(P157),IF( AND( ( (P157*(P157+2*$U$8)*AB157*AB157) &gt; ($E$5*($E$5+2*$U$5)) ), ( B157&lt;90 ) ), 180-AN157, AN157)," ")</f>
        <v> </v>
      </c>
      <c r="S157" s="17" t="str">
        <f aca="false">IF(ISNUMBER(P157),$E$5+$O$10-P157," ")</f>
        <v> </v>
      </c>
      <c r="AB157" s="1" t="n">
        <f aca="false">COS(RADIANS(B157))</f>
        <v>-0.601815023152048</v>
      </c>
      <c r="AC157" s="1" t="n">
        <f aca="false">-$V$15*AB157</f>
        <v>0.0402181403143297</v>
      </c>
      <c r="AD157" s="1" t="n">
        <f aca="false">$AA$15+AC157*AC157</f>
        <v>1.00159046830636</v>
      </c>
      <c r="AF157" s="1" t="n">
        <f aca="false">AC157*AC157-AD157*$AE$15</f>
        <v>0.00159042531519521</v>
      </c>
      <c r="AG157" s="1" t="n">
        <f aca="false">IF(ISNUMBER(SQRT(AF157)),(-AC157+SQRT(AF157))/AD157,-100)</f>
        <v>-0.000337466733928105</v>
      </c>
      <c r="AH157" s="1" t="n">
        <f aca="false">(AG157*AB157-$V$15)/((1-$V$15*AG157*AB157)*$Z$15)</f>
        <v>-0.999991854725302</v>
      </c>
      <c r="AI157" s="1" t="n">
        <f aca="false">IF(ABS(AH157)&lt;=1,AH157,IF(ABS(AH157)&lt;=1.00001,1*SIGN(AH157),0))</f>
        <v>-0.999991854725302</v>
      </c>
      <c r="AJ157" s="17" t="e">
        <f aca="false">DEGREES(ASIN( SQRT( (F157*(F157+2*$U$8)) / (L157*(L157+2*$U$10)) ) * SIN(RADIANS(B157))  ))</f>
        <v>#VALUE!</v>
      </c>
      <c r="AK157" s="1" t="n">
        <f aca="false">IF(ISNUMBER(SQRT(AF157)),(-AC157-SQRT(AF157))/AD157,-100)</f>
        <v>-0.079971085687376</v>
      </c>
      <c r="AL157" s="1" t="n">
        <f aca="false">(AK157*AB157-$V$15)/((1-$V$15*AK157*AB157)*$Z$15)</f>
        <v>-0.281579170589494</v>
      </c>
      <c r="AM157" s="1" t="n">
        <f aca="false">IF(ABS(AL157)&lt;=1,AL157,IF(ABS(AL157)&lt;=1.00001,1*SIGN(AL157),0))</f>
        <v>-0.281579170589494</v>
      </c>
      <c r="AN157" s="17" t="str">
        <f aca="false">IF(ISNUMBER(P157),DEGREES(ASIN( SQRT( (P157*(P157+2*$U$8)) / (S157*(S157+2*$U$10)) ) * SIN(RADIANS(B157)) ) ),"ignore")</f>
        <v>ignore</v>
      </c>
    </row>
    <row r="158" customFormat="false" ht="12.75" hidden="false" customHeight="false" outlineLevel="0" collapsed="false">
      <c r="B158" s="1" t="n">
        <v>128</v>
      </c>
      <c r="D158" s="27" t="str">
        <f aca="false">IF(ISNUMBER(F158),IF(ABS(AI158-1)&lt;0.000001,0,IF(ABS(AI158+1)&lt;0.000001,180,ROUND(DEGREES(ACOS(AI158)),3)))," ")</f>
        <v> </v>
      </c>
      <c r="F158" s="17" t="str">
        <f aca="false">IF(AG158&gt;0.0000001,$U$8*((1/SQRT(1-AG158*AG158))-1),"none")</f>
        <v>none</v>
      </c>
      <c r="H158" s="17" t="str">
        <f aca="false">IF(ISNUMBER(F158),$Z$15*(1+AC158/AG158)/(1+$V$15*$Z$15*AI158)/AG158," ")</f>
        <v> </v>
      </c>
      <c r="J158" s="27" t="str">
        <f aca="false">IF(ISNUMBER(F158),IF( AND( ( (F158*(F158+2*$U$8)*AB158*AB158) &gt; ($E$5*($E$5+2*$U$5)) ), ( B158&lt;90 ) ), 180-AJ158, AJ158)," ")</f>
        <v> </v>
      </c>
      <c r="L158" s="17" t="str">
        <f aca="false">IF(ISNUMBER(F158),$E$5+$O$10-F158," ")</f>
        <v> </v>
      </c>
      <c r="N158" s="1" t="str">
        <f aca="false">IF(ISNUMBER(P158),B158," ")</f>
        <v> </v>
      </c>
      <c r="O158" s="27" t="str">
        <f aca="false">IF(ISNUMBER(P158), IF( ABS(AM158-1)&lt;0.000001,0, IF(ABS(AM158+1)&lt;0.000001,180,ROUND(DEGREES(ACOS(AM158)),3)))," ")</f>
        <v> </v>
      </c>
      <c r="P158" s="17" t="str">
        <f aca="false">IF(AK158&gt;0.0000001,$U$8*((1/SQRT(1-AK158*AK158))-1),"none")</f>
        <v>none</v>
      </c>
      <c r="Q158" s="17" t="str">
        <f aca="false">IF(ISNUMBER(P158),ABS($Z$15*(1+AC158/AK158)/(1+$V$15*$Z$15*AM158)/AK158)," ")</f>
        <v> </v>
      </c>
      <c r="R158" s="27" t="str">
        <f aca="false">IF(ISNUMBER(P158),IF( AND( ( (P158*(P158+2*$U$8)*AB158*AB158) &gt; ($E$5*($E$5+2*$U$5)) ), ( B158&lt;90 ) ), 180-AN158, AN158)," ")</f>
        <v> </v>
      </c>
      <c r="S158" s="17" t="str">
        <f aca="false">IF(ISNUMBER(P158),$E$5+$O$10-P158," ")</f>
        <v> </v>
      </c>
      <c r="AB158" s="1" t="n">
        <f aca="false">COS(RADIANS(B158))</f>
        <v>-0.615661475325658</v>
      </c>
      <c r="AC158" s="1" t="n">
        <f aca="false">-$V$15*AB158</f>
        <v>0.0411434720773309</v>
      </c>
      <c r="AD158" s="1" t="n">
        <f aca="false">$AA$15+AC158*AC158</f>
        <v>1.00166575479059</v>
      </c>
      <c r="AF158" s="1" t="n">
        <f aca="false">AC158*AC158-AD158*$AE$15</f>
        <v>0.0016657097643986</v>
      </c>
      <c r="AG158" s="1" t="n">
        <f aca="false">IF(ISNUMBER(SQRT(AF158)),(-AC158+SQRT(AF158))/AD158,-100)</f>
        <v>-0.000329814934251783</v>
      </c>
      <c r="AH158" s="1" t="n">
        <f aca="false">(AG158*AB158-$V$15)/((1-$V$15*AG158*AB158)*$Z$15)</f>
        <v>-0.99999242554549</v>
      </c>
      <c r="AI158" s="1" t="n">
        <f aca="false">IF(ABS(AH158)&lt;=1,AH158,IF(ABS(AH158)&lt;=1.00001,1*SIGN(AH158),0))</f>
        <v>-0.99999242554549</v>
      </c>
      <c r="AJ158" s="17" t="e">
        <f aca="false">DEGREES(ASIN( SQRT( (F158*(F158+2*$U$8)) / (L158*(L158+2*$U$10)) ) * SIN(RADIANS(B158))  ))</f>
        <v>#VALUE!</v>
      </c>
      <c r="AK158" s="1" t="n">
        <f aca="false">IF(ISNUMBER(SQRT(AF158)),(-AC158-SQRT(AF158))/AD158,-100)</f>
        <v>-0.0818202872940757</v>
      </c>
      <c r="AL158" s="1" t="n">
        <f aca="false">(AK158*AB158-$V$15)/((1-$V$15*AK158*AB158)*$Z$15)</f>
        <v>-0.24780040510221</v>
      </c>
      <c r="AM158" s="1" t="n">
        <f aca="false">IF(ABS(AL158)&lt;=1,AL158,IF(ABS(AL158)&lt;=1.00001,1*SIGN(AL158),0))</f>
        <v>-0.24780040510221</v>
      </c>
      <c r="AN158" s="17" t="str">
        <f aca="false">IF(ISNUMBER(P158),DEGREES(ASIN( SQRT( (P158*(P158+2*$U$8)) / (S158*(S158+2*$U$10)) ) * SIN(RADIANS(B158)) ) ),"ignore")</f>
        <v>ignore</v>
      </c>
    </row>
    <row r="159" customFormat="false" ht="12.75" hidden="false" customHeight="false" outlineLevel="0" collapsed="false">
      <c r="B159" s="1" t="n">
        <v>129</v>
      </c>
      <c r="D159" s="27" t="str">
        <f aca="false">IF(ISNUMBER(F159),IF(ABS(AI159-1)&lt;0.000001,0,IF(ABS(AI159+1)&lt;0.000001,180,ROUND(DEGREES(ACOS(AI159)),3)))," ")</f>
        <v> </v>
      </c>
      <c r="F159" s="17" t="str">
        <f aca="false">IF(AG159&gt;0.0000001,$U$8*((1/SQRT(1-AG159*AG159))-1),"none")</f>
        <v>none</v>
      </c>
      <c r="H159" s="17" t="str">
        <f aca="false">IF(ISNUMBER(F159),$Z$15*(1+AC159/AG159)/(1+$V$15*$Z$15*AI159)/AG159," ")</f>
        <v> </v>
      </c>
      <c r="J159" s="27" t="str">
        <f aca="false">IF(ISNUMBER(F159),IF( AND( ( (F159*(F159+2*$U$8)*AB159*AB159) &gt; ($E$5*($E$5+2*$U$5)) ), ( B159&lt;90 ) ), 180-AJ159, AJ159)," ")</f>
        <v> </v>
      </c>
      <c r="L159" s="17" t="str">
        <f aca="false">IF(ISNUMBER(F159),$E$5+$O$10-F159," ")</f>
        <v> </v>
      </c>
      <c r="N159" s="1" t="str">
        <f aca="false">IF(ISNUMBER(P159),B159," ")</f>
        <v> </v>
      </c>
      <c r="O159" s="27" t="str">
        <f aca="false">IF(ISNUMBER(P159), IF( ABS(AM159-1)&lt;0.000001,0, IF(ABS(AM159+1)&lt;0.000001,180,ROUND(DEGREES(ACOS(AM159)),3)))," ")</f>
        <v> </v>
      </c>
      <c r="P159" s="17" t="str">
        <f aca="false">IF(AK159&gt;0.0000001,$U$8*((1/SQRT(1-AK159*AK159))-1),"none")</f>
        <v>none</v>
      </c>
      <c r="Q159" s="17" t="str">
        <f aca="false">IF(ISNUMBER(P159),ABS($Z$15*(1+AC159/AK159)/(1+$V$15*$Z$15*AM159)/AK159)," ")</f>
        <v> </v>
      </c>
      <c r="R159" s="27" t="str">
        <f aca="false">IF(ISNUMBER(P159),IF( AND( ( (P159*(P159+2*$U$8)*AB159*AB159) &gt; ($E$5*($E$5+2*$U$5)) ), ( B159&lt;90 ) ), 180-AN159, AN159)," ")</f>
        <v> </v>
      </c>
      <c r="S159" s="17" t="str">
        <f aca="false">IF(ISNUMBER(P159),$E$5+$O$10-P159," ")</f>
        <v> </v>
      </c>
      <c r="AB159" s="1" t="n">
        <f aca="false">COS(RADIANS(B159))</f>
        <v>-0.629320391049837</v>
      </c>
      <c r="AC159" s="1" t="n">
        <f aca="false">-$V$15*AB159</f>
        <v>0.0420562711401716</v>
      </c>
      <c r="AD159" s="1" t="n">
        <f aca="false">$AA$15+AC159*AC159</f>
        <v>1.00174169943823</v>
      </c>
      <c r="AF159" s="1" t="n">
        <f aca="false">AC159*AC159-AD159*$AE$15</f>
        <v>0.00174165235921402</v>
      </c>
      <c r="AG159" s="1" t="n">
        <f aca="false">IF(ISNUMBER(SQRT(AF159)),(-AC159+SQRT(AF159))/AD159,-100)</f>
        <v>-0.000322600597467437</v>
      </c>
      <c r="AH159" s="1" t="n">
        <f aca="false">(AG159*AB159-$V$15)/((1-$V$15*AG159*AB159)*$Z$15)</f>
        <v>-0.999992951741123</v>
      </c>
      <c r="AI159" s="1" t="n">
        <f aca="false">IF(ABS(AH159)&lt;=1,AH159,IF(ABS(AH159)&lt;=1.00001,1*SIGN(AH159),0))</f>
        <v>-0.999992951741123</v>
      </c>
      <c r="AJ159" s="17" t="e">
        <f aca="false">DEGREES(ASIN( SQRT( (F159*(F159+2*$U$8)) / (L159*(L159+2*$U$10)) ) * SIN(RADIANS(B159))  ))</f>
        <v>#VALUE!</v>
      </c>
      <c r="AK159" s="1" t="n">
        <f aca="false">IF(ISNUMBER(SQRT(AF159)),(-AC159-SQRT(AF159))/AD159,-100)</f>
        <v>-0.0836436976284257</v>
      </c>
      <c r="AL159" s="1" t="n">
        <f aca="false">(AK159*AB159-$V$15)/((1-$V$15*AK159*AB159)*$Z$15)</f>
        <v>-0.213721229140408</v>
      </c>
      <c r="AM159" s="1" t="n">
        <f aca="false">IF(ABS(AL159)&lt;=1,AL159,IF(ABS(AL159)&lt;=1.00001,1*SIGN(AL159),0))</f>
        <v>-0.213721229140408</v>
      </c>
      <c r="AN159" s="17" t="str">
        <f aca="false">IF(ISNUMBER(P159),DEGREES(ASIN( SQRT( (P159*(P159+2*$U$8)) / (S159*(S159+2*$U$10)) ) * SIN(RADIANS(B159)) ) ),"ignore")</f>
        <v>ignore</v>
      </c>
    </row>
    <row r="160" customFormat="false" ht="12.75" hidden="false" customHeight="false" outlineLevel="0" collapsed="false">
      <c r="B160" s="1" t="n">
        <v>130</v>
      </c>
      <c r="D160" s="27" t="str">
        <f aca="false">IF(ISNUMBER(F160),IF(ABS(AI160-1)&lt;0.000001,0,IF(ABS(AI160+1)&lt;0.000001,180,ROUND(DEGREES(ACOS(AI160)),3)))," ")</f>
        <v> </v>
      </c>
      <c r="F160" s="17" t="str">
        <f aca="false">IF(AG160&gt;0.0000001,$U$8*((1/SQRT(1-AG160*AG160))-1),"none")</f>
        <v>none</v>
      </c>
      <c r="H160" s="17" t="str">
        <f aca="false">IF(ISNUMBER(F160),$Z$15*(1+AC160/AG160)/(1+$V$15*$Z$15*AI160)/AG160," ")</f>
        <v> </v>
      </c>
      <c r="J160" s="27" t="str">
        <f aca="false">IF(ISNUMBER(F160),IF( AND( ( (F160*(F160+2*$U$8)*AB160*AB160) &gt; ($E$5*($E$5+2*$U$5)) ), ( B160&lt;90 ) ), 180-AJ160, AJ160)," ")</f>
        <v> </v>
      </c>
      <c r="L160" s="17" t="str">
        <f aca="false">IF(ISNUMBER(F160),$E$5+$O$10-F160," ")</f>
        <v> </v>
      </c>
      <c r="N160" s="1" t="str">
        <f aca="false">IF(ISNUMBER(P160),B160," ")</f>
        <v> </v>
      </c>
      <c r="O160" s="27" t="str">
        <f aca="false">IF(ISNUMBER(P160), IF( ABS(AM160-1)&lt;0.000001,0, IF(ABS(AM160+1)&lt;0.000001,180,ROUND(DEGREES(ACOS(AM160)),3)))," ")</f>
        <v> </v>
      </c>
      <c r="P160" s="17" t="str">
        <f aca="false">IF(AK160&gt;0.0000001,$U$8*((1/SQRT(1-AK160*AK160))-1),"none")</f>
        <v>none</v>
      </c>
      <c r="Q160" s="17" t="str">
        <f aca="false">IF(ISNUMBER(P160),ABS($Z$15*(1+AC160/AK160)/(1+$V$15*$Z$15*AM160)/AK160)," ")</f>
        <v> </v>
      </c>
      <c r="R160" s="27" t="str">
        <f aca="false">IF(ISNUMBER(P160),IF( AND( ( (P160*(P160+2*$U$8)*AB160*AB160) &gt; ($E$5*($E$5+2*$U$5)) ), ( B160&lt;90 ) ), 180-AN160, AN160)," ")</f>
        <v> </v>
      </c>
      <c r="S160" s="17" t="str">
        <f aca="false">IF(ISNUMBER(P160),$E$5+$O$10-P160," ")</f>
        <v> </v>
      </c>
      <c r="AB160" s="1" t="n">
        <f aca="false">COS(RADIANS(B160))</f>
        <v>-0.642787609686539</v>
      </c>
      <c r="AC160" s="1" t="n">
        <f aca="false">-$V$15*AB160</f>
        <v>0.0429562594554148</v>
      </c>
      <c r="AD160" s="1" t="n">
        <f aca="false">$AA$15+AC160*AC160</f>
        <v>1.00181820972241</v>
      </c>
      <c r="AF160" s="1" t="n">
        <f aca="false">AC160*AC160-AD160*$AE$15</f>
        <v>0.00181816057528776</v>
      </c>
      <c r="AG160" s="1" t="n">
        <f aca="false">IF(ISNUMBER(SQRT(AF160)),(-AC160+SQRT(AF160))/AD160,-100)</f>
        <v>-0.000315791105574589</v>
      </c>
      <c r="AH160" s="1" t="n">
        <f aca="false">(AG160*AB160-$V$15)/((1-$V$15*AG160*AB160)*$Z$15)</f>
        <v>-0.999993437732399</v>
      </c>
      <c r="AI160" s="1" t="n">
        <f aca="false">IF(ABS(AH160)&lt;=1,AH160,IF(ABS(AH160)&lt;=1.00001,1*SIGN(AH160),0))</f>
        <v>-0.999993437732399</v>
      </c>
      <c r="AJ160" s="17" t="e">
        <f aca="false">DEGREES(ASIN( SQRT( (F160*(F160+2*$U$8)) / (L160*(L160+2*$U$10)) ) * SIN(RADIANS(B160))  ))</f>
        <v>#VALUE!</v>
      </c>
      <c r="AK160" s="1" t="n">
        <f aca="false">IF(ISNUMBER(SQRT(AF160)),(-AC160-SQRT(AF160))/AD160,-100)</f>
        <v>-0.0854408043296736</v>
      </c>
      <c r="AL160" s="1" t="n">
        <f aca="false">(AK160*AB160-$V$15)/((1-$V$15*AK160*AB160)*$Z$15)</f>
        <v>-0.179383031404886</v>
      </c>
      <c r="AM160" s="1" t="n">
        <f aca="false">IF(ABS(AL160)&lt;=1,AL160,IF(ABS(AL160)&lt;=1.00001,1*SIGN(AL160),0))</f>
        <v>-0.179383031404886</v>
      </c>
      <c r="AN160" s="17" t="str">
        <f aca="false">IF(ISNUMBER(P160),DEGREES(ASIN( SQRT( (P160*(P160+2*$U$8)) / (S160*(S160+2*$U$10)) ) * SIN(RADIANS(B160)) ) ),"ignore")</f>
        <v>ignore</v>
      </c>
    </row>
    <row r="161" customFormat="false" ht="12.75" hidden="false" customHeight="false" outlineLevel="0" collapsed="false">
      <c r="B161" s="1" t="n">
        <v>131</v>
      </c>
      <c r="D161" s="27" t="str">
        <f aca="false">IF(ISNUMBER(F161),IF(ABS(AI161-1)&lt;0.000001,0,IF(ABS(AI161+1)&lt;0.000001,180,ROUND(DEGREES(ACOS(AI161)),3)))," ")</f>
        <v> </v>
      </c>
      <c r="F161" s="17" t="str">
        <f aca="false">IF(AG161&gt;0.0000001,$U$8*((1/SQRT(1-AG161*AG161))-1),"none")</f>
        <v>none</v>
      </c>
      <c r="H161" s="17" t="str">
        <f aca="false">IF(ISNUMBER(F161),$Z$15*(1+AC161/AG161)/(1+$V$15*$Z$15*AI161)/AG161," ")</f>
        <v> </v>
      </c>
      <c r="J161" s="27" t="str">
        <f aca="false">IF(ISNUMBER(F161),IF( AND( ( (F161*(F161+2*$U$8)*AB161*AB161) &gt; ($E$5*($E$5+2*$U$5)) ), ( B161&lt;90 ) ), 180-AJ161, AJ161)," ")</f>
        <v> </v>
      </c>
      <c r="L161" s="17" t="str">
        <f aca="false">IF(ISNUMBER(F161),$E$5+$O$10-F161," ")</f>
        <v> </v>
      </c>
      <c r="N161" s="1" t="str">
        <f aca="false">IF(ISNUMBER(P161),B161," ")</f>
        <v> </v>
      </c>
      <c r="O161" s="27" t="str">
        <f aca="false">IF(ISNUMBER(P161), IF( ABS(AM161-1)&lt;0.000001,0, IF(ABS(AM161+1)&lt;0.000001,180,ROUND(DEGREES(ACOS(AM161)),3)))," ")</f>
        <v> </v>
      </c>
      <c r="P161" s="17" t="str">
        <f aca="false">IF(AK161&gt;0.0000001,$U$8*((1/SQRT(1-AK161*AK161))-1),"none")</f>
        <v>none</v>
      </c>
      <c r="Q161" s="17" t="str">
        <f aca="false">IF(ISNUMBER(P161),ABS($Z$15*(1+AC161/AK161)/(1+$V$15*$Z$15*AM161)/AK161)," ")</f>
        <v> </v>
      </c>
      <c r="R161" s="27" t="str">
        <f aca="false">IF(ISNUMBER(P161),IF( AND( ( (P161*(P161+2*$U$8)*AB161*AB161) &gt; ($E$5*($E$5+2*$U$5)) ), ( B161&lt;90 ) ), 180-AN161, AN161)," ")</f>
        <v> </v>
      </c>
      <c r="S161" s="17" t="str">
        <f aca="false">IF(ISNUMBER(P161),$E$5+$O$10-P161," ")</f>
        <v> </v>
      </c>
      <c r="AB161" s="1" t="n">
        <f aca="false">COS(RADIANS(B161))</f>
        <v>-0.656059028990507</v>
      </c>
      <c r="AC161" s="1" t="n">
        <f aca="false">-$V$15*AB161</f>
        <v>0.0438431628779012</v>
      </c>
      <c r="AD161" s="1" t="n">
        <f aca="false">$AA$15+AC161*AC161</f>
        <v>1.00189519242715</v>
      </c>
      <c r="AF161" s="1" t="n">
        <f aca="false">AC161*AC161-AD161*$AE$15</f>
        <v>0.00189514119914371</v>
      </c>
      <c r="AG161" s="1" t="n">
        <f aca="false">IF(ISNUMBER(SQRT(AF161)),(-AC161+SQRT(AF161))/AD161,-100)</f>
        <v>-0.000309357096912784</v>
      </c>
      <c r="AH161" s="1" t="n">
        <f aca="false">(AG161*AB161-$V$15)/((1-$V$15*AG161*AB161)*$Z$15)</f>
        <v>-0.999993887399545</v>
      </c>
      <c r="AI161" s="1" t="n">
        <f aca="false">IF(ABS(AH161)&lt;=1,AH161,IF(ABS(AH161)&lt;=1.00001,1*SIGN(AH161),0))</f>
        <v>-0.999993887399545</v>
      </c>
      <c r="AJ161" s="17" t="e">
        <f aca="false">DEGREES(ASIN( SQRT( (F161*(F161+2*$U$8)) / (L161*(L161+2*$U$10)) ) * SIN(RADIANS(B161))  ))</f>
        <v>#VALUE!</v>
      </c>
      <c r="AK161" s="1" t="n">
        <f aca="false">IF(ISNUMBER(SQRT(AF161)),(-AC161-SQRT(AF161))/AD161,-100)</f>
        <v>-0.0872111005503358</v>
      </c>
      <c r="AL161" s="1" t="n">
        <f aca="false">(AK161*AB161-$V$15)/((1-$V$15*AK161*AB161)*$Z$15)</f>
        <v>-0.14482753493537</v>
      </c>
      <c r="AM161" s="1" t="n">
        <f aca="false">IF(ABS(AL161)&lt;=1,AL161,IF(ABS(AL161)&lt;=1.00001,1*SIGN(AL161),0))</f>
        <v>-0.14482753493537</v>
      </c>
      <c r="AN161" s="17" t="str">
        <f aca="false">IF(ISNUMBER(P161),DEGREES(ASIN( SQRT( (P161*(P161+2*$U$8)) / (S161*(S161+2*$U$10)) ) * SIN(RADIANS(B161)) ) ),"ignore")</f>
        <v>ignore</v>
      </c>
    </row>
    <row r="162" customFormat="false" ht="12.75" hidden="false" customHeight="false" outlineLevel="0" collapsed="false">
      <c r="B162" s="1" t="n">
        <v>132</v>
      </c>
      <c r="D162" s="27" t="str">
        <f aca="false">IF(ISNUMBER(F162),IF(ABS(AI162-1)&lt;0.000001,0,IF(ABS(AI162+1)&lt;0.000001,180,ROUND(DEGREES(ACOS(AI162)),3)))," ")</f>
        <v> </v>
      </c>
      <c r="F162" s="17" t="str">
        <f aca="false">IF(AG162&gt;0.0000001,$U$8*((1/SQRT(1-AG162*AG162))-1),"none")</f>
        <v>none</v>
      </c>
      <c r="H162" s="17" t="str">
        <f aca="false">IF(ISNUMBER(F162),$Z$15*(1+AC162/AG162)/(1+$V$15*$Z$15*AI162)/AG162," ")</f>
        <v> </v>
      </c>
      <c r="J162" s="27" t="str">
        <f aca="false">IF(ISNUMBER(F162),IF( AND( ( (F162*(F162+2*$U$8)*AB162*AB162) &gt; ($E$5*($E$5+2*$U$5)) ), ( B162&lt;90 ) ), 180-AJ162, AJ162)," ")</f>
        <v> </v>
      </c>
      <c r="L162" s="17" t="str">
        <f aca="false">IF(ISNUMBER(F162),$E$5+$O$10-F162," ")</f>
        <v> </v>
      </c>
      <c r="N162" s="1" t="str">
        <f aca="false">IF(ISNUMBER(P162),B162," ")</f>
        <v> </v>
      </c>
      <c r="O162" s="27" t="str">
        <f aca="false">IF(ISNUMBER(P162), IF( ABS(AM162-1)&lt;0.000001,0, IF(ABS(AM162+1)&lt;0.000001,180,ROUND(DEGREES(ACOS(AM162)),3)))," ")</f>
        <v> </v>
      </c>
      <c r="P162" s="17" t="str">
        <f aca="false">IF(AK162&gt;0.0000001,$U$8*((1/SQRT(1-AK162*AK162))-1),"none")</f>
        <v>none</v>
      </c>
      <c r="Q162" s="17" t="str">
        <f aca="false">IF(ISNUMBER(P162),ABS($Z$15*(1+AC162/AK162)/(1+$V$15*$Z$15*AM162)/AK162)," ")</f>
        <v> </v>
      </c>
      <c r="R162" s="27" t="str">
        <f aca="false">IF(ISNUMBER(P162),IF( AND( ( (P162*(P162+2*$U$8)*AB162*AB162) &gt; ($E$5*($E$5+2*$U$5)) ), ( B162&lt;90 ) ), 180-AN162, AN162)," ")</f>
        <v> </v>
      </c>
      <c r="S162" s="17" t="str">
        <f aca="false">IF(ISNUMBER(P162),$E$5+$O$10-P162," ")</f>
        <v> </v>
      </c>
      <c r="AB162" s="1" t="n">
        <f aca="false">COS(RADIANS(B162))</f>
        <v>-0.669130606358858</v>
      </c>
      <c r="AC162" s="1" t="n">
        <f aca="false">-$V$15*AB162</f>
        <v>0.0447167112482567</v>
      </c>
      <c r="AD162" s="1" t="n">
        <f aca="false">$AA$15+AC162*AC162</f>
        <v>1.00197255376087</v>
      </c>
      <c r="AF162" s="1" t="n">
        <f aca="false">AC162*AC162-AD162*$AE$15</f>
        <v>0.00197250044174967</v>
      </c>
      <c r="AG162" s="1" t="n">
        <f aca="false">IF(ISNUMBER(SQRT(AF162)),(-AC162+SQRT(AF162))/AD162,-100)</f>
        <v>-0.000303272072164901</v>
      </c>
      <c r="AH162" s="1" t="n">
        <f aca="false">(AG162*AB162-$V$15)/((1-$V$15*AG162*AB162)*$Z$15)</f>
        <v>-0.999994304160042</v>
      </c>
      <c r="AI162" s="1" t="n">
        <f aca="false">IF(ABS(AH162)&lt;=1,AH162,IF(ABS(AH162)&lt;=1.00001,1*SIGN(AH162),0))</f>
        <v>-0.999994304160042</v>
      </c>
      <c r="AJ162" s="17" t="e">
        <f aca="false">DEGREES(ASIN( SQRT( (F162*(F162+2*$U$8)) / (L162*(L162+2*$U$10)) ) * SIN(RADIANS(B162))  ))</f>
        <v>#VALUE!</v>
      </c>
      <c r="AK162" s="1" t="n">
        <f aca="false">IF(ISNUMBER(SQRT(AF162)),(-AC162-SQRT(AF162))/AD162,-100)</f>
        <v>-0.0889540854880078</v>
      </c>
      <c r="AL162" s="1" t="n">
        <f aca="false">(AK162*AB162-$V$15)/((1-$V$15*AK162*AB162)*$Z$15)</f>
        <v>-0.110096746729551</v>
      </c>
      <c r="AM162" s="1" t="n">
        <f aca="false">IF(ABS(AL162)&lt;=1,AL162,IF(ABS(AL162)&lt;=1.00001,1*SIGN(AL162),0))</f>
        <v>-0.110096746729551</v>
      </c>
      <c r="AN162" s="17" t="str">
        <f aca="false">IF(ISNUMBER(P162),DEGREES(ASIN( SQRT( (P162*(P162+2*$U$8)) / (S162*(S162+2*$U$10)) ) * SIN(RADIANS(B162)) ) ),"ignore")</f>
        <v>ignore</v>
      </c>
    </row>
    <row r="163" customFormat="false" ht="12.75" hidden="false" customHeight="false" outlineLevel="0" collapsed="false">
      <c r="B163" s="1" t="n">
        <v>133</v>
      </c>
      <c r="D163" s="27" t="str">
        <f aca="false">IF(ISNUMBER(F163),IF(ABS(AI163-1)&lt;0.000001,0,IF(ABS(AI163+1)&lt;0.000001,180,ROUND(DEGREES(ACOS(AI163)),3)))," ")</f>
        <v> </v>
      </c>
      <c r="F163" s="17" t="str">
        <f aca="false">IF(AG163&gt;0.0000001,$U$8*((1/SQRT(1-AG163*AG163))-1),"none")</f>
        <v>none</v>
      </c>
      <c r="H163" s="17" t="str">
        <f aca="false">IF(ISNUMBER(F163),$Z$15*(1+AC163/AG163)/(1+$V$15*$Z$15*AI163)/AG163," ")</f>
        <v> </v>
      </c>
      <c r="J163" s="27" t="str">
        <f aca="false">IF(ISNUMBER(F163),IF( AND( ( (F163*(F163+2*$U$8)*AB163*AB163) &gt; ($E$5*($E$5+2*$U$5)) ), ( B163&lt;90 ) ), 180-AJ163, AJ163)," ")</f>
        <v> </v>
      </c>
      <c r="L163" s="17" t="str">
        <f aca="false">IF(ISNUMBER(F163),$E$5+$O$10-F163," ")</f>
        <v> </v>
      </c>
      <c r="N163" s="1" t="str">
        <f aca="false">IF(ISNUMBER(P163),B163," ")</f>
        <v> </v>
      </c>
      <c r="O163" s="27" t="str">
        <f aca="false">IF(ISNUMBER(P163), IF( ABS(AM163-1)&lt;0.000001,0, IF(ABS(AM163+1)&lt;0.000001,180,ROUND(DEGREES(ACOS(AM163)),3)))," ")</f>
        <v> </v>
      </c>
      <c r="P163" s="17" t="str">
        <f aca="false">IF(AK163&gt;0.0000001,$U$8*((1/SQRT(1-AK163*AK163))-1),"none")</f>
        <v>none</v>
      </c>
      <c r="Q163" s="17" t="str">
        <f aca="false">IF(ISNUMBER(P163),ABS($Z$15*(1+AC163/AK163)/(1+$V$15*$Z$15*AM163)/AK163)," ")</f>
        <v> </v>
      </c>
      <c r="R163" s="27" t="str">
        <f aca="false">IF(ISNUMBER(P163),IF( AND( ( (P163*(P163+2*$U$8)*AB163*AB163) &gt; ($E$5*($E$5+2*$U$5)) ), ( B163&lt;90 ) ), 180-AN163, AN163)," ")</f>
        <v> </v>
      </c>
      <c r="S163" s="17" t="str">
        <f aca="false">IF(ISNUMBER(P163),$E$5+$O$10-P163," ")</f>
        <v> </v>
      </c>
      <c r="AB163" s="1" t="n">
        <f aca="false">COS(RADIANS(B163))</f>
        <v>-0.681998360062498</v>
      </c>
      <c r="AC163" s="1" t="n">
        <f aca="false">-$V$15*AB163</f>
        <v>0.0455766384751855</v>
      </c>
      <c r="AD163" s="1" t="n">
        <f aca="false">$AA$15+AC163*AC163</f>
        <v>1.00205019947071</v>
      </c>
      <c r="AF163" s="1" t="n">
        <f aca="false">AC163*AC163-AD163*$AE$15</f>
        <v>0.00205014405278479</v>
      </c>
      <c r="AG163" s="1" t="n">
        <f aca="false">IF(ISNUMBER(SQRT(AF163)),(-AC163+SQRT(AF163))/AD163,-100)</f>
        <v>-0.000297512056496904</v>
      </c>
      <c r="AH163" s="1" t="n">
        <f aca="false">(AG163*AB163-$V$15)/((1-$V$15*AG163*AB163)*$Z$15)</f>
        <v>-0.999994691033238</v>
      </c>
      <c r="AI163" s="1" t="n">
        <f aca="false">IF(ABS(AH163)&lt;=1,AH163,IF(ABS(AH163)&lt;=1.00001,1*SIGN(AH163),0))</f>
        <v>-0.999994691033238</v>
      </c>
      <c r="AJ163" s="17" t="e">
        <f aca="false">DEGREES(ASIN( SQRT( (F163*(F163+2*$U$8)) / (L163*(L163+2*$U$10)) ) * SIN(RADIANS(B163))  ))</f>
        <v>#VALUE!</v>
      </c>
      <c r="AK163" s="1" t="n">
        <f aca="false">IF(ISNUMBER(SQRT(AF163)),(-AC163-SQRT(AF163))/AD163,-100)</f>
        <v>-0.090669264855996</v>
      </c>
      <c r="AL163" s="1" t="n">
        <f aca="false">(AK163*AB163-$V$15)/((1-$V$15*AK163*AB163)*$Z$15)</f>
        <v>-0.0752329069386182</v>
      </c>
      <c r="AM163" s="1" t="n">
        <f aca="false">IF(ABS(AL163)&lt;=1,AL163,IF(ABS(AL163)&lt;=1.00001,1*SIGN(AL163),0))</f>
        <v>-0.0752329069386182</v>
      </c>
      <c r="AN163" s="17" t="str">
        <f aca="false">IF(ISNUMBER(P163),DEGREES(ASIN( SQRT( (P163*(P163+2*$U$8)) / (S163*(S163+2*$U$10)) ) * SIN(RADIANS(B163)) ) ),"ignore")</f>
        <v>ignore</v>
      </c>
    </row>
    <row r="164" customFormat="false" ht="12.75" hidden="false" customHeight="false" outlineLevel="0" collapsed="false">
      <c r="B164" s="1" t="n">
        <v>134</v>
      </c>
      <c r="D164" s="27" t="str">
        <f aca="false">IF(ISNUMBER(F164),IF(ABS(AI164-1)&lt;0.000001,0,IF(ABS(AI164+1)&lt;0.000001,180,ROUND(DEGREES(ACOS(AI164)),3)))," ")</f>
        <v> </v>
      </c>
      <c r="F164" s="17" t="str">
        <f aca="false">IF(AG164&gt;0.0000001,$U$8*((1/SQRT(1-AG164*AG164))-1),"none")</f>
        <v>none</v>
      </c>
      <c r="H164" s="17" t="str">
        <f aca="false">IF(ISNUMBER(F164),$Z$15*(1+AC164/AG164)/(1+$V$15*$Z$15*AI164)/AG164," ")</f>
        <v> </v>
      </c>
      <c r="J164" s="27" t="str">
        <f aca="false">IF(ISNUMBER(F164),IF( AND( ( (F164*(F164+2*$U$8)*AB164*AB164) &gt; ($E$5*($E$5+2*$U$5)) ), ( B164&lt;90 ) ), 180-AJ164, AJ164)," ")</f>
        <v> </v>
      </c>
      <c r="L164" s="17" t="str">
        <f aca="false">IF(ISNUMBER(F164),$E$5+$O$10-F164," ")</f>
        <v> </v>
      </c>
      <c r="N164" s="1" t="str">
        <f aca="false">IF(ISNUMBER(P164),B164," ")</f>
        <v> </v>
      </c>
      <c r="O164" s="27" t="str">
        <f aca="false">IF(ISNUMBER(P164), IF( ABS(AM164-1)&lt;0.000001,0, IF(ABS(AM164+1)&lt;0.000001,180,ROUND(DEGREES(ACOS(AM164)),3)))," ")</f>
        <v> </v>
      </c>
      <c r="P164" s="17" t="str">
        <f aca="false">IF(AK164&gt;0.0000001,$U$8*((1/SQRT(1-AK164*AK164))-1),"none")</f>
        <v>none</v>
      </c>
      <c r="Q164" s="17" t="str">
        <f aca="false">IF(ISNUMBER(P164),ABS($Z$15*(1+AC164/AK164)/(1+$V$15*$Z$15*AM164)/AK164)," ")</f>
        <v> </v>
      </c>
      <c r="R164" s="27" t="str">
        <f aca="false">IF(ISNUMBER(P164),IF( AND( ( (P164*(P164+2*$U$8)*AB164*AB164) &gt; ($E$5*($E$5+2*$U$5)) ), ( B164&lt;90 ) ), 180-AN164, AN164)," ")</f>
        <v> </v>
      </c>
      <c r="S164" s="17" t="str">
        <f aca="false">IF(ISNUMBER(P164),$E$5+$O$10-P164," ")</f>
        <v> </v>
      </c>
      <c r="AB164" s="1" t="n">
        <f aca="false">COS(RADIANS(B164))</f>
        <v>-0.694658370458997</v>
      </c>
      <c r="AC164" s="1" t="n">
        <f aca="false">-$V$15*AB164</f>
        <v>0.046422682616524</v>
      </c>
      <c r="AD164" s="1" t="n">
        <f aca="false">$AA$15+AC164*AC164</f>
        <v>1.00212803495733</v>
      </c>
      <c r="AF164" s="1" t="n">
        <f aca="false">AC164*AC164-AD164*$AE$15</f>
        <v>0.00212797743546912</v>
      </c>
      <c r="AG164" s="1" t="n">
        <f aca="false">IF(ISNUMBER(SQRT(AF164)),(-AC164+SQRT(AF164))/AD164,-100)</f>
        <v>-0.00029205530870384</v>
      </c>
      <c r="AH164" s="1" t="n">
        <f aca="false">(AG164*AB164-$V$15)/((1-$V$15*AG164*AB164)*$Z$15)</f>
        <v>-0.999995050694645</v>
      </c>
      <c r="AI164" s="1" t="n">
        <f aca="false">IF(ABS(AH164)&lt;=1,AH164,IF(ABS(AH164)&lt;=1.00001,1*SIGN(AH164),0))</f>
        <v>-0.999995050694645</v>
      </c>
      <c r="AJ164" s="17" t="e">
        <f aca="false">DEGREES(ASIN( SQRT( (F164*(F164+2*$U$8)) / (L164*(L164+2*$U$10)) ) * SIN(RADIANS(B164))  ))</f>
        <v>#VALUE!</v>
      </c>
      <c r="AK164" s="1" t="n">
        <f aca="false">IF(ISNUMBER(SQRT(AF164)),(-AC164-SQRT(AF164))/AD164,-100)</f>
        <v>-0.0923561513019431</v>
      </c>
      <c r="AL164" s="1" t="n">
        <f aca="false">(AK164*AB164-$V$15)/((1-$V$15*AK164*AB164)*$Z$15)</f>
        <v>-0.0402784376965721</v>
      </c>
      <c r="AM164" s="1" t="n">
        <f aca="false">IF(ABS(AL164)&lt;=1,AL164,IF(ABS(AL164)&lt;=1.00001,1*SIGN(AL164),0))</f>
        <v>-0.0402784376965721</v>
      </c>
      <c r="AN164" s="17" t="str">
        <f aca="false">IF(ISNUMBER(P164),DEGREES(ASIN( SQRT( (P164*(P164+2*$U$8)) / (S164*(S164+2*$U$10)) ) * SIN(RADIANS(B164)) ) ),"ignore")</f>
        <v>ignore</v>
      </c>
    </row>
    <row r="165" customFormat="false" ht="12.75" hidden="false" customHeight="false" outlineLevel="0" collapsed="false">
      <c r="B165" s="1" t="n">
        <v>135</v>
      </c>
      <c r="D165" s="27" t="str">
        <f aca="false">IF(ISNUMBER(F165),IF(ABS(AI165-1)&lt;0.000001,0,IF(ABS(AI165+1)&lt;0.000001,180,ROUND(DEGREES(ACOS(AI165)),3)))," ")</f>
        <v> </v>
      </c>
      <c r="F165" s="17" t="str">
        <f aca="false">IF(AG165&gt;0.0000001,$U$8*((1/SQRT(1-AG165*AG165))-1),"none")</f>
        <v>none</v>
      </c>
      <c r="H165" s="17" t="str">
        <f aca="false">IF(ISNUMBER(F165),$Z$15*(1+AC165/AG165)/(1+$V$15*$Z$15*AI165)/AG165," ")</f>
        <v> </v>
      </c>
      <c r="J165" s="27" t="str">
        <f aca="false">IF(ISNUMBER(F165),IF( AND( ( (F165*(F165+2*$U$8)*AB165*AB165) &gt; ($E$5*($E$5+2*$U$5)) ), ( B165&lt;90 ) ), 180-AJ165, AJ165)," ")</f>
        <v> </v>
      </c>
      <c r="L165" s="17" t="str">
        <f aca="false">IF(ISNUMBER(F165),$E$5+$O$10-F165," ")</f>
        <v> </v>
      </c>
      <c r="N165" s="1" t="str">
        <f aca="false">IF(ISNUMBER(P165),B165," ")</f>
        <v> </v>
      </c>
      <c r="O165" s="27" t="str">
        <f aca="false">IF(ISNUMBER(P165), IF( ABS(AM165-1)&lt;0.000001,0, IF(ABS(AM165+1)&lt;0.000001,180,ROUND(DEGREES(ACOS(AM165)),3)))," ")</f>
        <v> </v>
      </c>
      <c r="P165" s="17" t="str">
        <f aca="false">IF(AK165&gt;0.0000001,$U$8*((1/SQRT(1-AK165*AK165))-1),"none")</f>
        <v>none</v>
      </c>
      <c r="Q165" s="17" t="str">
        <f aca="false">IF(ISNUMBER(P165),ABS($Z$15*(1+AC165/AK165)/(1+$V$15*$Z$15*AM165)/AK165)," ")</f>
        <v> </v>
      </c>
      <c r="R165" s="27" t="str">
        <f aca="false">IF(ISNUMBER(P165),IF( AND( ( (P165*(P165+2*$U$8)*AB165*AB165) &gt; ($E$5*($E$5+2*$U$5)) ), ( B165&lt;90 ) ), 180-AN165, AN165)," ")</f>
        <v> </v>
      </c>
      <c r="S165" s="17" t="str">
        <f aca="false">IF(ISNUMBER(P165),$E$5+$O$10-P165," ")</f>
        <v> </v>
      </c>
      <c r="AB165" s="1" t="n">
        <f aca="false">COS(RADIANS(B165))</f>
        <v>-0.707106781186548</v>
      </c>
      <c r="AC165" s="1" t="n">
        <f aca="false">-$V$15*AB165</f>
        <v>0.0472545859590309</v>
      </c>
      <c r="AD165" s="1" t="n">
        <f aca="false">$AA$15+AC165*AC165</f>
        <v>1.00220596539017</v>
      </c>
      <c r="AF165" s="1" t="n">
        <f aca="false">AC165*AC165-AD165*$AE$15</f>
        <v>0.00220590576181516</v>
      </c>
      <c r="AG165" s="1" t="n">
        <f aca="false">IF(ISNUMBER(SQRT(AF165)),(-AC165+SQRT(AF165))/AD165,-100)</f>
        <v>-0.000286882069894797</v>
      </c>
      <c r="AH165" s="1" t="n">
        <f aca="false">(AG165*AB165-$V$15)/((1-$V$15*AG165*AB165)*$Z$15)</f>
        <v>-0.999995385521773</v>
      </c>
      <c r="AI165" s="1" t="n">
        <f aca="false">IF(ABS(AH165)&lt;=1,AH165,IF(ABS(AH165)&lt;=1.00001,1*SIGN(AH165),0))</f>
        <v>-0.999995385521773</v>
      </c>
      <c r="AJ165" s="17" t="e">
        <f aca="false">DEGREES(ASIN( SQRT( (F165*(F165+2*$U$8)) / (L165*(L165+2*$U$10)) ) * SIN(RADIANS(B165))  ))</f>
        <v>#VALUE!</v>
      </c>
      <c r="AK165" s="1" t="n">
        <f aca="false">IF(ISNUMBER(SQRT(AF165)),(-AC165-SQRT(AF165))/AD165,-100)</f>
        <v>-0.0940142647819583</v>
      </c>
      <c r="AL165" s="1" t="n">
        <f aca="false">(AK165*AB165-$V$15)/((1-$V$15*AK165*AB165)*$Z$15)</f>
        <v>-0.00527589164197249</v>
      </c>
      <c r="AM165" s="1" t="n">
        <f aca="false">IF(ABS(AL165)&lt;=1,AL165,IF(ABS(AL165)&lt;=1.00001,1*SIGN(AL165),0))</f>
        <v>-0.00527589164197249</v>
      </c>
      <c r="AN165" s="17" t="str">
        <f aca="false">IF(ISNUMBER(P165),DEGREES(ASIN( SQRT( (P165*(P165+2*$U$8)) / (S165*(S165+2*$U$10)) ) * SIN(RADIANS(B165)) ) ),"ignore")</f>
        <v>ignore</v>
      </c>
    </row>
    <row r="166" customFormat="false" ht="12.75" hidden="false" customHeight="false" outlineLevel="0" collapsed="false">
      <c r="B166" s="1" t="n">
        <v>136</v>
      </c>
      <c r="D166" s="27" t="str">
        <f aca="false">IF(ISNUMBER(F166),IF(ABS(AI166-1)&lt;0.000001,0,IF(ABS(AI166+1)&lt;0.000001,180,ROUND(DEGREES(ACOS(AI166)),3)))," ")</f>
        <v> </v>
      </c>
      <c r="F166" s="17" t="str">
        <f aca="false">IF(AG166&gt;0.0000001,$U$8*((1/SQRT(1-AG166*AG166))-1),"none")</f>
        <v>none</v>
      </c>
      <c r="H166" s="17" t="str">
        <f aca="false">IF(ISNUMBER(F166),$Z$15*(1+AC166/AG166)/(1+$V$15*$Z$15*AI166)/AG166," ")</f>
        <v> </v>
      </c>
      <c r="J166" s="27" t="str">
        <f aca="false">IF(ISNUMBER(F166),IF( AND( ( (F166*(F166+2*$U$8)*AB166*AB166) &gt; ($E$5*($E$5+2*$U$5)) ), ( B166&lt;90 ) ), 180-AJ166, AJ166)," ")</f>
        <v> </v>
      </c>
      <c r="L166" s="17" t="str">
        <f aca="false">IF(ISNUMBER(F166),$E$5+$O$10-F166," ")</f>
        <v> </v>
      </c>
      <c r="N166" s="1" t="str">
        <f aca="false">IF(ISNUMBER(P166),B166," ")</f>
        <v> </v>
      </c>
      <c r="O166" s="27" t="str">
        <f aca="false">IF(ISNUMBER(P166), IF( ABS(AM166-1)&lt;0.000001,0, IF(ABS(AM166+1)&lt;0.000001,180,ROUND(DEGREES(ACOS(AM166)),3)))," ")</f>
        <v> </v>
      </c>
      <c r="P166" s="17" t="str">
        <f aca="false">IF(AK166&gt;0.0000001,$U$8*((1/SQRT(1-AK166*AK166))-1),"none")</f>
        <v>none</v>
      </c>
      <c r="Q166" s="17" t="str">
        <f aca="false">IF(ISNUMBER(P166),ABS($Z$15*(1+AC166/AK166)/(1+$V$15*$Z$15*AM166)/AK166)," ")</f>
        <v> </v>
      </c>
      <c r="R166" s="27" t="str">
        <f aca="false">IF(ISNUMBER(P166),IF( AND( ( (P166*(P166+2*$U$8)*AB166*AB166) &gt; ($E$5*($E$5+2*$U$5)) ), ( B166&lt;90 ) ), 180-AN166, AN166)," ")</f>
        <v> </v>
      </c>
      <c r="S166" s="17" t="str">
        <f aca="false">IF(ISNUMBER(P166),$E$5+$O$10-P166," ")</f>
        <v> </v>
      </c>
      <c r="AB166" s="1" t="n">
        <f aca="false">COS(RADIANS(B166))</f>
        <v>-0.719339800338651</v>
      </c>
      <c r="AC166" s="1" t="n">
        <f aca="false">-$V$15*AB166</f>
        <v>0.0480720950968891</v>
      </c>
      <c r="AD166" s="1" t="n">
        <f aca="false">$AA$15+AC166*AC166</f>
        <v>1.00228389582302</v>
      </c>
      <c r="AF166" s="1" t="n">
        <f aca="false">AC166*AC166-AD166*$AE$15</f>
        <v>0.0022838340881612</v>
      </c>
      <c r="AG166" s="1" t="n">
        <f aca="false">IF(ISNUMBER(SQRT(AF166)),(-AC166+SQRT(AF166))/AD166,-100)</f>
        <v>-0.000281974345578372</v>
      </c>
      <c r="AH166" s="1" t="n">
        <f aca="false">(AG166*AB166-$V$15)/((1-$V$15*AG166*AB166)*$Z$15)</f>
        <v>-0.999995697632962</v>
      </c>
      <c r="AI166" s="1" t="n">
        <f aca="false">IF(ABS(AH166)&lt;=1,AH166,IF(ABS(AH166)&lt;=1.00001,1*SIGN(AH166),0))</f>
        <v>-0.999995697632962</v>
      </c>
      <c r="AJ166" s="17" t="e">
        <f aca="false">DEGREES(ASIN( SQRT( (F166*(F166+2*$U$8)) / (L166*(L166+2*$U$10)) ) * SIN(RADIANS(B166))  ))</f>
        <v>#VALUE!</v>
      </c>
      <c r="AK166" s="1" t="n">
        <f aca="false">IF(ISNUMBER(SQRT(AF166)),(-AC166-SQRT(AF166))/AD166,-100)</f>
        <v>-0.0956431328964474</v>
      </c>
      <c r="AL166" s="1" t="n">
        <f aca="false">(AK166*AB166-$V$15)/((1-$V$15*AK166*AB166)*$Z$15)</f>
        <v>0.0297320998080292</v>
      </c>
      <c r="AM166" s="1" t="n">
        <f aca="false">IF(ABS(AL166)&lt;=1,AL166,IF(ABS(AL166)&lt;=1.00001,1*SIGN(AL166),0))</f>
        <v>0.0297320998080292</v>
      </c>
      <c r="AN166" s="17" t="str">
        <f aca="false">IF(ISNUMBER(P166),DEGREES(ASIN( SQRT( (P166*(P166+2*$U$8)) / (S166*(S166+2*$U$10)) ) * SIN(RADIANS(B166)) ) ),"ignore")</f>
        <v>ignore</v>
      </c>
    </row>
    <row r="167" customFormat="false" ht="12.75" hidden="false" customHeight="false" outlineLevel="0" collapsed="false">
      <c r="B167" s="1" t="n">
        <v>137</v>
      </c>
      <c r="D167" s="27" t="str">
        <f aca="false">IF(ISNUMBER(F167),IF(ABS(AI167-1)&lt;0.000001,0,IF(ABS(AI167+1)&lt;0.000001,180,ROUND(DEGREES(ACOS(AI167)),3)))," ")</f>
        <v> </v>
      </c>
      <c r="F167" s="17" t="str">
        <f aca="false">IF(AG167&gt;0.0000001,$U$8*((1/SQRT(1-AG167*AG167))-1),"none")</f>
        <v>none</v>
      </c>
      <c r="H167" s="17" t="str">
        <f aca="false">IF(ISNUMBER(F167),$Z$15*(1+AC167/AG167)/(1+$V$15*$Z$15*AI167)/AG167," ")</f>
        <v> </v>
      </c>
      <c r="J167" s="27" t="str">
        <f aca="false">IF(ISNUMBER(F167),IF( AND( ( (F167*(F167+2*$U$8)*AB167*AB167) &gt; ($E$5*($E$5+2*$U$5)) ), ( B167&lt;90 ) ), 180-AJ167, AJ167)," ")</f>
        <v> </v>
      </c>
      <c r="L167" s="17" t="str">
        <f aca="false">IF(ISNUMBER(F167),$E$5+$O$10-F167," ")</f>
        <v> </v>
      </c>
      <c r="N167" s="1" t="str">
        <f aca="false">IF(ISNUMBER(P167),B167," ")</f>
        <v> </v>
      </c>
      <c r="O167" s="27" t="str">
        <f aca="false">IF(ISNUMBER(P167), IF( ABS(AM167-1)&lt;0.000001,0, IF(ABS(AM167+1)&lt;0.000001,180,ROUND(DEGREES(ACOS(AM167)),3)))," ")</f>
        <v> </v>
      </c>
      <c r="P167" s="17" t="str">
        <f aca="false">IF(AK167&gt;0.0000001,$U$8*((1/SQRT(1-AK167*AK167))-1),"none")</f>
        <v>none</v>
      </c>
      <c r="Q167" s="17" t="str">
        <f aca="false">IF(ISNUMBER(P167),ABS($Z$15*(1+AC167/AK167)/(1+$V$15*$Z$15*AM167)/AK167)," ")</f>
        <v> </v>
      </c>
      <c r="R167" s="27" t="str">
        <f aca="false">IF(ISNUMBER(P167),IF( AND( ( (P167*(P167+2*$U$8)*AB167*AB167) &gt; ($E$5*($E$5+2*$U$5)) ), ( B167&lt;90 ) ), 180-AN167, AN167)," ")</f>
        <v> </v>
      </c>
      <c r="S167" s="17" t="str">
        <f aca="false">IF(ISNUMBER(P167),$E$5+$O$10-P167," ")</f>
        <v> </v>
      </c>
      <c r="AB167" s="1" t="n">
        <f aca="false">COS(RADIANS(B167))</f>
        <v>-0.731353701619171</v>
      </c>
      <c r="AC167" s="1" t="n">
        <f aca="false">-$V$15*AB167</f>
        <v>0.0488749610088961</v>
      </c>
      <c r="AD167" s="1" t="n">
        <f aca="false">$AA$15+AC167*AC167</f>
        <v>1.00236173130963</v>
      </c>
      <c r="AF167" s="1" t="n">
        <f aca="false">AC167*AC167-AD167*$AE$15</f>
        <v>0.00236166747084553</v>
      </c>
      <c r="AG167" s="1" t="n">
        <f aca="false">IF(ISNUMBER(SQRT(AF167)),(-AC167+SQRT(AF167))/AD167,-100)</f>
        <v>-0.000277315716078537</v>
      </c>
      <c r="AH167" s="1" t="n">
        <f aca="false">(AG167*AB167-$V$15)/((1-$V$15*AG167*AB167)*$Z$15)</f>
        <v>-0.999995988920425</v>
      </c>
      <c r="AI167" s="1" t="n">
        <f aca="false">IF(ABS(AH167)&lt;=1,AH167,IF(ABS(AH167)&lt;=1.00001,1*SIGN(AH167),0))</f>
        <v>-0.999995988920425</v>
      </c>
      <c r="AJ167" s="17" t="e">
        <f aca="false">DEGREES(ASIN( SQRT( (F167*(F167+2*$U$8)) / (L167*(L167+2*$U$10)) ) * SIN(RADIANS(B167))  ))</f>
        <v>#VALUE!</v>
      </c>
      <c r="AK167" s="1" t="n">
        <f aca="false">IF(ISNUMBER(SQRT(AF167)),(-AC167-SQRT(AF167))/AD167,-100)</f>
        <v>-0.0972422911927739</v>
      </c>
      <c r="AL167" s="1" t="n">
        <f aca="false">(AK167*AB167-$V$15)/((1-$V$15*AK167*AB167)*$Z$15)</f>
        <v>0.0647028783704773</v>
      </c>
      <c r="AM167" s="1" t="n">
        <f aca="false">IF(ABS(AL167)&lt;=1,AL167,IF(ABS(AL167)&lt;=1.00001,1*SIGN(AL167),0))</f>
        <v>0.0647028783704773</v>
      </c>
      <c r="AN167" s="17" t="str">
        <f aca="false">IF(ISNUMBER(P167),DEGREES(ASIN( SQRT( (P167*(P167+2*$U$8)) / (S167*(S167+2*$U$10)) ) * SIN(RADIANS(B167)) ) ),"ignore")</f>
        <v>ignore</v>
      </c>
    </row>
    <row r="168" customFormat="false" ht="12.75" hidden="false" customHeight="false" outlineLevel="0" collapsed="false">
      <c r="B168" s="1" t="n">
        <v>138</v>
      </c>
      <c r="D168" s="27" t="str">
        <f aca="false">IF(ISNUMBER(F168),IF(ABS(AI168-1)&lt;0.000001,0,IF(ABS(AI168+1)&lt;0.000001,180,ROUND(DEGREES(ACOS(AI168)),3)))," ")</f>
        <v> </v>
      </c>
      <c r="F168" s="17" t="str">
        <f aca="false">IF(AG168&gt;0.0000001,$U$8*((1/SQRT(1-AG168*AG168))-1),"none")</f>
        <v>none</v>
      </c>
      <c r="H168" s="17" t="str">
        <f aca="false">IF(ISNUMBER(F168),$Z$15*(1+AC168/AG168)/(1+$V$15*$Z$15*AI168)/AG168," ")</f>
        <v> </v>
      </c>
      <c r="J168" s="27" t="str">
        <f aca="false">IF(ISNUMBER(F168),IF( AND( ( (F168*(F168+2*$U$8)*AB168*AB168) &gt; ($E$5*($E$5+2*$U$5)) ), ( B168&lt;90 ) ), 180-AJ168, AJ168)," ")</f>
        <v> </v>
      </c>
      <c r="L168" s="17" t="str">
        <f aca="false">IF(ISNUMBER(F168),$E$5+$O$10-F168," ")</f>
        <v> </v>
      </c>
      <c r="N168" s="1" t="str">
        <f aca="false">IF(ISNUMBER(P168),B168," ")</f>
        <v> </v>
      </c>
      <c r="O168" s="27" t="str">
        <f aca="false">IF(ISNUMBER(P168), IF( ABS(AM168-1)&lt;0.000001,0, IF(ABS(AM168+1)&lt;0.000001,180,ROUND(DEGREES(ACOS(AM168)),3)))," ")</f>
        <v> </v>
      </c>
      <c r="P168" s="17" t="str">
        <f aca="false">IF(AK168&gt;0.0000001,$U$8*((1/SQRT(1-AK168*AK168))-1),"none")</f>
        <v>none</v>
      </c>
      <c r="Q168" s="17" t="str">
        <f aca="false">IF(ISNUMBER(P168),ABS($Z$15*(1+AC168/AK168)/(1+$V$15*$Z$15*AM168)/AK168)," ")</f>
        <v> </v>
      </c>
      <c r="R168" s="27" t="str">
        <f aca="false">IF(ISNUMBER(P168),IF( AND( ( (P168*(P168+2*$U$8)*AB168*AB168) &gt; ($E$5*($E$5+2*$U$5)) ), ( B168&lt;90 ) ), 180-AN168, AN168)," ")</f>
        <v> </v>
      </c>
      <c r="S168" s="17" t="str">
        <f aca="false">IF(ISNUMBER(P168),$E$5+$O$10-P168," ")</f>
        <v> </v>
      </c>
      <c r="AB168" s="1" t="n">
        <f aca="false">COS(RADIANS(B168))</f>
        <v>-0.743144825477394</v>
      </c>
      <c r="AC168" s="1" t="n">
        <f aca="false">-$V$15*AB168</f>
        <v>0.0496629391343173</v>
      </c>
      <c r="AD168" s="1" t="n">
        <f aca="false">$AA$15+AC168*AC168</f>
        <v>1.00243937701947</v>
      </c>
      <c r="AF168" s="1" t="n">
        <f aca="false">AC168*AC168-AD168*$AE$15</f>
        <v>0.00243931108188065</v>
      </c>
      <c r="AG168" s="1" t="n">
        <f aca="false">IF(ISNUMBER(SQRT(AF168)),(-AC168+SQRT(AF168))/AD168,-100)</f>
        <v>-0.000272891171073798</v>
      </c>
      <c r="AH168" s="1" t="n">
        <f aca="false">(AG168*AB168-$V$15)/((1-$V$15*AG168*AB168)*$Z$15)</f>
        <v>-0.999996261078456</v>
      </c>
      <c r="AI168" s="1" t="n">
        <f aca="false">IF(ABS(AH168)&lt;=1,AH168,IF(ABS(AH168)&lt;=1.00001,1*SIGN(AH168),0))</f>
        <v>-0.999996261078456</v>
      </c>
      <c r="AJ168" s="17" t="e">
        <f aca="false">DEGREES(ASIN( SQRT( (F168*(F168+2*$U$8)) / (L168*(L168+2*$U$10)) ) * SIN(RADIANS(B168))  ))</f>
        <v>#VALUE!</v>
      </c>
      <c r="AK168" s="1" t="n">
        <f aca="false">IF(ISNUMBER(SQRT(AF168)),(-AC168-SQRT(AF168))/AD168,-100)</f>
        <v>-0.0988112834390236</v>
      </c>
      <c r="AL168" s="1" t="n">
        <f aca="false">(AK168*AB168-$V$15)/((1-$V$15*AK168*AB168)*$Z$15)</f>
        <v>0.0995938109343015</v>
      </c>
      <c r="AM168" s="1" t="n">
        <f aca="false">IF(ABS(AL168)&lt;=1,AL168,IF(ABS(AL168)&lt;=1.00001,1*SIGN(AL168),0))</f>
        <v>0.0995938109343015</v>
      </c>
      <c r="AN168" s="17" t="str">
        <f aca="false">IF(ISNUMBER(P168),DEGREES(ASIN( SQRT( (P168*(P168+2*$U$8)) / (S168*(S168+2*$U$10)) ) * SIN(RADIANS(B168)) ) ),"ignore")</f>
        <v>ignore</v>
      </c>
    </row>
    <row r="169" customFormat="false" ht="12.75" hidden="false" customHeight="false" outlineLevel="0" collapsed="false">
      <c r="B169" s="1" t="n">
        <v>139</v>
      </c>
      <c r="D169" s="27" t="str">
        <f aca="false">IF(ISNUMBER(F169),IF(ABS(AI169-1)&lt;0.000001,0,IF(ABS(AI169+1)&lt;0.000001,180,ROUND(DEGREES(ACOS(AI169)),3)))," ")</f>
        <v> </v>
      </c>
      <c r="F169" s="17" t="str">
        <f aca="false">IF(AG169&gt;0.0000001,$U$8*((1/SQRT(1-AG169*AG169))-1),"none")</f>
        <v>none</v>
      </c>
      <c r="H169" s="17" t="str">
        <f aca="false">IF(ISNUMBER(F169),$Z$15*(1+AC169/AG169)/(1+$V$15*$Z$15*AI169)/AG169," ")</f>
        <v> </v>
      </c>
      <c r="J169" s="27" t="str">
        <f aca="false">IF(ISNUMBER(F169),IF( AND( ( (F169*(F169+2*$U$8)*AB169*AB169) &gt; ($E$5*($E$5+2*$U$5)) ), ( B169&lt;90 ) ), 180-AJ169, AJ169)," ")</f>
        <v> </v>
      </c>
      <c r="L169" s="17" t="str">
        <f aca="false">IF(ISNUMBER(F169),$E$5+$O$10-F169," ")</f>
        <v> </v>
      </c>
      <c r="N169" s="1" t="str">
        <f aca="false">IF(ISNUMBER(P169),B169," ")</f>
        <v> </v>
      </c>
      <c r="O169" s="27" t="str">
        <f aca="false">IF(ISNUMBER(P169), IF( ABS(AM169-1)&lt;0.000001,0, IF(ABS(AM169+1)&lt;0.000001,180,ROUND(DEGREES(ACOS(AM169)),3)))," ")</f>
        <v> </v>
      </c>
      <c r="P169" s="17" t="str">
        <f aca="false">IF(AK169&gt;0.0000001,$U$8*((1/SQRT(1-AK169*AK169))-1),"none")</f>
        <v>none</v>
      </c>
      <c r="Q169" s="17" t="str">
        <f aca="false">IF(ISNUMBER(P169),ABS($Z$15*(1+AC169/AK169)/(1+$V$15*$Z$15*AM169)/AK169)," ")</f>
        <v> </v>
      </c>
      <c r="R169" s="27" t="str">
        <f aca="false">IF(ISNUMBER(P169),IF( AND( ( (P169*(P169+2*$U$8)*AB169*AB169) &gt; ($E$5*($E$5+2*$U$5)) ), ( B169&lt;90 ) ), 180-AN169, AN169)," ")</f>
        <v> </v>
      </c>
      <c r="S169" s="17" t="str">
        <f aca="false">IF(ISNUMBER(P169),$E$5+$O$10-P169," ")</f>
        <v> </v>
      </c>
      <c r="AB169" s="1" t="n">
        <f aca="false">COS(RADIANS(B169))</f>
        <v>-0.754709580222772</v>
      </c>
      <c r="AC169" s="1" t="n">
        <f aca="false">-$V$15*AB169</f>
        <v>0.0504357894473825</v>
      </c>
      <c r="AD169" s="1" t="n">
        <f aca="false">$AA$15+AC169*AC169</f>
        <v>1.00251673835319</v>
      </c>
      <c r="AF169" s="1" t="n">
        <f aca="false">AC169*AC169-AD169*$AE$15</f>
        <v>0.00251667032448661</v>
      </c>
      <c r="AG169" s="1" t="n">
        <f aca="false">IF(ISNUMBER(SQRT(AF169)),(-AC169+SQRT(AF169))/AD169,-100)</f>
        <v>-0.000268686964753518</v>
      </c>
      <c r="AH169" s="1" t="n">
        <f aca="false">(AG169*AB169-$V$15)/((1-$V$15*AG169*AB169)*$Z$15)</f>
        <v>-0.999996515627609</v>
      </c>
      <c r="AI169" s="1" t="n">
        <f aca="false">IF(ABS(AH169)&lt;=1,AH169,IF(ABS(AH169)&lt;=1.00001,1*SIGN(AH169),0))</f>
        <v>-0.999996515627609</v>
      </c>
      <c r="AJ169" s="17" t="e">
        <f aca="false">DEGREES(ASIN( SQRT( (F169*(F169+2*$U$8)) / (L169*(L169+2*$U$10)) ) * SIN(RADIANS(B169))  ))</f>
        <v>#VALUE!</v>
      </c>
      <c r="AK169" s="1" t="n">
        <f aca="false">IF(ISNUMBER(SQRT(AF169)),(-AC169-SQRT(AF169))/AD169,-100)</f>
        <v>-0.100349661872458</v>
      </c>
      <c r="AL169" s="1" t="n">
        <f aca="false">(AK169*AB169-$V$15)/((1-$V$15*AK169*AB169)*$Z$15)</f>
        <v>0.134362341660356</v>
      </c>
      <c r="AM169" s="1" t="n">
        <f aca="false">IF(ABS(AL169)&lt;=1,AL169,IF(ABS(AL169)&lt;=1.00001,1*SIGN(AL169),0))</f>
        <v>0.134362341660356</v>
      </c>
      <c r="AN169" s="17" t="str">
        <f aca="false">IF(ISNUMBER(P169),DEGREES(ASIN( SQRT( (P169*(P169+2*$U$8)) / (S169*(S169+2*$U$10)) ) * SIN(RADIANS(B169)) ) ),"ignore")</f>
        <v>ignore</v>
      </c>
    </row>
    <row r="170" customFormat="false" ht="12.75" hidden="false" customHeight="false" outlineLevel="0" collapsed="false">
      <c r="B170" s="1" t="n">
        <v>140</v>
      </c>
      <c r="D170" s="27" t="str">
        <f aca="false">IF(ISNUMBER(F170),IF(ABS(AI170-1)&lt;0.000001,0,IF(ABS(AI170+1)&lt;0.000001,180,ROUND(DEGREES(ACOS(AI170)),3)))," ")</f>
        <v> </v>
      </c>
      <c r="F170" s="17" t="str">
        <f aca="false">IF(AG170&gt;0.0000001,$U$8*((1/SQRT(1-AG170*AG170))-1),"none")</f>
        <v>none</v>
      </c>
      <c r="H170" s="17" t="str">
        <f aca="false">IF(ISNUMBER(F170),$Z$15*(1+AC170/AG170)/(1+$V$15*$Z$15*AI170)/AG170," ")</f>
        <v> </v>
      </c>
      <c r="J170" s="27" t="str">
        <f aca="false">IF(ISNUMBER(F170),IF( AND( ( (F170*(F170+2*$U$8)*AB170*AB170) &gt; ($E$5*($E$5+2*$U$5)) ), ( B170&lt;90 ) ), 180-AJ170, AJ170)," ")</f>
        <v> </v>
      </c>
      <c r="L170" s="17" t="str">
        <f aca="false">IF(ISNUMBER(F170),$E$5+$O$10-F170," ")</f>
        <v> </v>
      </c>
      <c r="N170" s="1" t="str">
        <f aca="false">IF(ISNUMBER(P170),B170," ")</f>
        <v> </v>
      </c>
      <c r="O170" s="27" t="str">
        <f aca="false">IF(ISNUMBER(P170), IF( ABS(AM170-1)&lt;0.000001,0, IF(ABS(AM170+1)&lt;0.000001,180,ROUND(DEGREES(ACOS(AM170)),3)))," ")</f>
        <v> </v>
      </c>
      <c r="P170" s="17" t="str">
        <f aca="false">IF(AK170&gt;0.0000001,$U$8*((1/SQRT(1-AK170*AK170))-1),"none")</f>
        <v>none</v>
      </c>
      <c r="Q170" s="17" t="str">
        <f aca="false">IF(ISNUMBER(P170),ABS($Z$15*(1+AC170/AK170)/(1+$V$15*$Z$15*AM170)/AK170)," ")</f>
        <v> </v>
      </c>
      <c r="R170" s="27" t="str">
        <f aca="false">IF(ISNUMBER(P170),IF( AND( ( (P170*(P170+2*$U$8)*AB170*AB170) &gt; ($E$5*($E$5+2*$U$5)) ), ( B170&lt;90 ) ), 180-AN170, AN170)," ")</f>
        <v> </v>
      </c>
      <c r="S170" s="17" t="str">
        <f aca="false">IF(ISNUMBER(P170),$E$5+$O$10-P170," ")</f>
        <v> </v>
      </c>
      <c r="AB170" s="1" t="n">
        <f aca="false">COS(RADIANS(B170))</f>
        <v>-0.766044443118978</v>
      </c>
      <c r="AC170" s="1" t="n">
        <f aca="false">-$V$15*AB170</f>
        <v>0.0511932765303996</v>
      </c>
      <c r="AD170" s="1" t="n">
        <f aca="false">$AA$15+AC170*AC170</f>
        <v>1.00259372105793</v>
      </c>
      <c r="AF170" s="1" t="n">
        <f aca="false">AC170*AC170-AD170*$AE$15</f>
        <v>0.00259365094834256</v>
      </c>
      <c r="AG170" s="1" t="n">
        <f aca="false">IF(ISNUMBER(SQRT(AF170)),(-AC170+SQRT(AF170))/AD170,-100)</f>
        <v>-0.000264690488657499</v>
      </c>
      <c r="AH170" s="1" t="n">
        <f aca="false">(AG170*AB170-$V$15)/((1-$V$15*AG170*AB170)*$Z$15)</f>
        <v>-0.99999675393548</v>
      </c>
      <c r="AI170" s="1" t="n">
        <f aca="false">IF(ABS(AH170)&lt;=1,AH170,IF(ABS(AH170)&lt;=1.00001,1*SIGN(AH170),0))</f>
        <v>-0.99999675393548</v>
      </c>
      <c r="AJ170" s="17" t="e">
        <f aca="false">DEGREES(ASIN( SQRT( (F170*(F170+2*$U$8)) / (L170*(L170+2*$U$10)) ) * SIN(RADIANS(B170))  ))</f>
        <v>#VALUE!</v>
      </c>
      <c r="AK170" s="1" t="n">
        <f aca="false">IF(ISNUMBER(SQRT(AF170)),(-AC170-SQRT(AF170))/AD170,-100)</f>
        <v>-0.101856987425664</v>
      </c>
      <c r="AL170" s="1" t="n">
        <f aca="false">(AK170*AB170-$V$15)/((1-$V$15*AK170*AB170)*$Z$15)</f>
        <v>0.168966044080338</v>
      </c>
      <c r="AM170" s="1" t="n">
        <f aca="false">IF(ABS(AL170)&lt;=1,AL170,IF(ABS(AL170)&lt;=1.00001,1*SIGN(AL170),0))</f>
        <v>0.168966044080338</v>
      </c>
      <c r="AN170" s="17" t="str">
        <f aca="false">IF(ISNUMBER(P170),DEGREES(ASIN( SQRT( (P170*(P170+2*$U$8)) / (S170*(S170+2*$U$10)) ) * SIN(RADIANS(B170)) ) ),"ignore")</f>
        <v>ignore</v>
      </c>
    </row>
    <row r="171" customFormat="false" ht="12.75" hidden="false" customHeight="false" outlineLevel="0" collapsed="false">
      <c r="B171" s="1" t="n">
        <v>141</v>
      </c>
      <c r="D171" s="27" t="str">
        <f aca="false">IF(ISNUMBER(F171),IF(ABS(AI171-1)&lt;0.000001,0,IF(ABS(AI171+1)&lt;0.000001,180,ROUND(DEGREES(ACOS(AI171)),3)))," ")</f>
        <v> </v>
      </c>
      <c r="F171" s="17" t="str">
        <f aca="false">IF(AG171&gt;0.0000001,$U$8*((1/SQRT(1-AG171*AG171))-1),"none")</f>
        <v>none</v>
      </c>
      <c r="H171" s="17" t="str">
        <f aca="false">IF(ISNUMBER(F171),$Z$15*(1+AC171/AG171)/(1+$V$15*$Z$15*AI171)/AG171," ")</f>
        <v> </v>
      </c>
      <c r="J171" s="27" t="str">
        <f aca="false">IF(ISNUMBER(F171),IF( AND( ( (F171*(F171+2*$U$8)*AB171*AB171) &gt; ($E$5*($E$5+2*$U$5)) ), ( B171&lt;90 ) ), 180-AJ171, AJ171)," ")</f>
        <v> </v>
      </c>
      <c r="L171" s="17" t="str">
        <f aca="false">IF(ISNUMBER(F171),$E$5+$O$10-F171," ")</f>
        <v> </v>
      </c>
      <c r="N171" s="1" t="str">
        <f aca="false">IF(ISNUMBER(P171),B171," ")</f>
        <v> </v>
      </c>
      <c r="O171" s="27" t="str">
        <f aca="false">IF(ISNUMBER(P171), IF( ABS(AM171-1)&lt;0.000001,0, IF(ABS(AM171+1)&lt;0.000001,180,ROUND(DEGREES(ACOS(AM171)),3)))," ")</f>
        <v> </v>
      </c>
      <c r="P171" s="17" t="str">
        <f aca="false">IF(AK171&gt;0.0000001,$U$8*((1/SQRT(1-AK171*AK171))-1),"none")</f>
        <v>none</v>
      </c>
      <c r="Q171" s="17" t="str">
        <f aca="false">IF(ISNUMBER(P171),ABS($Z$15*(1+AC171/AK171)/(1+$V$15*$Z$15*AM171)/AK171)," ")</f>
        <v> </v>
      </c>
      <c r="R171" s="27" t="str">
        <f aca="false">IF(ISNUMBER(P171),IF( AND( ( (P171*(P171+2*$U$8)*AB171*AB171) &gt; ($E$5*($E$5+2*$U$5)) ), ( B171&lt;90 ) ), 180-AN171, AN171)," ")</f>
        <v> </v>
      </c>
      <c r="S171" s="17" t="str">
        <f aca="false">IF(ISNUMBER(P171),$E$5+$O$10-P171," ")</f>
        <v> </v>
      </c>
      <c r="AB171" s="1" t="n">
        <f aca="false">COS(RADIANS(B171))</f>
        <v>-0.777145961456971</v>
      </c>
      <c r="AC171" s="1" t="n">
        <f aca="false">-$V$15*AB171</f>
        <v>0.0519351696454651</v>
      </c>
      <c r="AD171" s="1" t="n">
        <f aca="false">$AA$15+AC171*AC171</f>
        <v>1.00267023134212</v>
      </c>
      <c r="AF171" s="1" t="n">
        <f aca="false">AC171*AC171-AD171*$AE$15</f>
        <v>0.0026701591644163</v>
      </c>
      <c r="AG171" s="1" t="n">
        <f aca="false">IF(ISNUMBER(SQRT(AF171)),(-AC171+SQRT(AF171))/AD171,-100)</f>
        <v>-0.000260890159733724</v>
      </c>
      <c r="AH171" s="1" t="n">
        <f aca="false">(AG171*AB171-$V$15)/((1-$V$15*AG171*AB171)*$Z$15)</f>
        <v>-0.999996977234627</v>
      </c>
      <c r="AI171" s="1" t="n">
        <f aca="false">IF(ABS(AH171)&lt;=1,AH171,IF(ABS(AH171)&lt;=1.00001,1*SIGN(AH171),0))</f>
        <v>-0.999996977234627</v>
      </c>
      <c r="AJ171" s="17" t="e">
        <f aca="false">DEGREES(ASIN( SQRT( (F171*(F171+2*$U$8)) / (L171*(L171+2*$U$10)) ) * SIN(RADIANS(B171))  ))</f>
        <v>#VALUE!</v>
      </c>
      <c r="AK171" s="1" t="n">
        <f aca="false">IF(ISNUMBER(SQRT(AF171)),(-AC171-SQRT(AF171))/AD171,-100)</f>
        <v>-0.103332829932959</v>
      </c>
      <c r="AL171" s="1" t="n">
        <f aca="false">(AK171*AB171-$V$15)/((1-$V$15*AK171*AB171)*$Z$15)</f>
        <v>0.203362673130736</v>
      </c>
      <c r="AM171" s="1" t="n">
        <f aca="false">IF(ABS(AL171)&lt;=1,AL171,IF(ABS(AL171)&lt;=1.00001,1*SIGN(AL171),0))</f>
        <v>0.203362673130736</v>
      </c>
      <c r="AN171" s="17" t="str">
        <f aca="false">IF(ISNUMBER(P171),DEGREES(ASIN( SQRT( (P171*(P171+2*$U$8)) / (S171*(S171+2*$U$10)) ) * SIN(RADIANS(B171)) ) ),"ignore")</f>
        <v>ignore</v>
      </c>
    </row>
    <row r="172" customFormat="false" ht="12.75" hidden="false" customHeight="false" outlineLevel="0" collapsed="false">
      <c r="B172" s="1" t="n">
        <v>142</v>
      </c>
      <c r="D172" s="27" t="str">
        <f aca="false">IF(ISNUMBER(F172),IF(ABS(AI172-1)&lt;0.000001,0,IF(ABS(AI172+1)&lt;0.000001,180,ROUND(DEGREES(ACOS(AI172)),3)))," ")</f>
        <v> </v>
      </c>
      <c r="F172" s="17" t="str">
        <f aca="false">IF(AG172&gt;0.0000001,$U$8*((1/SQRT(1-AG172*AG172))-1),"none")</f>
        <v>none</v>
      </c>
      <c r="H172" s="17" t="str">
        <f aca="false">IF(ISNUMBER(F172),$Z$15*(1+AC172/AG172)/(1+$V$15*$Z$15*AI172)/AG172," ")</f>
        <v> </v>
      </c>
      <c r="J172" s="27" t="str">
        <f aca="false">IF(ISNUMBER(F172),IF( AND( ( (F172*(F172+2*$U$8)*AB172*AB172) &gt; ($E$5*($E$5+2*$U$5)) ), ( B172&lt;90 ) ), 180-AJ172, AJ172)," ")</f>
        <v> </v>
      </c>
      <c r="L172" s="17" t="str">
        <f aca="false">IF(ISNUMBER(F172),$E$5+$O$10-F172," ")</f>
        <v> </v>
      </c>
      <c r="N172" s="1" t="str">
        <f aca="false">IF(ISNUMBER(P172),B172," ")</f>
        <v> </v>
      </c>
      <c r="O172" s="27" t="str">
        <f aca="false">IF(ISNUMBER(P172), IF( ABS(AM172-1)&lt;0.000001,0, IF(ABS(AM172+1)&lt;0.000001,180,ROUND(DEGREES(ACOS(AM172)),3)))," ")</f>
        <v> </v>
      </c>
      <c r="P172" s="17" t="str">
        <f aca="false">IF(AK172&gt;0.0000001,$U$8*((1/SQRT(1-AK172*AK172))-1),"none")</f>
        <v>none</v>
      </c>
      <c r="Q172" s="17" t="str">
        <f aca="false">IF(ISNUMBER(P172),ABS($Z$15*(1+AC172/AK172)/(1+$V$15*$Z$15*AM172)/AK172)," ")</f>
        <v> </v>
      </c>
      <c r="R172" s="27" t="str">
        <f aca="false">IF(ISNUMBER(P172),IF( AND( ( (P172*(P172+2*$U$8)*AB172*AB172) &gt; ($E$5*($E$5+2*$U$5)) ), ( B172&lt;90 ) ), 180-AN172, AN172)," ")</f>
        <v> </v>
      </c>
      <c r="S172" s="17" t="str">
        <f aca="false">IF(ISNUMBER(P172),$E$5+$O$10-P172," ")</f>
        <v> </v>
      </c>
      <c r="AB172" s="1" t="n">
        <f aca="false">COS(RADIANS(B172))</f>
        <v>-0.788010753606722</v>
      </c>
      <c r="AC172" s="1" t="n">
        <f aca="false">-$V$15*AB172</f>
        <v>0.0526612428047493</v>
      </c>
      <c r="AD172" s="1" t="n">
        <f aca="false">$AA$15+AC172*AC172</f>
        <v>1.00274617598975</v>
      </c>
      <c r="AF172" s="1" t="n">
        <f aca="false">AC172*AC172-AD172*$AE$15</f>
        <v>0.00274610175923172</v>
      </c>
      <c r="AG172" s="1" t="n">
        <f aca="false">IF(ISNUMBER(SQRT(AF172)),(-AC172+SQRT(AF172))/AD172,-100)</f>
        <v>-0.000257275321535337</v>
      </c>
      <c r="AH172" s="1" t="n">
        <f aca="false">(AG172*AB172-$V$15)/((1-$V$15*AG172*AB172)*$Z$15)</f>
        <v>-0.999997186638086</v>
      </c>
      <c r="AI172" s="1" t="n">
        <f aca="false">IF(ABS(AH172)&lt;=1,AH172,IF(ABS(AH172)&lt;=1.00001,1*SIGN(AH172),0))</f>
        <v>-0.999997186638086</v>
      </c>
      <c r="AJ172" s="17" t="e">
        <f aca="false">DEGREES(ASIN( SQRT( (F172*(F172+2*$U$8)) / (L172*(L172+2*$U$10)) ) * SIN(RADIANS(B172))  ))</f>
        <v>#VALUE!</v>
      </c>
      <c r="AK172" s="1" t="n">
        <f aca="false">IF(ISNUMBER(SQRT(AF172)),(-AC172-SQRT(AF172))/AD172,-100)</f>
        <v>-0.10477676831921</v>
      </c>
      <c r="AL172" s="1" t="n">
        <f aca="false">(AK172*AB172-$V$15)/((1-$V$15*AK172*AB172)*$Z$15)</f>
        <v>0.237510217057302</v>
      </c>
      <c r="AM172" s="1" t="n">
        <f aca="false">IF(ABS(AL172)&lt;=1,AL172,IF(ABS(AL172)&lt;=1.00001,1*SIGN(AL172),0))</f>
        <v>0.237510217057302</v>
      </c>
      <c r="AN172" s="17" t="str">
        <f aca="false">IF(ISNUMBER(P172),DEGREES(ASIN( SQRT( (P172*(P172+2*$U$8)) / (S172*(S172+2*$U$10)) ) * SIN(RADIANS(B172)) ) ),"ignore")</f>
        <v>ignore</v>
      </c>
    </row>
    <row r="173" customFormat="false" ht="12.75" hidden="false" customHeight="false" outlineLevel="0" collapsed="false">
      <c r="B173" s="1" t="n">
        <v>143</v>
      </c>
      <c r="D173" s="27" t="str">
        <f aca="false">IF(ISNUMBER(F173),IF(ABS(AI173-1)&lt;0.000001,0,IF(ABS(AI173+1)&lt;0.000001,180,ROUND(DEGREES(ACOS(AI173)),3)))," ")</f>
        <v> </v>
      </c>
      <c r="F173" s="17" t="str">
        <f aca="false">IF(AG173&gt;0.0000001,$U$8*((1/SQRT(1-AG173*AG173))-1),"none")</f>
        <v>none</v>
      </c>
      <c r="H173" s="17" t="str">
        <f aca="false">IF(ISNUMBER(F173),$Z$15*(1+AC173/AG173)/(1+$V$15*$Z$15*AI173)/AG173," ")</f>
        <v> </v>
      </c>
      <c r="J173" s="27" t="str">
        <f aca="false">IF(ISNUMBER(F173),IF( AND( ( (F173*(F173+2*$U$8)*AB173*AB173) &gt; ($E$5*($E$5+2*$U$5)) ), ( B173&lt;90 ) ), 180-AJ173, AJ173)," ")</f>
        <v> </v>
      </c>
      <c r="L173" s="17" t="str">
        <f aca="false">IF(ISNUMBER(F173),$E$5+$O$10-F173," ")</f>
        <v> </v>
      </c>
      <c r="N173" s="1" t="str">
        <f aca="false">IF(ISNUMBER(P173),B173," ")</f>
        <v> </v>
      </c>
      <c r="O173" s="27" t="str">
        <f aca="false">IF(ISNUMBER(P173), IF( ABS(AM173-1)&lt;0.000001,0, IF(ABS(AM173+1)&lt;0.000001,180,ROUND(DEGREES(ACOS(AM173)),3)))," ")</f>
        <v> </v>
      </c>
      <c r="P173" s="17" t="str">
        <f aca="false">IF(AK173&gt;0.0000001,$U$8*((1/SQRT(1-AK173*AK173))-1),"none")</f>
        <v>none</v>
      </c>
      <c r="Q173" s="17" t="str">
        <f aca="false">IF(ISNUMBER(P173),ABS($Z$15*(1+AC173/AK173)/(1+$V$15*$Z$15*AM173)/AK173)," ")</f>
        <v> </v>
      </c>
      <c r="R173" s="27" t="str">
        <f aca="false">IF(ISNUMBER(P173),IF( AND( ( (P173*(P173+2*$U$8)*AB173*AB173) &gt; ($E$5*($E$5+2*$U$5)) ), ( B173&lt;90 ) ), 180-AN173, AN173)," ")</f>
        <v> </v>
      </c>
      <c r="S173" s="17" t="str">
        <f aca="false">IF(ISNUMBER(P173),$E$5+$O$10-P173," ")</f>
        <v> </v>
      </c>
      <c r="AB173" s="1" t="n">
        <f aca="false">COS(RADIANS(B173))</f>
        <v>-0.798635510047293</v>
      </c>
      <c r="AC173" s="1" t="n">
        <f aca="false">-$V$15*AB173</f>
        <v>0.0533712748393343</v>
      </c>
      <c r="AD173" s="1" t="n">
        <f aca="false">$AA$15+AC173*AC173</f>
        <v>1.00282146247399</v>
      </c>
      <c r="AF173" s="1" t="n">
        <f aca="false">AC173*AC173-AD173*$AE$15</f>
        <v>0.0028213862084351</v>
      </c>
      <c r="AG173" s="1" t="n">
        <f aca="false">IF(ISNUMBER(SQRT(AF173)),(-AC173+SQRT(AF173))/AD173,-100)</f>
        <v>-0.00025383615679761</v>
      </c>
      <c r="AH173" s="1" t="n">
        <f aca="false">(AG173*AB173-$V$15)/((1-$V$15*AG173*AB173)*$Z$15)</f>
        <v>-0.999997383152822</v>
      </c>
      <c r="AI173" s="1" t="n">
        <f aca="false">IF(ABS(AH173)&lt;=1,AH173,IF(ABS(AH173)&lt;=1.00001,1*SIGN(AH173),0))</f>
        <v>-0.999997383152822</v>
      </c>
      <c r="AJ173" s="17" t="e">
        <f aca="false">DEGREES(ASIN( SQRT( (F173*(F173+2*$U$8)) / (L173*(L173+2*$U$10)) ) * SIN(RADIANS(B173))  ))</f>
        <v>#VALUE!</v>
      </c>
      <c r="AK173" s="1" t="n">
        <f aca="false">IF(ISNUMBER(SQRT(AF173)),(-AC173-SQRT(AF173))/AD173,-100)</f>
        <v>-0.106188390772941</v>
      </c>
      <c r="AL173" s="1" t="n">
        <f aca="false">(AK173*AB173-$V$15)/((1-$V$15*AK173*AB173)*$Z$15)</f>
        <v>0.271366949125286</v>
      </c>
      <c r="AM173" s="1" t="n">
        <f aca="false">IF(ABS(AL173)&lt;=1,AL173,IF(ABS(AL173)&lt;=1.00001,1*SIGN(AL173),0))</f>
        <v>0.271366949125286</v>
      </c>
      <c r="AN173" s="17" t="str">
        <f aca="false">IF(ISNUMBER(P173),DEGREES(ASIN( SQRT( (P173*(P173+2*$U$8)) / (S173*(S173+2*$U$10)) ) * SIN(RADIANS(B173)) ) ),"ignore")</f>
        <v>ignore</v>
      </c>
    </row>
    <row r="174" customFormat="false" ht="12.75" hidden="false" customHeight="false" outlineLevel="0" collapsed="false">
      <c r="B174" s="1" t="n">
        <v>144</v>
      </c>
      <c r="D174" s="27" t="str">
        <f aca="false">IF(ISNUMBER(F174),IF(ABS(AI174-1)&lt;0.000001,0,IF(ABS(AI174+1)&lt;0.000001,180,ROUND(DEGREES(ACOS(AI174)),3)))," ")</f>
        <v> </v>
      </c>
      <c r="F174" s="17" t="str">
        <f aca="false">IF(AG174&gt;0.0000001,$U$8*((1/SQRT(1-AG174*AG174))-1),"none")</f>
        <v>none</v>
      </c>
      <c r="H174" s="17" t="str">
        <f aca="false">IF(ISNUMBER(F174),$Z$15*(1+AC174/AG174)/(1+$V$15*$Z$15*AI174)/AG174," ")</f>
        <v> </v>
      </c>
      <c r="J174" s="27" t="str">
        <f aca="false">IF(ISNUMBER(F174),IF( AND( ( (F174*(F174+2*$U$8)*AB174*AB174) &gt; ($E$5*($E$5+2*$U$5)) ), ( B174&lt;90 ) ), 180-AJ174, AJ174)," ")</f>
        <v> </v>
      </c>
      <c r="L174" s="17" t="str">
        <f aca="false">IF(ISNUMBER(F174),$E$5+$O$10-F174," ")</f>
        <v> </v>
      </c>
      <c r="N174" s="1" t="str">
        <f aca="false">IF(ISNUMBER(P174),B174," ")</f>
        <v> </v>
      </c>
      <c r="O174" s="27" t="str">
        <f aca="false">IF(ISNUMBER(P174), IF( ABS(AM174-1)&lt;0.000001,0, IF(ABS(AM174+1)&lt;0.000001,180,ROUND(DEGREES(ACOS(AM174)),3)))," ")</f>
        <v> </v>
      </c>
      <c r="P174" s="17" t="str">
        <f aca="false">IF(AK174&gt;0.0000001,$U$8*((1/SQRT(1-AK174*AK174))-1),"none")</f>
        <v>none</v>
      </c>
      <c r="Q174" s="17" t="str">
        <f aca="false">IF(ISNUMBER(P174),ABS($Z$15*(1+AC174/AK174)/(1+$V$15*$Z$15*AM174)/AK174)," ")</f>
        <v> </v>
      </c>
      <c r="R174" s="27" t="str">
        <f aca="false">IF(ISNUMBER(P174),IF( AND( ( (P174*(P174+2*$U$8)*AB174*AB174) &gt; ($E$5*($E$5+2*$U$5)) ), ( B174&lt;90 ) ), 180-AN174, AN174)," ")</f>
        <v> </v>
      </c>
      <c r="S174" s="17" t="str">
        <f aca="false">IF(ISNUMBER(P174),$E$5+$O$10-P174," ")</f>
        <v> </v>
      </c>
      <c r="AB174" s="1" t="n">
        <f aca="false">COS(RADIANS(B174))</f>
        <v>-0.809016994374947</v>
      </c>
      <c r="AC174" s="1" t="n">
        <f aca="false">-$V$15*AB174</f>
        <v>0.0540650494665841</v>
      </c>
      <c r="AD174" s="1" t="n">
        <f aca="false">$AA$15+AC174*AC174</f>
        <v>1.00289599906984</v>
      </c>
      <c r="AF174" s="1" t="n">
        <f aca="false">AC174*AC174-AD174*$AE$15</f>
        <v>0.00289592078952177</v>
      </c>
      <c r="AG174" s="1" t="n">
        <f aca="false">IF(ISNUMBER(SQRT(AF174)),(-AC174+SQRT(AF174))/AD174,-100)</f>
        <v>-0.000250563609900345</v>
      </c>
      <c r="AH174" s="1" t="n">
        <f aca="false">(AG174*AB174-$V$15)/((1-$V$15*AG174*AB174)*$Z$15)</f>
        <v>-0.99999756769144</v>
      </c>
      <c r="AI174" s="1" t="n">
        <f aca="false">IF(ABS(AH174)&lt;=1,AH174,IF(ABS(AH174)&lt;=1.00001,1*SIGN(AH174),0))</f>
        <v>-0.99999756769144</v>
      </c>
      <c r="AJ174" s="17" t="e">
        <f aca="false">DEGREES(ASIN( SQRT( (F174*(F174+2*$U$8)) / (L174*(L174+2*$U$10)) ) * SIN(RADIANS(B174))  ))</f>
        <v>#VALUE!</v>
      </c>
      <c r="AK174" s="1" t="n">
        <f aca="false">IF(ISNUMBER(SQRT(AF174)),(-AC174-SQRT(AF174))/AD174,-100)</f>
        <v>-0.107567294905296</v>
      </c>
      <c r="AL174" s="1" t="n">
        <f aca="false">(AK174*AB174-$V$15)/((1-$V$15*AK174*AB174)*$Z$15)</f>
        <v>0.304891479070292</v>
      </c>
      <c r="AM174" s="1" t="n">
        <f aca="false">IF(ABS(AL174)&lt;=1,AL174,IF(ABS(AL174)&lt;=1.00001,1*SIGN(AL174),0))</f>
        <v>0.304891479070292</v>
      </c>
      <c r="AN174" s="17" t="str">
        <f aca="false">IF(ISNUMBER(P174),DEGREES(ASIN( SQRT( (P174*(P174+2*$U$8)) / (S174*(S174+2*$U$10)) ) * SIN(RADIANS(B174)) ) ),"ignore")</f>
        <v>ignore</v>
      </c>
    </row>
    <row r="175" customFormat="false" ht="12.75" hidden="false" customHeight="false" outlineLevel="0" collapsed="false">
      <c r="B175" s="1" t="n">
        <v>145</v>
      </c>
      <c r="D175" s="27" t="str">
        <f aca="false">IF(ISNUMBER(F175),IF(ABS(AI175-1)&lt;0.000001,0,IF(ABS(AI175+1)&lt;0.000001,180,ROUND(DEGREES(ACOS(AI175)),3)))," ")</f>
        <v> </v>
      </c>
      <c r="F175" s="17" t="str">
        <f aca="false">IF(AG175&gt;0.0000001,$U$8*((1/SQRT(1-AG175*AG175))-1),"none")</f>
        <v>none</v>
      </c>
      <c r="H175" s="17" t="str">
        <f aca="false">IF(ISNUMBER(F175),$Z$15*(1+AC175/AG175)/(1+$V$15*$Z$15*AI175)/AG175," ")</f>
        <v> </v>
      </c>
      <c r="J175" s="27" t="str">
        <f aca="false">IF(ISNUMBER(F175),IF( AND( ( (F175*(F175+2*$U$8)*AB175*AB175) &gt; ($E$5*($E$5+2*$U$5)) ), ( B175&lt;90 ) ), 180-AJ175, AJ175)," ")</f>
        <v> </v>
      </c>
      <c r="L175" s="17" t="str">
        <f aca="false">IF(ISNUMBER(F175),$E$5+$O$10-F175," ")</f>
        <v> </v>
      </c>
      <c r="N175" s="1" t="str">
        <f aca="false">IF(ISNUMBER(P175),B175," ")</f>
        <v> </v>
      </c>
      <c r="O175" s="27" t="str">
        <f aca="false">IF(ISNUMBER(P175), IF( ABS(AM175-1)&lt;0.000001,0, IF(ABS(AM175+1)&lt;0.000001,180,ROUND(DEGREES(ACOS(AM175)),3)))," ")</f>
        <v> </v>
      </c>
      <c r="P175" s="17" t="str">
        <f aca="false">IF(AK175&gt;0.0000001,$U$8*((1/SQRT(1-AK175*AK175))-1),"none")</f>
        <v>none</v>
      </c>
      <c r="Q175" s="17" t="str">
        <f aca="false">IF(ISNUMBER(P175),ABS($Z$15*(1+AC175/AK175)/(1+$V$15*$Z$15*AM175)/AK175)," ")</f>
        <v> </v>
      </c>
      <c r="R175" s="27" t="str">
        <f aca="false">IF(ISNUMBER(P175),IF( AND( ( (P175*(P175+2*$U$8)*AB175*AB175) &gt; ($E$5*($E$5+2*$U$5)) ), ( B175&lt;90 ) ), 180-AN175, AN175)," ")</f>
        <v> </v>
      </c>
      <c r="S175" s="17" t="str">
        <f aca="false">IF(ISNUMBER(P175),$E$5+$O$10-P175," ")</f>
        <v> </v>
      </c>
      <c r="AB175" s="1" t="n">
        <f aca="false">COS(RADIANS(B175))</f>
        <v>-0.819152044288992</v>
      </c>
      <c r="AC175" s="1" t="n">
        <f aca="false">-$V$15*AB175</f>
        <v>0.0547423553560265</v>
      </c>
      <c r="AD175" s="1" t="n">
        <f aca="false">$AA$15+AC175*AC175</f>
        <v>1.00296969496594</v>
      </c>
      <c r="AF175" s="1" t="n">
        <f aca="false">AC175*AC175-AD175*$AE$15</f>
        <v>0.00296961469358586</v>
      </c>
      <c r="AG175" s="1" t="n">
        <f aca="false">IF(ISNUMBER(SQRT(AF175)),(-AC175+SQRT(AF175))/AD175,-100)</f>
        <v>-0.00024744931794254</v>
      </c>
      <c r="AH175" s="1" t="n">
        <f aca="false">(AG175*AB175-$V$15)/((1-$V$15*AG175*AB175)*$Z$15)</f>
        <v>-0.999997741082398</v>
      </c>
      <c r="AI175" s="1" t="n">
        <f aca="false">IF(ABS(AH175)&lt;=1,AH175,IF(ABS(AH175)&lt;=1.00001,1*SIGN(AH175),0))</f>
        <v>-0.999997741082398</v>
      </c>
      <c r="AJ175" s="17" t="e">
        <f aca="false">DEGREES(ASIN( SQRT( (F175*(F175+2*$U$8)) / (L175*(L175+2*$U$10)) ) * SIN(RADIANS(B175))  ))</f>
        <v>#VALUE!</v>
      </c>
      <c r="AK175" s="1" t="n">
        <f aca="false">IF(ISNUMBER(SQRT(AF175)),(-AC175-SQRT(AF175))/AD175,-100)</f>
        <v>-0.108913087896266</v>
      </c>
      <c r="AL175" s="1" t="n">
        <f aca="false">(AK175*AB175-$V$15)/((1-$V$15*AK175*AB175)*$Z$15)</f>
        <v>0.338042804224534</v>
      </c>
      <c r="AM175" s="1" t="n">
        <f aca="false">IF(ABS(AL175)&lt;=1,AL175,IF(ABS(AL175)&lt;=1.00001,1*SIGN(AL175),0))</f>
        <v>0.338042804224534</v>
      </c>
      <c r="AN175" s="17" t="str">
        <f aca="false">IF(ISNUMBER(P175),DEGREES(ASIN( SQRT( (P175*(P175+2*$U$8)) / (S175*(S175+2*$U$10)) ) * SIN(RADIANS(B175)) ) ),"ignore")</f>
        <v>ignore</v>
      </c>
    </row>
    <row r="176" customFormat="false" ht="12.75" hidden="false" customHeight="false" outlineLevel="0" collapsed="false">
      <c r="B176" s="1" t="n">
        <v>146</v>
      </c>
      <c r="D176" s="27" t="str">
        <f aca="false">IF(ISNUMBER(F176),IF(ABS(AI176-1)&lt;0.000001,0,IF(ABS(AI176+1)&lt;0.000001,180,ROUND(DEGREES(ACOS(AI176)),3)))," ")</f>
        <v> </v>
      </c>
      <c r="F176" s="17" t="str">
        <f aca="false">IF(AG176&gt;0.0000001,$U$8*((1/SQRT(1-AG176*AG176))-1),"none")</f>
        <v>none</v>
      </c>
      <c r="H176" s="17" t="str">
        <f aca="false">IF(ISNUMBER(F176),$Z$15*(1+AC176/AG176)/(1+$V$15*$Z$15*AI176)/AG176," ")</f>
        <v> </v>
      </c>
      <c r="J176" s="27" t="str">
        <f aca="false">IF(ISNUMBER(F176),IF( AND( ( (F176*(F176+2*$U$8)*AB176*AB176) &gt; ($E$5*($E$5+2*$U$5)) ), ( B176&lt;90 ) ), 180-AJ176, AJ176)," ")</f>
        <v> </v>
      </c>
      <c r="L176" s="17" t="str">
        <f aca="false">IF(ISNUMBER(F176),$E$5+$O$10-F176," ")</f>
        <v> </v>
      </c>
      <c r="N176" s="1" t="str">
        <f aca="false">IF(ISNUMBER(P176),B176," ")</f>
        <v> </v>
      </c>
      <c r="O176" s="27" t="str">
        <f aca="false">IF(ISNUMBER(P176), IF( ABS(AM176-1)&lt;0.000001,0, IF(ABS(AM176+1)&lt;0.000001,180,ROUND(DEGREES(ACOS(AM176)),3)))," ")</f>
        <v> </v>
      </c>
      <c r="P176" s="17" t="str">
        <f aca="false">IF(AK176&gt;0.0000001,$U$8*((1/SQRT(1-AK176*AK176))-1),"none")</f>
        <v>none</v>
      </c>
      <c r="Q176" s="17" t="str">
        <f aca="false">IF(ISNUMBER(P176),ABS($Z$15*(1+AC176/AK176)/(1+$V$15*$Z$15*AM176)/AK176)," ")</f>
        <v> </v>
      </c>
      <c r="R176" s="27" t="str">
        <f aca="false">IF(ISNUMBER(P176),IF( AND( ( (P176*(P176+2*$U$8)*AB176*AB176) &gt; ($E$5*($E$5+2*$U$5)) ), ( B176&lt;90 ) ), 180-AN176, AN176)," ")</f>
        <v> </v>
      </c>
      <c r="S176" s="17" t="str">
        <f aca="false">IF(ISNUMBER(P176),$E$5+$O$10-P176," ")</f>
        <v> </v>
      </c>
      <c r="AB176" s="1" t="n">
        <f aca="false">COS(RADIANS(B176))</f>
        <v>-0.829037572555042</v>
      </c>
      <c r="AC176" s="1" t="n">
        <f aca="false">-$V$15*AB176</f>
        <v>0.0554029861937263</v>
      </c>
      <c r="AD176" s="1" t="n">
        <f aca="false">$AA$15+AC176*AC176</f>
        <v>1.00304246037519</v>
      </c>
      <c r="AF176" s="1" t="n">
        <f aca="false">AC176*AC176-AD176*$AE$15</f>
        <v>0.00304237813595692</v>
      </c>
      <c r="AG176" s="1" t="n">
        <f aca="false">IF(ISNUMBER(SQRT(AF176)),(-AC176+SQRT(AF176))/AD176,-100)</f>
        <v>-0.000244485549340736</v>
      </c>
      <c r="AH176" s="1" t="n">
        <f aca="false">(AG176*AB176-$V$15)/((1-$V$15*AG176*AB176)*$Z$15)</f>
        <v>-0.999997904078945</v>
      </c>
      <c r="AI176" s="1" t="n">
        <f aca="false">IF(ABS(AH176)&lt;=1,AH176,IF(ABS(AH176)&lt;=1.00001,1*SIGN(AH176),0))</f>
        <v>-0.999997904078945</v>
      </c>
      <c r="AJ176" s="17" t="e">
        <f aca="false">DEGREES(ASIN( SQRT( (F176*(F176+2*$U$8)) / (L176*(L176+2*$U$10)) ) * SIN(RADIANS(B176))  ))</f>
        <v>#VALUE!</v>
      </c>
      <c r="AK176" s="1" t="n">
        <f aca="false">IF(ISNUMBER(SQRT(AF176)),(-AC176-SQRT(AF176))/AD176,-100)</f>
        <v>-0.110225386629355</v>
      </c>
      <c r="AL176" s="1" t="n">
        <f aca="false">(AK176*AB176-$V$15)/((1-$V$15*AK176*AB176)*$Z$15)</f>
        <v>0.370780360253066</v>
      </c>
      <c r="AM176" s="1" t="n">
        <f aca="false">IF(ABS(AL176)&lt;=1,AL176,IF(ABS(AL176)&lt;=1.00001,1*SIGN(AL176),0))</f>
        <v>0.370780360253066</v>
      </c>
      <c r="AN176" s="17" t="str">
        <f aca="false">IF(ISNUMBER(P176),DEGREES(ASIN( SQRT( (P176*(P176+2*$U$8)) / (S176*(S176+2*$U$10)) ) * SIN(RADIANS(B176)) ) ),"ignore")</f>
        <v>ignore</v>
      </c>
    </row>
    <row r="177" customFormat="false" ht="12.75" hidden="false" customHeight="false" outlineLevel="0" collapsed="false">
      <c r="B177" s="1" t="n">
        <v>147</v>
      </c>
      <c r="D177" s="27" t="str">
        <f aca="false">IF(ISNUMBER(F177),IF(ABS(AI177-1)&lt;0.000001,0,IF(ABS(AI177+1)&lt;0.000001,180,ROUND(DEGREES(ACOS(AI177)),3)))," ")</f>
        <v> </v>
      </c>
      <c r="F177" s="17" t="str">
        <f aca="false">IF(AG177&gt;0.0000001,$U$8*((1/SQRT(1-AG177*AG177))-1),"none")</f>
        <v>none</v>
      </c>
      <c r="H177" s="17" t="str">
        <f aca="false">IF(ISNUMBER(F177),$Z$15*(1+AC177/AG177)/(1+$V$15*$Z$15*AI177)/AG177," ")</f>
        <v> </v>
      </c>
      <c r="J177" s="27" t="str">
        <f aca="false">IF(ISNUMBER(F177),IF( AND( ( (F177*(F177+2*$U$8)*AB177*AB177) &gt; ($E$5*($E$5+2*$U$5)) ), ( B177&lt;90 ) ), 180-AJ177, AJ177)," ")</f>
        <v> </v>
      </c>
      <c r="L177" s="17" t="str">
        <f aca="false">IF(ISNUMBER(F177),$E$5+$O$10-F177," ")</f>
        <v> </v>
      </c>
      <c r="N177" s="1" t="str">
        <f aca="false">IF(ISNUMBER(P177),B177," ")</f>
        <v> </v>
      </c>
      <c r="O177" s="27" t="str">
        <f aca="false">IF(ISNUMBER(P177), IF( ABS(AM177-1)&lt;0.000001,0, IF(ABS(AM177+1)&lt;0.000001,180,ROUND(DEGREES(ACOS(AM177)),3)))," ")</f>
        <v> </v>
      </c>
      <c r="P177" s="17" t="str">
        <f aca="false">IF(AK177&gt;0.0000001,$U$8*((1/SQRT(1-AK177*AK177))-1),"none")</f>
        <v>none</v>
      </c>
      <c r="Q177" s="17" t="str">
        <f aca="false">IF(ISNUMBER(P177),ABS($Z$15*(1+AC177/AK177)/(1+$V$15*$Z$15*AM177)/AK177)," ")</f>
        <v> </v>
      </c>
      <c r="R177" s="27" t="str">
        <f aca="false">IF(ISNUMBER(P177),IF( AND( ( (P177*(P177+2*$U$8)*AB177*AB177) &gt; ($E$5*($E$5+2*$U$5)) ), ( B177&lt;90 ) ), 180-AN177, AN177)," ")</f>
        <v> </v>
      </c>
      <c r="S177" s="17" t="str">
        <f aca="false">IF(ISNUMBER(P177),$E$5+$O$10-P177," ")</f>
        <v> </v>
      </c>
      <c r="AB177" s="1" t="n">
        <f aca="false">COS(RADIANS(B177))</f>
        <v>-0.838670567945424</v>
      </c>
      <c r="AC177" s="1" t="n">
        <f aca="false">-$V$15*AB177</f>
        <v>0.0560467407451307</v>
      </c>
      <c r="AD177" s="1" t="n">
        <f aca="false">$AA$15+AC177*AC177</f>
        <v>1.00311420664416</v>
      </c>
      <c r="AF177" s="1" t="n">
        <f aca="false">AC177*AC177-AD177*$AE$15</f>
        <v>0.00311412246558877</v>
      </c>
      <c r="AG177" s="1" t="n">
        <f aca="false">IF(ISNUMBER(SQRT(AF177)),(-AC177+SQRT(AF177))/AD177,-100)</f>
        <v>-0.000241665149017958</v>
      </c>
      <c r="AH177" s="1" t="n">
        <f aca="false">(AG177*AB177-$V$15)/((1-$V$15*AG177*AB177)*$Z$15)</f>
        <v>-0.999998057366951</v>
      </c>
      <c r="AI177" s="1" t="n">
        <f aca="false">IF(ABS(AH177)&lt;=1,AH177,IF(ABS(AH177)&lt;=1.00001,1*SIGN(AH177),0))</f>
        <v>-0.999998057366951</v>
      </c>
      <c r="AJ177" s="17" t="e">
        <f aca="false">DEGREES(ASIN( SQRT( (F177*(F177+2*$U$8)) / (L177*(L177+2*$U$10)) ) * SIN(RADIANS(B177))  ))</f>
        <v>#VALUE!</v>
      </c>
      <c r="AK177" s="1" t="n">
        <f aca="false">IF(ISNUMBER(SQRT(AF177)),(-AC177-SQRT(AF177))/AD177,-100)</f>
        <v>-0.111503817815739</v>
      </c>
      <c r="AL177" s="1" t="n">
        <f aca="false">(AK177*AB177-$V$15)/((1-$V$15*AK177*AB177)*$Z$15)</f>
        <v>0.403064071434753</v>
      </c>
      <c r="AM177" s="1" t="n">
        <f aca="false">IF(ABS(AL177)&lt;=1,AL177,IF(ABS(AL177)&lt;=1.00001,1*SIGN(AL177),0))</f>
        <v>0.403064071434753</v>
      </c>
      <c r="AN177" s="17" t="str">
        <f aca="false">IF(ISNUMBER(P177),DEGREES(ASIN( SQRT( (P177*(P177+2*$U$8)) / (S177*(S177+2*$U$10)) ) * SIN(RADIANS(B177)) ) ),"ignore")</f>
        <v>ignore</v>
      </c>
    </row>
    <row r="178" customFormat="false" ht="12.75" hidden="false" customHeight="false" outlineLevel="0" collapsed="false">
      <c r="B178" s="1" t="n">
        <v>148</v>
      </c>
      <c r="D178" s="27" t="str">
        <f aca="false">IF(ISNUMBER(F178),IF(ABS(AI178-1)&lt;0.000001,0,IF(ABS(AI178+1)&lt;0.000001,180,ROUND(DEGREES(ACOS(AI178)),3)))," ")</f>
        <v> </v>
      </c>
      <c r="F178" s="17" t="str">
        <f aca="false">IF(AG178&gt;0.0000001,$U$8*((1/SQRT(1-AG178*AG178))-1),"none")</f>
        <v>none</v>
      </c>
      <c r="H178" s="17" t="str">
        <f aca="false">IF(ISNUMBER(F178),$Z$15*(1+AC178/AG178)/(1+$V$15*$Z$15*AI178)/AG178," ")</f>
        <v> </v>
      </c>
      <c r="J178" s="27" t="str">
        <f aca="false">IF(ISNUMBER(F178),IF( AND( ( (F178*(F178+2*$U$8)*AB178*AB178) &gt; ($E$5*($E$5+2*$U$5)) ), ( B178&lt;90 ) ), 180-AJ178, AJ178)," ")</f>
        <v> </v>
      </c>
      <c r="L178" s="17" t="str">
        <f aca="false">IF(ISNUMBER(F178),$E$5+$O$10-F178," ")</f>
        <v> </v>
      </c>
      <c r="N178" s="1" t="str">
        <f aca="false">IF(ISNUMBER(P178),B178," ")</f>
        <v> </v>
      </c>
      <c r="O178" s="27" t="str">
        <f aca="false">IF(ISNUMBER(P178), IF( ABS(AM178-1)&lt;0.000001,0, IF(ABS(AM178+1)&lt;0.000001,180,ROUND(DEGREES(ACOS(AM178)),3)))," ")</f>
        <v> </v>
      </c>
      <c r="P178" s="17" t="str">
        <f aca="false">IF(AK178&gt;0.0000001,$U$8*((1/SQRT(1-AK178*AK178))-1),"none")</f>
        <v>none</v>
      </c>
      <c r="Q178" s="17" t="str">
        <f aca="false">IF(ISNUMBER(P178),ABS($Z$15*(1+AC178/AK178)/(1+$V$15*$Z$15*AM178)/AK178)," ")</f>
        <v> </v>
      </c>
      <c r="R178" s="27" t="str">
        <f aca="false">IF(ISNUMBER(P178),IF( AND( ( (P178*(P178+2*$U$8)*AB178*AB178) &gt; ($E$5*($E$5+2*$U$5)) ), ( B178&lt;90 ) ), 180-AN178, AN178)," ")</f>
        <v> </v>
      </c>
      <c r="S178" s="17" t="str">
        <f aca="false">IF(ISNUMBER(P178),$E$5+$O$10-P178," ")</f>
        <v> </v>
      </c>
      <c r="AB178" s="1" t="n">
        <f aca="false">COS(RADIANS(B178))</f>
        <v>-0.848048096156426</v>
      </c>
      <c r="AC178" s="1" t="n">
        <f aca="false">-$V$15*AB178</f>
        <v>0.0566734229163672</v>
      </c>
      <c r="AD178" s="1" t="n">
        <f aca="false">$AA$15+AC178*AC178</f>
        <v>1.00318484636107</v>
      </c>
      <c r="AF178" s="1" t="n">
        <f aca="false">AC178*AC178-AD178*$AE$15</f>
        <v>0.00318476027306714</v>
      </c>
      <c r="AG178" s="1" t="n">
        <f aca="false">IF(ISNUMBER(SQRT(AF178)),(-AC178+SQRT(AF178))/AD178,-100)</f>
        <v>-0.000238981489380588</v>
      </c>
      <c r="AH178" s="1" t="n">
        <f aca="false">(AG178*AB178-$V$15)/((1-$V$15*AG178*AB178)*$Z$15)</f>
        <v>-0.999998201571794</v>
      </c>
      <c r="AI178" s="1" t="n">
        <f aca="false">IF(ABS(AH178)&lt;=1,AH178,IF(ABS(AH178)&lt;=1.00001,1*SIGN(AH178),0))</f>
        <v>-0.999998201571794</v>
      </c>
      <c r="AJ178" s="17" t="e">
        <f aca="false">DEGREES(ASIN( SQRT( (F178*(F178+2*$U$8)) / (L178*(L178+2*$U$10)) ) * SIN(RADIANS(B178))  ))</f>
        <v>#VALUE!</v>
      </c>
      <c r="AK178" s="1" t="n">
        <f aca="false">IF(ISNUMBER(SQRT(AF178)),(-AC178-SQRT(AF178))/AD178,-100)</f>
        <v>-0.112748018108835</v>
      </c>
      <c r="AL178" s="1" t="n">
        <f aca="false">(AK178*AB178-$V$15)/((1-$V$15*AK178*AB178)*$Z$15)</f>
        <v>0.434854400422715</v>
      </c>
      <c r="AM178" s="1" t="n">
        <f aca="false">IF(ABS(AL178)&lt;=1,AL178,IF(ABS(AL178)&lt;=1.00001,1*SIGN(AL178),0))</f>
        <v>0.434854400422715</v>
      </c>
      <c r="AN178" s="17" t="str">
        <f aca="false">IF(ISNUMBER(P178),DEGREES(ASIN( SQRT( (P178*(P178+2*$U$8)) / (S178*(S178+2*$U$10)) ) * SIN(RADIANS(B178)) ) ),"ignore")</f>
        <v>ignore</v>
      </c>
    </row>
    <row r="179" customFormat="false" ht="12.75" hidden="false" customHeight="false" outlineLevel="0" collapsed="false">
      <c r="B179" s="1" t="n">
        <v>149</v>
      </c>
      <c r="D179" s="27" t="str">
        <f aca="false">IF(ISNUMBER(F179),IF(ABS(AI179-1)&lt;0.000001,0,IF(ABS(AI179+1)&lt;0.000001,180,ROUND(DEGREES(ACOS(AI179)),3)))," ")</f>
        <v> </v>
      </c>
      <c r="F179" s="17" t="str">
        <f aca="false">IF(AG179&gt;0.0000001,$U$8*((1/SQRT(1-AG179*AG179))-1),"none")</f>
        <v>none</v>
      </c>
      <c r="H179" s="17" t="str">
        <f aca="false">IF(ISNUMBER(F179),$Z$15*(1+AC179/AG179)/(1+$V$15*$Z$15*AI179)/AG179," ")</f>
        <v> </v>
      </c>
      <c r="J179" s="27" t="str">
        <f aca="false">IF(ISNUMBER(F179),IF( AND( ( (F179*(F179+2*$U$8)*AB179*AB179) &gt; ($E$5*($E$5+2*$U$5)) ), ( B179&lt;90 ) ), 180-AJ179, AJ179)," ")</f>
        <v> </v>
      </c>
      <c r="L179" s="17" t="str">
        <f aca="false">IF(ISNUMBER(F179),$E$5+$O$10-F179," ")</f>
        <v> </v>
      </c>
      <c r="N179" s="1" t="str">
        <f aca="false">IF(ISNUMBER(P179),B179," ")</f>
        <v> </v>
      </c>
      <c r="O179" s="27" t="str">
        <f aca="false">IF(ISNUMBER(P179), IF( ABS(AM179-1)&lt;0.000001,0, IF(ABS(AM179+1)&lt;0.000001,180,ROUND(DEGREES(ACOS(AM179)),3)))," ")</f>
        <v> </v>
      </c>
      <c r="P179" s="17" t="str">
        <f aca="false">IF(AK179&gt;0.0000001,$U$8*((1/SQRT(1-AK179*AK179))-1),"none")</f>
        <v>none</v>
      </c>
      <c r="Q179" s="17" t="str">
        <f aca="false">IF(ISNUMBER(P179),ABS($Z$15*(1+AC179/AK179)/(1+$V$15*$Z$15*AM179)/AK179)," ")</f>
        <v> </v>
      </c>
      <c r="R179" s="27" t="str">
        <f aca="false">IF(ISNUMBER(P179),IF( AND( ( (P179*(P179+2*$U$8)*AB179*AB179) &gt; ($E$5*($E$5+2*$U$5)) ), ( B179&lt;90 ) ), 180-AN179, AN179)," ")</f>
        <v> </v>
      </c>
      <c r="S179" s="17" t="str">
        <f aca="false">IF(ISNUMBER(P179),$E$5+$O$10-P179," ")</f>
        <v> </v>
      </c>
      <c r="AB179" s="1" t="n">
        <f aca="false">COS(RADIANS(B179))</f>
        <v>-0.857167300702112</v>
      </c>
      <c r="AC179" s="1" t="n">
        <f aca="false">-$V$15*AB179</f>
        <v>0.0572828418139755</v>
      </c>
      <c r="AD179" s="1" t="n">
        <f aca="false">$AA$15+AC179*AC179</f>
        <v>1.0032542934623</v>
      </c>
      <c r="AF179" s="1" t="n">
        <f aca="false">AC179*AC179-AD179*$AE$15</f>
        <v>0.00325420549710453</v>
      </c>
      <c r="AG179" s="1" t="n">
        <f aca="false">IF(ISNUMBER(SQRT(AF179)),(-AC179+SQRT(AF179))/AD179,-100)</f>
        <v>-0.000236428426391366</v>
      </c>
      <c r="AH179" s="1" t="n">
        <f aca="false">(AG179*AB179-$V$15)/((1-$V$15*AG179*AB179)*$Z$15)</f>
        <v>-0.999998337264427</v>
      </c>
      <c r="AI179" s="1" t="n">
        <f aca="false">IF(ABS(AH179)&lt;=1,AH179,IF(ABS(AH179)&lt;=1.00001,1*SIGN(AH179),0))</f>
        <v>-0.999998337264427</v>
      </c>
      <c r="AJ179" s="17" t="e">
        <f aca="false">DEGREES(ASIN( SQRT( (F179*(F179+2*$U$8)) / (L179*(L179+2*$U$10)) ) * SIN(RADIANS(B179))  ))</f>
        <v>#VALUE!</v>
      </c>
      <c r="AK179" s="1" t="n">
        <f aca="false">IF(ISNUMBER(SQRT(AF179)),(-AC179-SQRT(AF179))/AD179,-100)</f>
        <v>-0.113957634210089</v>
      </c>
      <c r="AL179" s="1" t="n">
        <f aca="false">(AK179*AB179-$V$15)/((1-$V$15*AK179*AB179)*$Z$15)</f>
        <v>0.466112397419306</v>
      </c>
      <c r="AM179" s="1" t="n">
        <f aca="false">IF(ABS(AL179)&lt;=1,AL179,IF(ABS(AL179)&lt;=1.00001,1*SIGN(AL179),0))</f>
        <v>0.466112397419306</v>
      </c>
      <c r="AN179" s="17" t="str">
        <f aca="false">IF(ISNUMBER(P179),DEGREES(ASIN( SQRT( (P179*(P179+2*$U$8)) / (S179*(S179+2*$U$10)) ) * SIN(RADIANS(B179)) ) ),"ignore")</f>
        <v>ignore</v>
      </c>
    </row>
    <row r="180" customFormat="false" ht="12.75" hidden="false" customHeight="false" outlineLevel="0" collapsed="false">
      <c r="B180" s="1" t="n">
        <v>150</v>
      </c>
      <c r="D180" s="27" t="str">
        <f aca="false">IF(ISNUMBER(F180),IF(ABS(AI180-1)&lt;0.000001,0,IF(ABS(AI180+1)&lt;0.000001,180,ROUND(DEGREES(ACOS(AI180)),3)))," ")</f>
        <v> </v>
      </c>
      <c r="F180" s="17" t="str">
        <f aca="false">IF(AG180&gt;0.0000001,$U$8*((1/SQRT(1-AG180*AG180))-1),"none")</f>
        <v>none</v>
      </c>
      <c r="H180" s="17" t="str">
        <f aca="false">IF(ISNUMBER(F180),$Z$15*(1+AC180/AG180)/(1+$V$15*$Z$15*AI180)/AG180," ")</f>
        <v> </v>
      </c>
      <c r="J180" s="27" t="str">
        <f aca="false">IF(ISNUMBER(F180),IF( AND( ( (F180*(F180+2*$U$8)*AB180*AB180) &gt; ($E$5*($E$5+2*$U$5)) ), ( B180&lt;90 ) ), 180-AJ180, AJ180)," ")</f>
        <v> </v>
      </c>
      <c r="L180" s="17" t="str">
        <f aca="false">IF(ISNUMBER(F180),$E$5+$O$10-F180," ")</f>
        <v> </v>
      </c>
      <c r="N180" s="1" t="str">
        <f aca="false">IF(ISNUMBER(P180),B180," ")</f>
        <v> </v>
      </c>
      <c r="O180" s="27" t="str">
        <f aca="false">IF(ISNUMBER(P180), IF( ABS(AM180-1)&lt;0.000001,0, IF(ABS(AM180+1)&lt;0.000001,180,ROUND(DEGREES(ACOS(AM180)),3)))," ")</f>
        <v> </v>
      </c>
      <c r="P180" s="17" t="str">
        <f aca="false">IF(AK180&gt;0.0000001,$U$8*((1/SQRT(1-AK180*AK180))-1),"none")</f>
        <v>none</v>
      </c>
      <c r="Q180" s="17" t="str">
        <f aca="false">IF(ISNUMBER(P180),ABS($Z$15*(1+AC180/AK180)/(1+$V$15*$Z$15*AM180)/AK180)," ")</f>
        <v> </v>
      </c>
      <c r="R180" s="27" t="str">
        <f aca="false">IF(ISNUMBER(P180),IF( AND( ( (P180*(P180+2*$U$8)*AB180*AB180) &gt; ($E$5*($E$5+2*$U$5)) ), ( B180&lt;90 ) ), 180-AN180, AN180)," ")</f>
        <v> </v>
      </c>
      <c r="S180" s="17" t="str">
        <f aca="false">IF(ISNUMBER(P180),$E$5+$O$10-P180," ")</f>
        <v> </v>
      </c>
      <c r="AB180" s="1" t="n">
        <f aca="false">COS(RADIANS(B180))</f>
        <v>-0.866025403784439</v>
      </c>
      <c r="AC180" s="1" t="n">
        <f aca="false">-$V$15*AB180</f>
        <v>0.0578748118030561</v>
      </c>
      <c r="AD180" s="1" t="n">
        <f aca="false">$AA$15+AC180*AC180</f>
        <v>1.00332246333725</v>
      </c>
      <c r="AF180" s="1" t="n">
        <f aca="false">AC180*AC180-AD180*$AE$15</f>
        <v>0.00332237352939267</v>
      </c>
      <c r="AG180" s="1" t="n">
        <f aca="false">IF(ISNUMBER(SQRT(AF180)),(-AC180+SQRT(AF180))/AD180,-100)</f>
        <v>-0.000234000260140145</v>
      </c>
      <c r="AH180" s="1" t="n">
        <f aca="false">(AG180*AB180-$V$15)/((1-$V$15*AG180*AB180)*$Z$15)</f>
        <v>-0.999998464966727</v>
      </c>
      <c r="AI180" s="1" t="n">
        <f aca="false">IF(ABS(AH180)&lt;=1,AH180,IF(ABS(AH180)&lt;=1.00001,1*SIGN(AH180),0))</f>
        <v>-0.999998464966727</v>
      </c>
      <c r="AJ180" s="17" t="e">
        <f aca="false">DEGREES(ASIN( SQRT( (F180*(F180+2*$U$8)) / (L180*(L180+2*$U$10)) ) * SIN(RADIANS(B180))  ))</f>
        <v>#VALUE!</v>
      </c>
      <c r="AK180" s="1" t="n">
        <f aca="false">IF(ISNUMBER(SQRT(AF180)),(-AC180-SQRT(AF180))/AD180,-100)</f>
        <v>-0.115132322966697</v>
      </c>
      <c r="AL180" s="1" t="n">
        <f aca="false">(AK180*AB180-$V$15)/((1-$V$15*AK180*AB180)*$Z$15)</f>
        <v>0.496799748701014</v>
      </c>
      <c r="AM180" s="1" t="n">
        <f aca="false">IF(ABS(AL180)&lt;=1,AL180,IF(ABS(AL180)&lt;=1.00001,1*SIGN(AL180),0))</f>
        <v>0.496799748701014</v>
      </c>
      <c r="AN180" s="17" t="str">
        <f aca="false">IF(ISNUMBER(P180),DEGREES(ASIN( SQRT( (P180*(P180+2*$U$8)) / (S180*(S180+2*$U$10)) ) * SIN(RADIANS(B180)) ) ),"ignore")</f>
        <v>ignore</v>
      </c>
    </row>
    <row r="181" customFormat="false" ht="12.75" hidden="false" customHeight="false" outlineLevel="0" collapsed="false">
      <c r="B181" s="1" t="n">
        <v>151</v>
      </c>
      <c r="D181" s="27" t="str">
        <f aca="false">IF(ISNUMBER(F181),IF(ABS(AI181-1)&lt;0.000001,0,IF(ABS(AI181+1)&lt;0.000001,180,ROUND(DEGREES(ACOS(AI181)),3)))," ")</f>
        <v> </v>
      </c>
      <c r="F181" s="17" t="str">
        <f aca="false">IF(AG181&gt;0.0000001,$U$8*((1/SQRT(1-AG181*AG181))-1),"none")</f>
        <v>none</v>
      </c>
      <c r="H181" s="17" t="str">
        <f aca="false">IF(ISNUMBER(F181),$Z$15*(1+AC181/AG181)/(1+$V$15*$Z$15*AI181)/AG181," ")</f>
        <v> </v>
      </c>
      <c r="J181" s="27" t="str">
        <f aca="false">IF(ISNUMBER(F181),IF( AND( ( (F181*(F181+2*$U$8)*AB181*AB181) &gt; ($E$5*($E$5+2*$U$5)) ), ( B181&lt;90 ) ), 180-AJ181, AJ181)," ")</f>
        <v> </v>
      </c>
      <c r="L181" s="17" t="str">
        <f aca="false">IF(ISNUMBER(F181),$E$5+$O$10-F181," ")</f>
        <v> </v>
      </c>
      <c r="N181" s="1" t="str">
        <f aca="false">IF(ISNUMBER(P181),B181," ")</f>
        <v> </v>
      </c>
      <c r="O181" s="27" t="str">
        <f aca="false">IF(ISNUMBER(P181), IF( ABS(AM181-1)&lt;0.000001,0, IF(ABS(AM181+1)&lt;0.000001,180,ROUND(DEGREES(ACOS(AM181)),3)))," ")</f>
        <v> </v>
      </c>
      <c r="P181" s="17" t="str">
        <f aca="false">IF(AK181&gt;0.0000001,$U$8*((1/SQRT(1-AK181*AK181))-1),"none")</f>
        <v>none</v>
      </c>
      <c r="Q181" s="17" t="str">
        <f aca="false">IF(ISNUMBER(P181),ABS($Z$15*(1+AC181/AK181)/(1+$V$15*$Z$15*AM181)/AK181)," ")</f>
        <v> </v>
      </c>
      <c r="R181" s="27" t="str">
        <f aca="false">IF(ISNUMBER(P181),IF( AND( ( (P181*(P181+2*$U$8)*AB181*AB181) &gt; ($E$5*($E$5+2*$U$5)) ), ( B181&lt;90 ) ), 180-AN181, AN181)," ")</f>
        <v> </v>
      </c>
      <c r="S181" s="17" t="str">
        <f aca="false">IF(ISNUMBER(P181),$E$5+$O$10-P181," ")</f>
        <v> </v>
      </c>
      <c r="AB181" s="1" t="n">
        <f aca="false">COS(RADIANS(B181))</f>
        <v>-0.874619707139396</v>
      </c>
      <c r="AC181" s="1" t="n">
        <f aca="false">-$V$15*AB181</f>
        <v>0.0584491525638154</v>
      </c>
      <c r="AD181" s="1" t="n">
        <f aca="false">$AA$15+AC181*AC181</f>
        <v>1.00338927293144</v>
      </c>
      <c r="AF181" s="1" t="n">
        <f aca="false">AC181*AC181-AD181*$AE$15</f>
        <v>0.00338918131768468</v>
      </c>
      <c r="AG181" s="1" t="n">
        <f aca="false">IF(ISNUMBER(SQRT(AF181)),(-AC181+SQRT(AF181))/AD181,-100)</f>
        <v>-0.000231691699393811</v>
      </c>
      <c r="AH181" s="1" t="n">
        <f aca="false">(AG181*AB181-$V$15)/((1-$V$15*AG181*AB181)*$Z$15)</f>
        <v>-0.999998585156232</v>
      </c>
      <c r="AI181" s="1" t="n">
        <f aca="false">IF(ABS(AH181)&lt;=1,AH181,IF(ABS(AH181)&lt;=1.00001,1*SIGN(AH181),0))</f>
        <v>-0.999998585156232</v>
      </c>
      <c r="AJ181" s="17" t="e">
        <f aca="false">DEGREES(ASIN( SQRT( (F181*(F181+2*$U$8)) / (L181*(L181+2*$U$10)) ) * SIN(RADIANS(B181))  ))</f>
        <v>#VALUE!</v>
      </c>
      <c r="AK181" s="1" t="n">
        <f aca="false">IF(ISNUMBER(SQRT(AF181)),(-AC181-SQRT(AF181))/AD181,-100)</f>
        <v>-0.116271751461911</v>
      </c>
      <c r="AL181" s="1" t="n">
        <f aca="false">(AK181*AB181-$V$15)/((1-$V$15*AK181*AB181)*$Z$15)</f>
        <v>0.526878824429065</v>
      </c>
      <c r="AM181" s="1" t="n">
        <f aca="false">IF(ABS(AL181)&lt;=1,AL181,IF(ABS(AL181)&lt;=1.00001,1*SIGN(AL181),0))</f>
        <v>0.526878824429065</v>
      </c>
      <c r="AN181" s="17" t="str">
        <f aca="false">IF(ISNUMBER(P181),DEGREES(ASIN( SQRT( (P181*(P181+2*$U$8)) / (S181*(S181+2*$U$10)) ) * SIN(RADIANS(B181)) ) ),"ignore")</f>
        <v>ignore</v>
      </c>
    </row>
    <row r="182" customFormat="false" ht="12.75" hidden="false" customHeight="false" outlineLevel="0" collapsed="false">
      <c r="B182" s="1" t="n">
        <v>152</v>
      </c>
      <c r="D182" s="27" t="str">
        <f aca="false">IF(ISNUMBER(F182),IF(ABS(AI182-1)&lt;0.000001,0,IF(ABS(AI182+1)&lt;0.000001,180,ROUND(DEGREES(ACOS(AI182)),3)))," ")</f>
        <v> </v>
      </c>
      <c r="F182" s="17" t="str">
        <f aca="false">IF(AG182&gt;0.0000001,$U$8*((1/SQRT(1-AG182*AG182))-1),"none")</f>
        <v>none</v>
      </c>
      <c r="H182" s="17" t="str">
        <f aca="false">IF(ISNUMBER(F182),$Z$15*(1+AC182/AG182)/(1+$V$15*$Z$15*AI182)/AG182," ")</f>
        <v> </v>
      </c>
      <c r="J182" s="27" t="str">
        <f aca="false">IF(ISNUMBER(F182),IF( AND( ( (F182*(F182+2*$U$8)*AB182*AB182) &gt; ($E$5*($E$5+2*$U$5)) ), ( B182&lt;90 ) ), 180-AJ182, AJ182)," ")</f>
        <v> </v>
      </c>
      <c r="L182" s="17" t="str">
        <f aca="false">IF(ISNUMBER(F182),$E$5+$O$10-F182," ")</f>
        <v> </v>
      </c>
      <c r="N182" s="1" t="str">
        <f aca="false">IF(ISNUMBER(P182),B182," ")</f>
        <v> </v>
      </c>
      <c r="O182" s="27" t="str">
        <f aca="false">IF(ISNUMBER(P182), IF( ABS(AM182-1)&lt;0.000001,0, IF(ABS(AM182+1)&lt;0.000001,180,ROUND(DEGREES(ACOS(AM182)),3)))," ")</f>
        <v> </v>
      </c>
      <c r="P182" s="17" t="str">
        <f aca="false">IF(AK182&gt;0.0000001,$U$8*((1/SQRT(1-AK182*AK182))-1),"none")</f>
        <v>none</v>
      </c>
      <c r="Q182" s="17" t="str">
        <f aca="false">IF(ISNUMBER(P182),ABS($Z$15*(1+AC182/AK182)/(1+$V$15*$Z$15*AM182)/AK182)," ")</f>
        <v> </v>
      </c>
      <c r="R182" s="27" t="str">
        <f aca="false">IF(ISNUMBER(P182),IF( AND( ( (P182*(P182+2*$U$8)*AB182*AB182) &gt; ($E$5*($E$5+2*$U$5)) ), ( B182&lt;90 ) ), 180-AN182, AN182)," ")</f>
        <v> </v>
      </c>
      <c r="S182" s="17" t="str">
        <f aca="false">IF(ISNUMBER(P182),$E$5+$O$10-P182," ")</f>
        <v> </v>
      </c>
      <c r="AB182" s="1" t="n">
        <f aca="false">COS(RADIANS(B182))</f>
        <v>-0.882947592858927</v>
      </c>
      <c r="AC182" s="1" t="n">
        <f aca="false">-$V$15*AB182</f>
        <v>0.0590056891464942</v>
      </c>
      <c r="AD182" s="1" t="n">
        <f aca="false">$AA$15+AC182*AC182</f>
        <v>1.00345464084766</v>
      </c>
      <c r="AF182" s="1" t="n">
        <f aca="false">AC182*AC182-AD182*$AE$15</f>
        <v>0.0034545474669815</v>
      </c>
      <c r="AG182" s="1" t="n">
        <f aca="false">IF(ISNUMBER(SQRT(AF182)),(-AC182+SQRT(AF182))/AD182,-100)</f>
        <v>-0.000229497829674881</v>
      </c>
      <c r="AH182" s="1" t="n">
        <f aca="false">(AG182*AB182-$V$15)/((1-$V$15*AG182*AB182)*$Z$15)</f>
        <v>-0.999998698270339</v>
      </c>
      <c r="AI182" s="1" t="n">
        <f aca="false">IF(ABS(AH182)&lt;=1,AH182,IF(ABS(AH182)&lt;=1.00001,1*SIGN(AH182),0))</f>
        <v>-0.999998698270339</v>
      </c>
      <c r="AJ182" s="17" t="e">
        <f aca="false">DEGREES(ASIN( SQRT( (F182*(F182+2*$U$8)) / (L182*(L182+2*$U$10)) ) * SIN(RADIANS(B182))  ))</f>
        <v>#VALUE!</v>
      </c>
      <c r="AK182" s="1" t="n">
        <f aca="false">IF(ISNUMBER(SQRT(AF182)),(-AC182-SQRT(AF182))/AD182,-100)</f>
        <v>-0.117375597098481</v>
      </c>
      <c r="AL182" s="1" t="n">
        <f aca="false">(AK182*AB182-$V$15)/((1-$V$15*AK182*AB182)*$Z$15)</f>
        <v>0.556312725682149</v>
      </c>
      <c r="AM182" s="1" t="n">
        <f aca="false">IF(ABS(AL182)&lt;=1,AL182,IF(ABS(AL182)&lt;=1.00001,1*SIGN(AL182),0))</f>
        <v>0.556312725682149</v>
      </c>
      <c r="AN182" s="17" t="str">
        <f aca="false">IF(ISNUMBER(P182),DEGREES(ASIN( SQRT( (P182*(P182+2*$U$8)) / (S182*(S182+2*$U$10)) ) * SIN(RADIANS(B182)) ) ),"ignore")</f>
        <v>ignore</v>
      </c>
    </row>
    <row r="183" customFormat="false" ht="12.75" hidden="false" customHeight="false" outlineLevel="0" collapsed="false">
      <c r="B183" s="1" t="n">
        <v>153</v>
      </c>
      <c r="D183" s="27" t="str">
        <f aca="false">IF(ISNUMBER(F183),IF(ABS(AI183-1)&lt;0.000001,0,IF(ABS(AI183+1)&lt;0.000001,180,ROUND(DEGREES(ACOS(AI183)),3)))," ")</f>
        <v> </v>
      </c>
      <c r="F183" s="17" t="str">
        <f aca="false">IF(AG183&gt;0.0000001,$U$8*((1/SQRT(1-AG183*AG183))-1),"none")</f>
        <v>none</v>
      </c>
      <c r="H183" s="17" t="str">
        <f aca="false">IF(ISNUMBER(F183),$Z$15*(1+AC183/AG183)/(1+$V$15*$Z$15*AI183)/AG183," ")</f>
        <v> </v>
      </c>
      <c r="J183" s="27" t="str">
        <f aca="false">IF(ISNUMBER(F183),IF( AND( ( (F183*(F183+2*$U$8)*AB183*AB183) &gt; ($E$5*($E$5+2*$U$5)) ), ( B183&lt;90 ) ), 180-AJ183, AJ183)," ")</f>
        <v> </v>
      </c>
      <c r="L183" s="17" t="str">
        <f aca="false">IF(ISNUMBER(F183),$E$5+$O$10-F183," ")</f>
        <v> </v>
      </c>
      <c r="N183" s="1" t="str">
        <f aca="false">IF(ISNUMBER(P183),B183," ")</f>
        <v> </v>
      </c>
      <c r="O183" s="27" t="str">
        <f aca="false">IF(ISNUMBER(P183), IF( ABS(AM183-1)&lt;0.000001,0, IF(ABS(AM183+1)&lt;0.000001,180,ROUND(DEGREES(ACOS(AM183)),3)))," ")</f>
        <v> </v>
      </c>
      <c r="P183" s="17" t="str">
        <f aca="false">IF(AK183&gt;0.0000001,$U$8*((1/SQRT(1-AK183*AK183))-1),"none")</f>
        <v>none</v>
      </c>
      <c r="Q183" s="17" t="str">
        <f aca="false">IF(ISNUMBER(P183),ABS($Z$15*(1+AC183/AK183)/(1+$V$15*$Z$15*AM183)/AK183)," ")</f>
        <v> </v>
      </c>
      <c r="R183" s="27" t="str">
        <f aca="false">IF(ISNUMBER(P183),IF( AND( ( (P183*(P183+2*$U$8)*AB183*AB183) &gt; ($E$5*($E$5+2*$U$5)) ), ( B183&lt;90 ) ), 180-AN183, AN183)," ")</f>
        <v> </v>
      </c>
      <c r="S183" s="17" t="str">
        <f aca="false">IF(ISNUMBER(P183),$E$5+$O$10-P183," ")</f>
        <v> </v>
      </c>
      <c r="AB183" s="1" t="n">
        <f aca="false">COS(RADIANS(B183))</f>
        <v>-0.891006524188368</v>
      </c>
      <c r="AC183" s="1" t="n">
        <f aca="false">-$V$15*AB183</f>
        <v>0.0595442520246581</v>
      </c>
      <c r="AD183" s="1" t="n">
        <f aca="false">$AA$15+AC183*AC183</f>
        <v>1.00351848744519</v>
      </c>
      <c r="AF183" s="1" t="n">
        <f aca="false">AC183*AC183-AD183*$AE$15</f>
        <v>0.00351839233869908</v>
      </c>
      <c r="AG183" s="1" t="n">
        <f aca="false">IF(ISNUMBER(SQRT(AF183)),(-AC183+SQRT(AF183))/AD183,-100)</f>
        <v>-0.000227414084476217</v>
      </c>
      <c r="AH183" s="1" t="n">
        <f aca="false">(AG183*AB183-$V$15)/((1-$V$15*AG183*AB183)*$Z$15)</f>
        <v>-0.999998804710028</v>
      </c>
      <c r="AI183" s="1" t="n">
        <f aca="false">IF(ABS(AH183)&lt;=1,AH183,IF(ABS(AH183)&lt;=1.00001,1*SIGN(AH183),0))</f>
        <v>-0.999998804710028</v>
      </c>
      <c r="AJ183" s="17" t="e">
        <f aca="false">DEGREES(ASIN( SQRT( (F183*(F183+2*$U$8)) / (L183*(L183+2*$U$10)) ) * SIN(RADIANS(B183))  ))</f>
        <v>#VALUE!</v>
      </c>
      <c r="AK183" s="1" t="n">
        <f aca="false">IF(ISNUMBER(SQRT(AF183)),(-AC183-SQRT(AF183))/AD183,-100)</f>
        <v>-0.118443547675778</v>
      </c>
      <c r="AL183" s="1" t="n">
        <f aca="false">(AK183*AB183-$V$15)/((1-$V$15*AK183*AB183)*$Z$15)</f>
        <v>0.585065330648222</v>
      </c>
      <c r="AM183" s="1" t="n">
        <f aca="false">IF(ABS(AL183)&lt;=1,AL183,IF(ABS(AL183)&lt;=1.00001,1*SIGN(AL183),0))</f>
        <v>0.585065330648222</v>
      </c>
      <c r="AN183" s="17" t="str">
        <f aca="false">IF(ISNUMBER(P183),DEGREES(ASIN( SQRT( (P183*(P183+2*$U$8)) / (S183*(S183+2*$U$10)) ) * SIN(RADIANS(B183)) ) ),"ignore")</f>
        <v>ignore</v>
      </c>
    </row>
    <row r="184" customFormat="false" ht="12.75" hidden="false" customHeight="false" outlineLevel="0" collapsed="false">
      <c r="B184" s="1" t="n">
        <v>154</v>
      </c>
      <c r="D184" s="27" t="str">
        <f aca="false">IF(ISNUMBER(F184),IF(ABS(AI184-1)&lt;0.000001,0,IF(ABS(AI184+1)&lt;0.000001,180,ROUND(DEGREES(ACOS(AI184)),3)))," ")</f>
        <v> </v>
      </c>
      <c r="F184" s="17" t="str">
        <f aca="false">IF(AG184&gt;0.0000001,$U$8*((1/SQRT(1-AG184*AG184))-1),"none")</f>
        <v>none</v>
      </c>
      <c r="H184" s="17" t="str">
        <f aca="false">IF(ISNUMBER(F184),$Z$15*(1+AC184/AG184)/(1+$V$15*$Z$15*AI184)/AG184," ")</f>
        <v> </v>
      </c>
      <c r="J184" s="27" t="str">
        <f aca="false">IF(ISNUMBER(F184),IF( AND( ( (F184*(F184+2*$U$8)*AB184*AB184) &gt; ($E$5*($E$5+2*$U$5)) ), ( B184&lt;90 ) ), 180-AJ184, AJ184)," ")</f>
        <v> </v>
      </c>
      <c r="L184" s="17" t="str">
        <f aca="false">IF(ISNUMBER(F184),$E$5+$O$10-F184," ")</f>
        <v> </v>
      </c>
      <c r="N184" s="1" t="str">
        <f aca="false">IF(ISNUMBER(P184),B184," ")</f>
        <v> </v>
      </c>
      <c r="O184" s="27" t="str">
        <f aca="false">IF(ISNUMBER(P184), IF( ABS(AM184-1)&lt;0.000001,0, IF(ABS(AM184+1)&lt;0.000001,180,ROUND(DEGREES(ACOS(AM184)),3)))," ")</f>
        <v> </v>
      </c>
      <c r="P184" s="17" t="str">
        <f aca="false">IF(AK184&gt;0.0000001,$U$8*((1/SQRT(1-AK184*AK184))-1),"none")</f>
        <v>none</v>
      </c>
      <c r="Q184" s="17" t="str">
        <f aca="false">IF(ISNUMBER(P184),ABS($Z$15*(1+AC184/AK184)/(1+$V$15*$Z$15*AM184)/AK184)," ")</f>
        <v> </v>
      </c>
      <c r="R184" s="27" t="str">
        <f aca="false">IF(ISNUMBER(P184),IF( AND( ( (P184*(P184+2*$U$8)*AB184*AB184) &gt; ($E$5*($E$5+2*$U$5)) ), ( B184&lt;90 ) ), 180-AN184, AN184)," ")</f>
        <v> </v>
      </c>
      <c r="S184" s="17" t="str">
        <f aca="false">IF(ISNUMBER(P184),$E$5+$O$10-P184," ")</f>
        <v> </v>
      </c>
      <c r="AB184" s="1" t="n">
        <f aca="false">COS(RADIANS(B184))</f>
        <v>-0.898794046299167</v>
      </c>
      <c r="AC184" s="1" t="n">
        <f aca="false">-$V$15*AB184</f>
        <v>0.0600646771468371</v>
      </c>
      <c r="AD184" s="1" t="n">
        <f aca="false">$AA$15+AC184*AC184</f>
        <v>1.00358073493677</v>
      </c>
      <c r="AF184" s="1" t="n">
        <f aca="false">AC184*AC184-AD184*$AE$15</f>
        <v>0.00358063814769578</v>
      </c>
      <c r="AG184" s="1" t="n">
        <f aca="false">IF(ISNUMBER(SQRT(AF184)),(-AC184+SQRT(AF184))/AD184,-100)</f>
        <v>-0.000225436219269409</v>
      </c>
      <c r="AH184" s="1" t="n">
        <f aca="false">(AG184*AB184-$V$15)/((1-$V$15*AG184*AB184)*$Z$15)</f>
        <v>-0.999998904843172</v>
      </c>
      <c r="AI184" s="1" t="n">
        <f aca="false">IF(ABS(AH184)&lt;=1,AH184,IF(ABS(AH184)&lt;=1.00001,1*SIGN(AH184),0))</f>
        <v>-0.999998904843172</v>
      </c>
      <c r="AJ184" s="17" t="e">
        <f aca="false">DEGREES(ASIN( SQRT( (F184*(F184+2*$U$8)) / (L184*(L184+2*$U$10)) ) * SIN(RADIANS(B184))  ))</f>
        <v>#VALUE!</v>
      </c>
      <c r="AK184" s="1" t="n">
        <f aca="false">IF(ISNUMBER(SQRT(AF184)),(-AC184-SQRT(AF184))/AD184,-100)</f>
        <v>-0.119475301461036</v>
      </c>
      <c r="AL184" s="1" t="n">
        <f aca="false">(AK184*AB184-$V$15)/((1-$V$15*AK184*AB184)*$Z$15)</f>
        <v>0.613101339913212</v>
      </c>
      <c r="AM184" s="1" t="n">
        <f aca="false">IF(ABS(AL184)&lt;=1,AL184,IF(ABS(AL184)&lt;=1.00001,1*SIGN(AL184),0))</f>
        <v>0.613101339913212</v>
      </c>
      <c r="AN184" s="17" t="str">
        <f aca="false">IF(ISNUMBER(P184),DEGREES(ASIN( SQRT( (P184*(P184+2*$U$8)) / (S184*(S184+2*$U$10)) ) * SIN(RADIANS(B184)) ) ),"ignore")</f>
        <v>ignore</v>
      </c>
    </row>
    <row r="185" customFormat="false" ht="12.75" hidden="false" customHeight="false" outlineLevel="0" collapsed="false">
      <c r="B185" s="1" t="n">
        <v>155</v>
      </c>
      <c r="D185" s="27" t="str">
        <f aca="false">IF(ISNUMBER(F185),IF(ABS(AI185-1)&lt;0.000001,0,IF(ABS(AI185+1)&lt;0.000001,180,ROUND(DEGREES(ACOS(AI185)),3)))," ")</f>
        <v> </v>
      </c>
      <c r="F185" s="17" t="str">
        <f aca="false">IF(AG185&gt;0.0000001,$U$8*((1/SQRT(1-AG185*AG185))-1),"none")</f>
        <v>none</v>
      </c>
      <c r="H185" s="17" t="str">
        <f aca="false">IF(ISNUMBER(F185),$Z$15*(1+AC185/AG185)/(1+$V$15*$Z$15*AI185)/AG185," ")</f>
        <v> </v>
      </c>
      <c r="J185" s="27" t="str">
        <f aca="false">IF(ISNUMBER(F185),IF( AND( ( (F185*(F185+2*$U$8)*AB185*AB185) &gt; ($E$5*($E$5+2*$U$5)) ), ( B185&lt;90 ) ), 180-AJ185, AJ185)," ")</f>
        <v> </v>
      </c>
      <c r="L185" s="17" t="str">
        <f aca="false">IF(ISNUMBER(F185),$E$5+$O$10-F185," ")</f>
        <v> </v>
      </c>
      <c r="N185" s="1" t="str">
        <f aca="false">IF(ISNUMBER(P185),B185," ")</f>
        <v> </v>
      </c>
      <c r="O185" s="27" t="str">
        <f aca="false">IF(ISNUMBER(P185), IF( ABS(AM185-1)&lt;0.000001,0, IF(ABS(AM185+1)&lt;0.000001,180,ROUND(DEGREES(ACOS(AM185)),3)))," ")</f>
        <v> </v>
      </c>
      <c r="P185" s="17" t="str">
        <f aca="false">IF(AK185&gt;0.0000001,$U$8*((1/SQRT(1-AK185*AK185))-1),"none")</f>
        <v>none</v>
      </c>
      <c r="Q185" s="17" t="str">
        <f aca="false">IF(ISNUMBER(P185),ABS($Z$15*(1+AC185/AK185)/(1+$V$15*$Z$15*AM185)/AK185)," ")</f>
        <v> </v>
      </c>
      <c r="R185" s="27" t="str">
        <f aca="false">IF(ISNUMBER(P185),IF( AND( ( (P185*(P185+2*$U$8)*AB185*AB185) &gt; ($E$5*($E$5+2*$U$5)) ), ( B185&lt;90 ) ), 180-AN185, AN185)," ")</f>
        <v> </v>
      </c>
      <c r="S185" s="17" t="str">
        <f aca="false">IF(ISNUMBER(P185),$E$5+$O$10-P185," ")</f>
        <v> </v>
      </c>
      <c r="AB185" s="1" t="n">
        <f aca="false">COS(RADIANS(B185))</f>
        <v>-0.90630778703665</v>
      </c>
      <c r="AC185" s="1" t="n">
        <f aca="false">-$V$15*AB185</f>
        <v>0.0605668059864976</v>
      </c>
      <c r="AD185" s="1" t="n">
        <f aca="false">$AA$15+AC185*AC185</f>
        <v>1.00364130748342</v>
      </c>
      <c r="AF185" s="1" t="n">
        <f aca="false">AC185*AC185-AD185*$AE$15</f>
        <v>0.00364120905704158</v>
      </c>
      <c r="AG185" s="1" t="n">
        <f aca="false">IF(ISNUMBER(SQRT(AF185)),(-AC185+SQRT(AF185))/AD185,-100)</f>
        <v>-0.000223560288007062</v>
      </c>
      <c r="AH185" s="1" t="n">
        <f aca="false">(AG185*AB185-$V$15)/((1-$V$15*AG185*AB185)*$Z$15)</f>
        <v>-0.999998999007494</v>
      </c>
      <c r="AI185" s="1" t="n">
        <f aca="false">IF(ABS(AH185)&lt;=1,AH185,IF(ABS(AH185)&lt;=1.00001,1*SIGN(AH185),0))</f>
        <v>-0.999998999007494</v>
      </c>
      <c r="AJ185" s="17" t="e">
        <f aca="false">DEGREES(ASIN( SQRT( (F185*(F185+2*$U$8)) / (L185*(L185+2*$U$10)) ) * SIN(RADIANS(B185))  ))</f>
        <v>#VALUE!</v>
      </c>
      <c r="AK185" s="1" t="n">
        <f aca="false">IF(ISNUMBER(SQRT(AF185)),(-AC185-SQRT(AF185))/AD185,-100)</f>
        <v>-0.120470567255161</v>
      </c>
      <c r="AL185" s="1" t="n">
        <f aca="false">(AK185*AB185-$V$15)/((1-$V$15*AK185*AB185)*$Z$15)</f>
        <v>0.640386320785269</v>
      </c>
      <c r="AM185" s="1" t="n">
        <f aca="false">IF(ABS(AL185)&lt;=1,AL185,IF(ABS(AL185)&lt;=1.00001,1*SIGN(AL185),0))</f>
        <v>0.640386320785269</v>
      </c>
      <c r="AN185" s="17" t="str">
        <f aca="false">IF(ISNUMBER(P185),DEGREES(ASIN( SQRT( (P185*(P185+2*$U$8)) / (S185*(S185+2*$U$10)) ) * SIN(RADIANS(B185)) ) ),"ignore")</f>
        <v>ignore</v>
      </c>
    </row>
    <row r="186" customFormat="false" ht="12.75" hidden="false" customHeight="false" outlineLevel="0" collapsed="false">
      <c r="B186" s="1" t="n">
        <v>156</v>
      </c>
      <c r="D186" s="27" t="str">
        <f aca="false">IF(ISNUMBER(F186),IF(ABS(AI186-1)&lt;0.000001,0,IF(ABS(AI186+1)&lt;0.000001,180,ROUND(DEGREES(ACOS(AI186)),3)))," ")</f>
        <v> </v>
      </c>
      <c r="F186" s="17" t="str">
        <f aca="false">IF(AG186&gt;0.0000001,$U$8*((1/SQRT(1-AG186*AG186))-1),"none")</f>
        <v>none</v>
      </c>
      <c r="H186" s="17" t="str">
        <f aca="false">IF(ISNUMBER(F186),$Z$15*(1+AC186/AG186)/(1+$V$15*$Z$15*AI186)/AG186," ")</f>
        <v> </v>
      </c>
      <c r="J186" s="27" t="str">
        <f aca="false">IF(ISNUMBER(F186),IF( AND( ( (F186*(F186+2*$U$8)*AB186*AB186) &gt; ($E$5*($E$5+2*$U$5)) ), ( B186&lt;90 ) ), 180-AJ186, AJ186)," ")</f>
        <v> </v>
      </c>
      <c r="L186" s="17" t="str">
        <f aca="false">IF(ISNUMBER(F186),$E$5+$O$10-F186," ")</f>
        <v> </v>
      </c>
      <c r="N186" s="1" t="str">
        <f aca="false">IF(ISNUMBER(P186),B186," ")</f>
        <v> </v>
      </c>
      <c r="O186" s="27" t="str">
        <f aca="false">IF(ISNUMBER(P186), IF( ABS(AM186-1)&lt;0.000001,0, IF(ABS(AM186+1)&lt;0.000001,180,ROUND(DEGREES(ACOS(AM186)),3)))," ")</f>
        <v> </v>
      </c>
      <c r="P186" s="17" t="str">
        <f aca="false">IF(AK186&gt;0.0000001,$U$8*((1/SQRT(1-AK186*AK186))-1),"none")</f>
        <v>none</v>
      </c>
      <c r="Q186" s="17" t="str">
        <f aca="false">IF(ISNUMBER(P186),ABS($Z$15*(1+AC186/AK186)/(1+$V$15*$Z$15*AM186)/AK186)," ")</f>
        <v> </v>
      </c>
      <c r="R186" s="27" t="str">
        <f aca="false">IF(ISNUMBER(P186),IF( AND( ( (P186*(P186+2*$U$8)*AB186*AB186) &gt; ($E$5*($E$5+2*$U$5)) ), ( B186&lt;90 ) ), 180-AN186, AN186)," ")</f>
        <v> </v>
      </c>
      <c r="S186" s="17" t="str">
        <f aca="false">IF(ISNUMBER(P186),$E$5+$O$10-P186," ")</f>
        <v> </v>
      </c>
      <c r="AB186" s="1" t="n">
        <f aca="false">COS(RADIANS(B186))</f>
        <v>-0.913545457642601</v>
      </c>
      <c r="AC186" s="1" t="n">
        <f aca="false">-$V$15*AB186</f>
        <v>0.0610504855903307</v>
      </c>
      <c r="AD186" s="1" t="n">
        <f aca="false">$AA$15+AC186*AC186</f>
        <v>1.00370013128683</v>
      </c>
      <c r="AF186" s="1" t="n">
        <f aca="false">AC186*AC186-AD186*$AE$15</f>
        <v>0.00370003127041368</v>
      </c>
      <c r="AG186" s="1" t="n">
        <f aca="false">IF(ISNUMBER(SQRT(AF186)),(-AC186+SQRT(AF186))/AD186,-100)</f>
        <v>-0.000221782621856586</v>
      </c>
      <c r="AH186" s="1" t="n">
        <f aca="false">(AG186*AB186-$V$15)/((1-$V$15*AG186*AB186)*$Z$15)</f>
        <v>-0.999999087513194</v>
      </c>
      <c r="AI186" s="1" t="n">
        <f aca="false">IF(ABS(AH186)&lt;=1,AH186,IF(ABS(AH186)&lt;=1.00001,1*SIGN(AH186),0))</f>
        <v>-0.999999087513194</v>
      </c>
      <c r="AJ186" s="17" t="e">
        <f aca="false">DEGREES(ASIN( SQRT( (F186*(F186+2*$U$8)) / (L186*(L186+2*$U$10)) ) * SIN(RADIANS(B186))  ))</f>
        <v>#VALUE!</v>
      </c>
      <c r="AK186" s="1" t="n">
        <f aca="false">IF(ISNUMBER(SQRT(AF186)),(-AC186-SQRT(AF186))/AD186,-100)</f>
        <v>-0.121429064453472</v>
      </c>
      <c r="AL186" s="1" t="n">
        <f aca="false">(AK186*AB186-$V$15)/((1-$V$15*AK186*AB186)*$Z$15)</f>
        <v>0.666886750594152</v>
      </c>
      <c r="AM186" s="1" t="n">
        <f aca="false">IF(ABS(AL186)&lt;=1,AL186,IF(ABS(AL186)&lt;=1.00001,1*SIGN(AL186),0))</f>
        <v>0.666886750594152</v>
      </c>
      <c r="AN186" s="17" t="str">
        <f aca="false">IF(ISNUMBER(P186),DEGREES(ASIN( SQRT( (P186*(P186+2*$U$8)) / (S186*(S186+2*$U$10)) ) * SIN(RADIANS(B186)) ) ),"ignore")</f>
        <v>ignore</v>
      </c>
    </row>
    <row r="187" customFormat="false" ht="12.75" hidden="false" customHeight="false" outlineLevel="0" collapsed="false">
      <c r="B187" s="1" t="n">
        <v>157</v>
      </c>
      <c r="D187" s="27" t="str">
        <f aca="false">IF(ISNUMBER(F187),IF(ABS(AI187-1)&lt;0.000001,0,IF(ABS(AI187+1)&lt;0.000001,180,ROUND(DEGREES(ACOS(AI187)),3)))," ")</f>
        <v> </v>
      </c>
      <c r="F187" s="17" t="str">
        <f aca="false">IF(AG187&gt;0.0000001,$U$8*((1/SQRT(1-AG187*AG187))-1),"none")</f>
        <v>none</v>
      </c>
      <c r="H187" s="17" t="str">
        <f aca="false">IF(ISNUMBER(F187),$Z$15*(1+AC187/AG187)/(1+$V$15*$Z$15*AI187)/AG187," ")</f>
        <v> </v>
      </c>
      <c r="J187" s="27" t="str">
        <f aca="false">IF(ISNUMBER(F187),IF( AND( ( (F187*(F187+2*$U$8)*AB187*AB187) &gt; ($E$5*($E$5+2*$U$5)) ), ( B187&lt;90 ) ), 180-AJ187, AJ187)," ")</f>
        <v> </v>
      </c>
      <c r="L187" s="17" t="str">
        <f aca="false">IF(ISNUMBER(F187),$E$5+$O$10-F187," ")</f>
        <v> </v>
      </c>
      <c r="N187" s="1" t="str">
        <f aca="false">IF(ISNUMBER(P187),B187," ")</f>
        <v> </v>
      </c>
      <c r="O187" s="27" t="str">
        <f aca="false">IF(ISNUMBER(P187), IF( ABS(AM187-1)&lt;0.000001,0, IF(ABS(AM187+1)&lt;0.000001,180,ROUND(DEGREES(ACOS(AM187)),3)))," ")</f>
        <v> </v>
      </c>
      <c r="P187" s="17" t="str">
        <f aca="false">IF(AK187&gt;0.0000001,$U$8*((1/SQRT(1-AK187*AK187))-1),"none")</f>
        <v>none</v>
      </c>
      <c r="Q187" s="17" t="str">
        <f aca="false">IF(ISNUMBER(P187),ABS($Z$15*(1+AC187/AK187)/(1+$V$15*$Z$15*AM187)/AK187)," ")</f>
        <v> </v>
      </c>
      <c r="R187" s="27" t="str">
        <f aca="false">IF(ISNUMBER(P187),IF( AND( ( (P187*(P187+2*$U$8)*AB187*AB187) &gt; ($E$5*($E$5+2*$U$5)) ), ( B187&lt;90 ) ), 180-AN187, AN187)," ")</f>
        <v> </v>
      </c>
      <c r="S187" s="17" t="str">
        <f aca="false">IF(ISNUMBER(P187),$E$5+$O$10-P187," ")</f>
        <v> </v>
      </c>
      <c r="AB187" s="1" t="n">
        <f aca="false">COS(RADIANS(B187))</f>
        <v>-0.92050485345244</v>
      </c>
      <c r="AC187" s="1" t="n">
        <f aca="false">-$V$15*AB187</f>
        <v>0.0615155686248437</v>
      </c>
      <c r="AD187" s="1" t="n">
        <f aca="false">$AA$15+AC187*AC187</f>
        <v>1.00375713467925</v>
      </c>
      <c r="AF187" s="1" t="n">
        <f aca="false">AC187*AC187-AD187*$AE$15</f>
        <v>0.00375703312200593</v>
      </c>
      <c r="AG187" s="1" t="n">
        <f aca="false">IF(ISNUMBER(SQRT(AF187)),(-AC187+SQRT(AF187))/AD187,-100)</f>
        <v>-0.000220099809934572</v>
      </c>
      <c r="AH187" s="1" t="n">
        <f aca="false">(AG187*AB187-$V$15)/((1-$V$15*AG187*AB187)*$Z$15)</f>
        <v>-0.999999170645306</v>
      </c>
      <c r="AI187" s="1" t="n">
        <f aca="false">IF(ABS(AH187)&lt;=1,AH187,IF(ABS(AH187)&lt;=1.00001,1*SIGN(AH187),0))</f>
        <v>-0.999999170645306</v>
      </c>
      <c r="AJ187" s="17" t="e">
        <f aca="false">DEGREES(ASIN( SQRT( (F187*(F187+2*$U$8)) / (L187*(L187+2*$U$10)) ) * SIN(RADIANS(B187))  ))</f>
        <v>#VALUE!</v>
      </c>
      <c r="AK187" s="1" t="n">
        <f aca="false">IF(ISNUMBER(SQRT(AF187)),(-AC187-SQRT(AF187))/AD187,-100)</f>
        <v>-0.122350523101754</v>
      </c>
      <c r="AL187" s="1" t="n">
        <f aca="false">(AK187*AB187-$V$15)/((1-$V$15*AK187*AB187)*$Z$15)</f>
        <v>0.6925700589065</v>
      </c>
      <c r="AM187" s="1" t="n">
        <f aca="false">IF(ABS(AL187)&lt;=1,AL187,IF(ABS(AL187)&lt;=1.00001,1*SIGN(AL187),0))</f>
        <v>0.6925700589065</v>
      </c>
      <c r="AN187" s="17" t="str">
        <f aca="false">IF(ISNUMBER(P187),DEGREES(ASIN( SQRT( (P187*(P187+2*$U$8)) / (S187*(S187+2*$U$10)) ) * SIN(RADIANS(B187)) ) ),"ignore")</f>
        <v>ignore</v>
      </c>
    </row>
    <row r="188" customFormat="false" ht="12.75" hidden="false" customHeight="false" outlineLevel="0" collapsed="false">
      <c r="B188" s="1" t="n">
        <v>158</v>
      </c>
      <c r="D188" s="27" t="str">
        <f aca="false">IF(ISNUMBER(F188),IF(ABS(AI188-1)&lt;0.000001,0,IF(ABS(AI188+1)&lt;0.000001,180,ROUND(DEGREES(ACOS(AI188)),3)))," ")</f>
        <v> </v>
      </c>
      <c r="F188" s="17" t="str">
        <f aca="false">IF(AG188&gt;0.0000001,$U$8*((1/SQRT(1-AG188*AG188))-1),"none")</f>
        <v>none</v>
      </c>
      <c r="H188" s="17" t="str">
        <f aca="false">IF(ISNUMBER(F188),$Z$15*(1+AC188/AG188)/(1+$V$15*$Z$15*AI188)/AG188," ")</f>
        <v> </v>
      </c>
      <c r="J188" s="27" t="str">
        <f aca="false">IF(ISNUMBER(F188),IF( AND( ( (F188*(F188+2*$U$8)*AB188*AB188) &gt; ($E$5*($E$5+2*$U$5)) ), ( B188&lt;90 ) ), 180-AJ188, AJ188)," ")</f>
        <v> </v>
      </c>
      <c r="L188" s="17" t="str">
        <f aca="false">IF(ISNUMBER(F188),$E$5+$O$10-F188," ")</f>
        <v> </v>
      </c>
      <c r="N188" s="1" t="str">
        <f aca="false">IF(ISNUMBER(P188),B188," ")</f>
        <v> </v>
      </c>
      <c r="O188" s="27" t="str">
        <f aca="false">IF(ISNUMBER(P188), IF( ABS(AM188-1)&lt;0.000001,0, IF(ABS(AM188+1)&lt;0.000001,180,ROUND(DEGREES(ACOS(AM188)),3)))," ")</f>
        <v> </v>
      </c>
      <c r="P188" s="17" t="str">
        <f aca="false">IF(AK188&gt;0.0000001,$U$8*((1/SQRT(1-AK188*AK188))-1),"none")</f>
        <v>none</v>
      </c>
      <c r="Q188" s="17" t="str">
        <f aca="false">IF(ISNUMBER(P188),ABS($Z$15*(1+AC188/AK188)/(1+$V$15*$Z$15*AM188)/AK188)," ")</f>
        <v> </v>
      </c>
      <c r="R188" s="27" t="str">
        <f aca="false">IF(ISNUMBER(P188),IF( AND( ( (P188*(P188+2*$U$8)*AB188*AB188) &gt; ($E$5*($E$5+2*$U$5)) ), ( B188&lt;90 ) ), 180-AN188, AN188)," ")</f>
        <v> </v>
      </c>
      <c r="S188" s="17" t="str">
        <f aca="false">IF(ISNUMBER(P188),$E$5+$O$10-P188," ")</f>
        <v> </v>
      </c>
      <c r="AB188" s="1" t="n">
        <f aca="false">COS(RADIANS(B188))</f>
        <v>-0.927183854566787</v>
      </c>
      <c r="AC188" s="1" t="n">
        <f aca="false">-$V$15*AB188</f>
        <v>0.0619619134212389</v>
      </c>
      <c r="AD188" s="1" t="n">
        <f aca="false">$AA$15+AC188*AC188</f>
        <v>1.00381224821083</v>
      </c>
      <c r="AF188" s="1" t="n">
        <f aca="false">AC188*AC188-AD188*$AE$15</f>
        <v>0.00381214516384264</v>
      </c>
      <c r="AG188" s="1" t="n">
        <f aca="false">IF(ISNUMBER(SQRT(AF188)),(-AC188+SQRT(AF188))/AD188,-100)</f>
        <v>-0.000218508681839143</v>
      </c>
      <c r="AH188" s="1" t="n">
        <f aca="false">(AG188*AB188-$V$15)/((1-$V$15*AG188*AB188)*$Z$15)</f>
        <v>-0.999999248665797</v>
      </c>
      <c r="AI188" s="1" t="n">
        <f aca="false">IF(ABS(AH188)&lt;=1,AH188,IF(ABS(AH188)&lt;=1.00001,1*SIGN(AH188),0))</f>
        <v>-0.999999248665797</v>
      </c>
      <c r="AJ188" s="17" t="e">
        <f aca="false">DEGREES(ASIN( SQRT( (F188*(F188+2*$U$8)) / (L188*(L188+2*$U$10)) ) * SIN(RADIANS(B188))  ))</f>
        <v>#VALUE!</v>
      </c>
      <c r="AK188" s="1" t="n">
        <f aca="false">IF(ISNUMBER(SQRT(AF188)),(-AC188-SQRT(AF188))/AD188,-100)</f>
        <v>-0.123234683947914</v>
      </c>
      <c r="AL188" s="1" t="n">
        <f aca="false">(AK188*AB188-$V$15)/((1-$V$15*AK188*AB188)*$Z$15)</f>
        <v>0.717404668598834</v>
      </c>
      <c r="AM188" s="1" t="n">
        <f aca="false">IF(ABS(AL188)&lt;=1,AL188,IF(ABS(AL188)&lt;=1.00001,1*SIGN(AL188),0))</f>
        <v>0.717404668598834</v>
      </c>
      <c r="AN188" s="17" t="str">
        <f aca="false">IF(ISNUMBER(P188),DEGREES(ASIN( SQRT( (P188*(P188+2*$U$8)) / (S188*(S188+2*$U$10)) ) * SIN(RADIANS(B188)) ) ),"ignore")</f>
        <v>ignore</v>
      </c>
    </row>
    <row r="189" customFormat="false" ht="12.75" hidden="false" customHeight="false" outlineLevel="0" collapsed="false">
      <c r="B189" s="1" t="n">
        <v>159</v>
      </c>
      <c r="D189" s="27" t="str">
        <f aca="false">IF(ISNUMBER(F189),IF(ABS(AI189-1)&lt;0.000001,0,IF(ABS(AI189+1)&lt;0.000001,180,ROUND(DEGREES(ACOS(AI189)),3)))," ")</f>
        <v> </v>
      </c>
      <c r="F189" s="17" t="str">
        <f aca="false">IF(AG189&gt;0.0000001,$U$8*((1/SQRT(1-AG189*AG189))-1),"none")</f>
        <v>none</v>
      </c>
      <c r="H189" s="17" t="str">
        <f aca="false">IF(ISNUMBER(F189),$Z$15*(1+AC189/AG189)/(1+$V$15*$Z$15*AI189)/AG189," ")</f>
        <v> </v>
      </c>
      <c r="J189" s="27" t="str">
        <f aca="false">IF(ISNUMBER(F189),IF( AND( ( (F189*(F189+2*$U$8)*AB189*AB189) &gt; ($E$5*($E$5+2*$U$5)) ), ( B189&lt;90 ) ), 180-AJ189, AJ189)," ")</f>
        <v> </v>
      </c>
      <c r="L189" s="17" t="str">
        <f aca="false">IF(ISNUMBER(F189),$E$5+$O$10-F189," ")</f>
        <v> </v>
      </c>
      <c r="N189" s="1" t="str">
        <f aca="false">IF(ISNUMBER(P189),B189," ")</f>
        <v> </v>
      </c>
      <c r="O189" s="27" t="str">
        <f aca="false">IF(ISNUMBER(P189), IF( ABS(AM189-1)&lt;0.000001,0, IF(ABS(AM189+1)&lt;0.000001,180,ROUND(DEGREES(ACOS(AM189)),3)))," ")</f>
        <v> </v>
      </c>
      <c r="P189" s="17" t="str">
        <f aca="false">IF(AK189&gt;0.0000001,$U$8*((1/SQRT(1-AK189*AK189))-1),"none")</f>
        <v>none</v>
      </c>
      <c r="Q189" s="17" t="str">
        <f aca="false">IF(ISNUMBER(P189),ABS($Z$15*(1+AC189/AK189)/(1+$V$15*$Z$15*AM189)/AK189)," ")</f>
        <v> </v>
      </c>
      <c r="R189" s="27" t="str">
        <f aca="false">IF(ISNUMBER(P189),IF( AND( ( (P189*(P189+2*$U$8)*AB189*AB189) &gt; ($E$5*($E$5+2*$U$5)) ), ( B189&lt;90 ) ), 180-AN189, AN189)," ")</f>
        <v> </v>
      </c>
      <c r="S189" s="17" t="str">
        <f aca="false">IF(ISNUMBER(P189),$E$5+$O$10-P189," ")</f>
        <v> </v>
      </c>
      <c r="AB189" s="1" t="n">
        <f aca="false">COS(RADIANS(B189))</f>
        <v>-0.933580426497202</v>
      </c>
      <c r="AC189" s="1" t="n">
        <f aca="false">-$V$15*AB189</f>
        <v>0.0623893840185675</v>
      </c>
      <c r="AD189" s="1" t="n">
        <f aca="false">$AA$15+AC189*AC189</f>
        <v>1.00386540473423</v>
      </c>
      <c r="AF189" s="1" t="n">
        <f aca="false">AC189*AC189-AD189*$AE$15</f>
        <v>0.00386530025039021</v>
      </c>
      <c r="AG189" s="1" t="n">
        <f aca="false">IF(ISNUMBER(SQRT(AF189)),(-AC189+SQRT(AF189))/AD189,-100)</f>
        <v>-0.000217006291801366</v>
      </c>
      <c r="AH189" s="1" t="n">
        <f aca="false">(AG189*AB189-$V$15)/((1-$V$15*AG189*AB189)*$Z$15)</f>
        <v>-0.999999321815452</v>
      </c>
      <c r="AI189" s="1" t="n">
        <f aca="false">IF(ABS(AH189)&lt;=1,AH189,IF(ABS(AH189)&lt;=1.00001,1*SIGN(AH189),0))</f>
        <v>-0.999999321815452</v>
      </c>
      <c r="AJ189" s="17" t="e">
        <f aca="false">DEGREES(ASIN( SQRT( (F189*(F189+2*$U$8)) / (L189*(L189+2*$U$10)) ) * SIN(RADIANS(B189))  ))</f>
        <v>#VALUE!</v>
      </c>
      <c r="AK189" s="1" t="n">
        <f aca="false">IF(ISNUMBER(SQRT(AF189)),(-AC189-SQRT(AF189))/AD189,-100)</f>
        <v>-0.124081298489575</v>
      </c>
      <c r="AL189" s="1" t="n">
        <f aca="false">(AK189*AB189-$V$15)/((1-$V$15*AK189*AB189)*$Z$15)</f>
        <v>0.741360035731502</v>
      </c>
      <c r="AM189" s="1" t="n">
        <f aca="false">IF(ABS(AL189)&lt;=1,AL189,IF(ABS(AL189)&lt;=1.00001,1*SIGN(AL189),0))</f>
        <v>0.741360035731502</v>
      </c>
      <c r="AN189" s="17" t="str">
        <f aca="false">IF(ISNUMBER(P189),DEGREES(ASIN( SQRT( (P189*(P189+2*$U$8)) / (S189*(S189+2*$U$10)) ) * SIN(RADIANS(B189)) ) ),"ignore")</f>
        <v>ignore</v>
      </c>
    </row>
    <row r="190" customFormat="false" ht="12.75" hidden="false" customHeight="false" outlineLevel="0" collapsed="false">
      <c r="B190" s="1" t="n">
        <v>160</v>
      </c>
      <c r="D190" s="27" t="str">
        <f aca="false">IF(ISNUMBER(F190),IF(ABS(AI190-1)&lt;0.000001,0,IF(ABS(AI190+1)&lt;0.000001,180,ROUND(DEGREES(ACOS(AI190)),3)))," ")</f>
        <v> </v>
      </c>
      <c r="F190" s="17" t="str">
        <f aca="false">IF(AG190&gt;0.0000001,$U$8*((1/SQRT(1-AG190*AG190))-1),"none")</f>
        <v>none</v>
      </c>
      <c r="H190" s="17" t="str">
        <f aca="false">IF(ISNUMBER(F190),$Z$15*(1+AC190/AG190)/(1+$V$15*$Z$15*AI190)/AG190," ")</f>
        <v> </v>
      </c>
      <c r="J190" s="27" t="str">
        <f aca="false">IF(ISNUMBER(F190),IF( AND( ( (F190*(F190+2*$U$8)*AB190*AB190) &gt; ($E$5*($E$5+2*$U$5)) ), ( B190&lt;90 ) ), 180-AJ190, AJ190)," ")</f>
        <v> </v>
      </c>
      <c r="L190" s="17" t="str">
        <f aca="false">IF(ISNUMBER(F190),$E$5+$O$10-F190," ")</f>
        <v> </v>
      </c>
      <c r="N190" s="1" t="str">
        <f aca="false">IF(ISNUMBER(P190),B190," ")</f>
        <v> </v>
      </c>
      <c r="O190" s="27" t="str">
        <f aca="false">IF(ISNUMBER(P190), IF( ABS(AM190-1)&lt;0.000001,0, IF(ABS(AM190+1)&lt;0.000001,180,ROUND(DEGREES(ACOS(AM190)),3)))," ")</f>
        <v> </v>
      </c>
      <c r="P190" s="17" t="str">
        <f aca="false">IF(AK190&gt;0.0000001,$U$8*((1/SQRT(1-AK190*AK190))-1),"none")</f>
        <v>none</v>
      </c>
      <c r="Q190" s="17" t="str">
        <f aca="false">IF(ISNUMBER(P190),ABS($Z$15*(1+AC190/AK190)/(1+$V$15*$Z$15*AM190)/AK190)," ")</f>
        <v> </v>
      </c>
      <c r="R190" s="27" t="str">
        <f aca="false">IF(ISNUMBER(P190),IF( AND( ( (P190*(P190+2*$U$8)*AB190*AB190) &gt; ($E$5*($E$5+2*$U$5)) ), ( B190&lt;90 ) ), 180-AN190, AN190)," ")</f>
        <v> </v>
      </c>
      <c r="S190" s="17" t="str">
        <f aca="false">IF(ISNUMBER(P190),$E$5+$O$10-P190," ")</f>
        <v> </v>
      </c>
      <c r="AB190" s="1" t="n">
        <f aca="false">COS(RADIANS(B190))</f>
        <v>-0.939692620785908</v>
      </c>
      <c r="AC190" s="1" t="n">
        <f aca="false">-$V$15*AB190</f>
        <v>0.0627978502051445</v>
      </c>
      <c r="AD190" s="1" t="n">
        <f aca="false">$AA$15+AC190*AC190</f>
        <v>1.0039165394864</v>
      </c>
      <c r="AF190" s="1" t="n">
        <f aca="false">AC190*AC190-AD190*$AE$15</f>
        <v>0.00391643362036355</v>
      </c>
      <c r="AG190" s="1" t="n">
        <f aca="false">IF(ISNUMBER(SQRT(AF190)),(-AC190+SQRT(AF190))/AD190,-100)</f>
        <v>-0.000215589904298059</v>
      </c>
      <c r="AH190" s="1" t="n">
        <f aca="false">(AG190*AB190-$V$15)/((1-$V$15*AG190*AB190)*$Z$15)</f>
        <v>-0.999999390315564</v>
      </c>
      <c r="AI190" s="1" t="n">
        <f aca="false">IF(ABS(AH190)&lt;=1,AH190,IF(ABS(AH190)&lt;=1.00001,1*SIGN(AH190),0))</f>
        <v>-0.999999390315564</v>
      </c>
      <c r="AJ190" s="17" t="e">
        <f aca="false">DEGREES(ASIN( SQRT( (F190*(F190+2*$U$8)) / (L190*(L190+2*$U$10)) ) * SIN(RADIANS(B190))  ))</f>
        <v>#VALUE!</v>
      </c>
      <c r="AK190" s="1" t="n">
        <f aca="false">IF(ISNUMBER(SQRT(AF190)),(-AC190-SQRT(AF190))/AD190,-100)</f>
        <v>-0.124890129017858</v>
      </c>
      <c r="AL190" s="1" t="n">
        <f aca="false">(AK190*AB190-$V$15)/((1-$V$15*AK190*AB190)*$Z$15)</f>
        <v>0.764406688168102</v>
      </c>
      <c r="AM190" s="1" t="n">
        <f aca="false">IF(ABS(AL190)&lt;=1,AL190,IF(ABS(AL190)&lt;=1.00001,1*SIGN(AL190),0))</f>
        <v>0.764406688168102</v>
      </c>
      <c r="AN190" s="17" t="str">
        <f aca="false">IF(ISNUMBER(P190),DEGREES(ASIN( SQRT( (P190*(P190+2*$U$8)) / (S190*(S190+2*$U$10)) ) * SIN(RADIANS(B190)) ) ),"ignore")</f>
        <v>ignore</v>
      </c>
    </row>
    <row r="191" customFormat="false" ht="12.75" hidden="false" customHeight="false" outlineLevel="0" collapsed="false">
      <c r="B191" s="1" t="n">
        <v>161</v>
      </c>
      <c r="D191" s="27" t="str">
        <f aca="false">IF(ISNUMBER(F191),IF(ABS(AI191-1)&lt;0.000001,0,IF(ABS(AI191+1)&lt;0.000001,180,ROUND(DEGREES(ACOS(AI191)),3)))," ")</f>
        <v> </v>
      </c>
      <c r="F191" s="17" t="str">
        <f aca="false">IF(AG191&gt;0.0000001,$U$8*((1/SQRT(1-AG191*AG191))-1),"none")</f>
        <v>none</v>
      </c>
      <c r="H191" s="17" t="str">
        <f aca="false">IF(ISNUMBER(F191),$Z$15*(1+AC191/AG191)/(1+$V$15*$Z$15*AI191)/AG191," ")</f>
        <v> </v>
      </c>
      <c r="J191" s="27" t="str">
        <f aca="false">IF(ISNUMBER(F191),IF( AND( ( (F191*(F191+2*$U$8)*AB191*AB191) &gt; ($E$5*($E$5+2*$U$5)) ), ( B191&lt;90 ) ), 180-AJ191, AJ191)," ")</f>
        <v> </v>
      </c>
      <c r="L191" s="17" t="str">
        <f aca="false">IF(ISNUMBER(F191),$E$5+$O$10-F191," ")</f>
        <v> </v>
      </c>
      <c r="N191" s="1" t="str">
        <f aca="false">IF(ISNUMBER(P191),B191," ")</f>
        <v> </v>
      </c>
      <c r="O191" s="27" t="str">
        <f aca="false">IF(ISNUMBER(P191), IF( ABS(AM191-1)&lt;0.000001,0, IF(ABS(AM191+1)&lt;0.000001,180,ROUND(DEGREES(ACOS(AM191)),3)))," ")</f>
        <v> </v>
      </c>
      <c r="P191" s="17" t="str">
        <f aca="false">IF(AK191&gt;0.0000001,$U$8*((1/SQRT(1-AK191*AK191))-1),"none")</f>
        <v>none</v>
      </c>
      <c r="Q191" s="17" t="str">
        <f aca="false">IF(ISNUMBER(P191),ABS($Z$15*(1+AC191/AK191)/(1+$V$15*$Z$15*AM191)/AK191)," ")</f>
        <v> </v>
      </c>
      <c r="R191" s="27" t="str">
        <f aca="false">IF(ISNUMBER(P191),IF( AND( ( (P191*(P191+2*$U$8)*AB191*AB191) &gt; ($E$5*($E$5+2*$U$5)) ), ( B191&lt;90 ) ), 180-AN191, AN191)," ")</f>
        <v> </v>
      </c>
      <c r="S191" s="17" t="str">
        <f aca="false">IF(ISNUMBER(P191),$E$5+$O$10-P191," ")</f>
        <v> </v>
      </c>
      <c r="AB191" s="1" t="n">
        <f aca="false">COS(RADIANS(B191))</f>
        <v>-0.945518575599317</v>
      </c>
      <c r="AC191" s="1" t="n">
        <f aca="false">-$V$15*AB191</f>
        <v>0.0631871875582126</v>
      </c>
      <c r="AD191" s="1" t="n">
        <f aca="false">$AA$15+AC191*AC191</f>
        <v>1.00396559016753</v>
      </c>
      <c r="AF191" s="1" t="n">
        <f aca="false">AC191*AC191-AD191*$AE$15</f>
        <v>0.00396548297562789</v>
      </c>
      <c r="AG191" s="1" t="n">
        <f aca="false">IF(ISNUMBER(SQRT(AF191)),(-AC191+SQRT(AF191))/AD191,-100)</f>
        <v>-0.000214256980986483</v>
      </c>
      <c r="AH191" s="1" t="n">
        <f aca="false">(AG191*AB191-$V$15)/((1-$V$15*AG191*AB191)*$Z$15)</f>
        <v>-0.999999454369444</v>
      </c>
      <c r="AI191" s="1" t="n">
        <f aca="false">IF(ABS(AH191)&lt;=1,AH191,IF(ABS(AH191)&lt;=1.00001,1*SIGN(AH191),0))</f>
        <v>-0.999999454369444</v>
      </c>
      <c r="AJ191" s="17" t="e">
        <f aca="false">DEGREES(ASIN( SQRT( (F191*(F191+2*$U$8)) / (L191*(L191+2*$U$10)) ) * SIN(RADIANS(B191))  ))</f>
        <v>#VALUE!</v>
      </c>
      <c r="AK191" s="1" t="n">
        <f aca="false">IF(ISNUMBER(SQRT(AF191)),(-AC191-SQRT(AF191))/AD191,-100)</f>
        <v>-0.125660948657623</v>
      </c>
      <c r="AL191" s="1" t="n">
        <f aca="false">(AK191*AB191-$V$15)/((1-$V$15*AK191*AB191)*$Z$15)</f>
        <v>0.786516262886518</v>
      </c>
      <c r="AM191" s="1" t="n">
        <f aca="false">IF(ABS(AL191)&lt;=1,AL191,IF(ABS(AL191)&lt;=1.00001,1*SIGN(AL191),0))</f>
        <v>0.786516262886518</v>
      </c>
      <c r="AN191" s="17" t="str">
        <f aca="false">IF(ISNUMBER(P191),DEGREES(ASIN( SQRT( (P191*(P191+2*$U$8)) / (S191*(S191+2*$U$10)) ) * SIN(RADIANS(B191)) ) ),"ignore")</f>
        <v>ignore</v>
      </c>
    </row>
    <row r="192" customFormat="false" ht="12.75" hidden="false" customHeight="false" outlineLevel="0" collapsed="false">
      <c r="B192" s="1" t="n">
        <v>162</v>
      </c>
      <c r="D192" s="27" t="str">
        <f aca="false">IF(ISNUMBER(F192),IF(ABS(AI192-1)&lt;0.000001,0,IF(ABS(AI192+1)&lt;0.000001,180,ROUND(DEGREES(ACOS(AI192)),3)))," ")</f>
        <v> </v>
      </c>
      <c r="F192" s="17" t="str">
        <f aca="false">IF(AG192&gt;0.0000001,$U$8*((1/SQRT(1-AG192*AG192))-1),"none")</f>
        <v>none</v>
      </c>
      <c r="H192" s="17" t="str">
        <f aca="false">IF(ISNUMBER(F192),$Z$15*(1+AC192/AG192)/(1+$V$15*$Z$15*AI192)/AG192," ")</f>
        <v> </v>
      </c>
      <c r="J192" s="27" t="str">
        <f aca="false">IF(ISNUMBER(F192),IF( AND( ( (F192*(F192+2*$U$8)*AB192*AB192) &gt; ($E$5*($E$5+2*$U$5)) ), ( B192&lt;90 ) ), 180-AJ192, AJ192)," ")</f>
        <v> </v>
      </c>
      <c r="L192" s="17" t="str">
        <f aca="false">IF(ISNUMBER(F192),$E$5+$O$10-F192," ")</f>
        <v> </v>
      </c>
      <c r="N192" s="1" t="str">
        <f aca="false">IF(ISNUMBER(P192),B192," ")</f>
        <v> </v>
      </c>
      <c r="O192" s="27" t="str">
        <f aca="false">IF(ISNUMBER(P192), IF( ABS(AM192-1)&lt;0.000001,0, IF(ABS(AM192+1)&lt;0.000001,180,ROUND(DEGREES(ACOS(AM192)),3)))," ")</f>
        <v> </v>
      </c>
      <c r="P192" s="17" t="str">
        <f aca="false">IF(AK192&gt;0.0000001,$U$8*((1/SQRT(1-AK192*AK192))-1),"none")</f>
        <v>none</v>
      </c>
      <c r="Q192" s="17" t="str">
        <f aca="false">IF(ISNUMBER(P192),ABS($Z$15*(1+AC192/AK192)/(1+$V$15*$Z$15*AM192)/AK192)," ")</f>
        <v> </v>
      </c>
      <c r="R192" s="27" t="str">
        <f aca="false">IF(ISNUMBER(P192),IF( AND( ( (P192*(P192+2*$U$8)*AB192*AB192) &gt; ($E$5*($E$5+2*$U$5)) ), ( B192&lt;90 ) ), 180-AN192, AN192)," ")</f>
        <v> </v>
      </c>
      <c r="S192" s="17" t="str">
        <f aca="false">IF(ISNUMBER(P192),$E$5+$O$10-P192," ")</f>
        <v> </v>
      </c>
      <c r="AB192" s="1" t="n">
        <f aca="false">COS(RADIANS(B192))</f>
        <v>-0.951056516295154</v>
      </c>
      <c r="AC192" s="1" t="n">
        <f aca="false">-$V$15*AB192</f>
        <v>0.0635572774818424</v>
      </c>
      <c r="AD192" s="1" t="n">
        <f aca="false">$AA$15+AC192*AC192</f>
        <v>1.00401249701692</v>
      </c>
      <c r="AF192" s="1" t="n">
        <f aca="false">AC192*AC192-AD192*$AE$15</f>
        <v>0.00401238855709929</v>
      </c>
      <c r="AG192" s="1" t="n">
        <f aca="false">IF(ISNUMBER(SQRT(AF192)),(-AC192+SQRT(AF192))/AD192,-100)</f>
        <v>-0.00021300516883767</v>
      </c>
      <c r="AH192" s="1" t="n">
        <f aca="false">(AG192*AB192-$V$15)/((1-$V$15*AG192*AB192)*$Z$15)</f>
        <v>-0.999999514163784</v>
      </c>
      <c r="AI192" s="1" t="n">
        <f aca="false">IF(ABS(AH192)&lt;=1,AH192,IF(ABS(AH192)&lt;=1.00001,1*SIGN(AH192),0))</f>
        <v>-0.999999514163784</v>
      </c>
      <c r="AJ192" s="17" t="e">
        <f aca="false">DEGREES(ASIN( SQRT( (F192*(F192+2*$U$8)) / (L192*(L192+2*$U$10)) ) * SIN(RADIANS(B192))  ))</f>
        <v>#VALUE!</v>
      </c>
      <c r="AK192" s="1" t="n">
        <f aca="false">IF(ISNUMBER(SQRT(AF192)),(-AC192-SQRT(AF192))/AD192,-100)</f>
        <v>-0.1263935414044</v>
      </c>
      <c r="AL192" s="1" t="n">
        <f aca="false">(AK192*AB192-$V$15)/((1-$V$15*AK192*AB192)*$Z$15)</f>
        <v>0.80766154192913</v>
      </c>
      <c r="AM192" s="1" t="n">
        <f aca="false">IF(ABS(AL192)&lt;=1,AL192,IF(ABS(AL192)&lt;=1.00001,1*SIGN(AL192),0))</f>
        <v>0.80766154192913</v>
      </c>
      <c r="AN192" s="17" t="str">
        <f aca="false">IF(ISNUMBER(P192),DEGREES(ASIN( SQRT( (P192*(P192+2*$U$8)) / (S192*(S192+2*$U$10)) ) * SIN(RADIANS(B192)) ) ),"ignore")</f>
        <v>ignore</v>
      </c>
    </row>
    <row r="193" customFormat="false" ht="12.75" hidden="false" customHeight="false" outlineLevel="0" collapsed="false">
      <c r="B193" s="1" t="n">
        <v>163</v>
      </c>
      <c r="D193" s="27" t="str">
        <f aca="false">IF(ISNUMBER(F193),IF(ABS(AI193-1)&lt;0.000001,0,IF(ABS(AI193+1)&lt;0.000001,180,ROUND(DEGREES(ACOS(AI193)),3)))," ")</f>
        <v> </v>
      </c>
      <c r="F193" s="17" t="str">
        <f aca="false">IF(AG193&gt;0.0000001,$U$8*((1/SQRT(1-AG193*AG193))-1),"none")</f>
        <v>none</v>
      </c>
      <c r="H193" s="17" t="str">
        <f aca="false">IF(ISNUMBER(F193),$Z$15*(1+AC193/AG193)/(1+$V$15*$Z$15*AI193)/AG193," ")</f>
        <v> </v>
      </c>
      <c r="J193" s="27" t="str">
        <f aca="false">IF(ISNUMBER(F193),IF( AND( ( (F193*(F193+2*$U$8)*AB193*AB193) &gt; ($E$5*($E$5+2*$U$5)) ), ( B193&lt;90 ) ), 180-AJ193, AJ193)," ")</f>
        <v> </v>
      </c>
      <c r="L193" s="17" t="str">
        <f aca="false">IF(ISNUMBER(F193),$E$5+$O$10-F193," ")</f>
        <v> </v>
      </c>
      <c r="N193" s="1" t="str">
        <f aca="false">IF(ISNUMBER(P193),B193," ")</f>
        <v> </v>
      </c>
      <c r="O193" s="27" t="str">
        <f aca="false">IF(ISNUMBER(P193), IF( ABS(AM193-1)&lt;0.000001,0, IF(ABS(AM193+1)&lt;0.000001,180,ROUND(DEGREES(ACOS(AM193)),3)))," ")</f>
        <v> </v>
      </c>
      <c r="P193" s="17" t="str">
        <f aca="false">IF(AK193&gt;0.0000001,$U$8*((1/SQRT(1-AK193*AK193))-1),"none")</f>
        <v>none</v>
      </c>
      <c r="Q193" s="17" t="str">
        <f aca="false">IF(ISNUMBER(P193),ABS($Z$15*(1+AC193/AK193)/(1+$V$15*$Z$15*AM193)/AK193)," ")</f>
        <v> </v>
      </c>
      <c r="R193" s="27" t="str">
        <f aca="false">IF(ISNUMBER(P193),IF( AND( ( (P193*(P193+2*$U$8)*AB193*AB193) &gt; ($E$5*($E$5+2*$U$5)) ), ( B193&lt;90 ) ), 180-AN193, AN193)," ")</f>
        <v> </v>
      </c>
      <c r="S193" s="17" t="str">
        <f aca="false">IF(ISNUMBER(P193),$E$5+$O$10-P193," ")</f>
        <v> </v>
      </c>
      <c r="AB193" s="1" t="n">
        <f aca="false">COS(RADIANS(B193))</f>
        <v>-0.956304755963035</v>
      </c>
      <c r="AC193" s="1" t="n">
        <f aca="false">-$V$15*AB193</f>
        <v>0.0639080072430579</v>
      </c>
      <c r="AD193" s="1" t="n">
        <f aca="false">$AA$15+AC193*AC193</f>
        <v>1.00405720288579</v>
      </c>
      <c r="AF193" s="1" t="n">
        <f aca="false">AC193*AC193-AD193*$AE$15</f>
        <v>0.00405709321755196</v>
      </c>
      <c r="AG193" s="1" t="n">
        <f aca="false">IF(ISNUMBER(SQRT(AF193)),(-AC193+SQRT(AF193))/AD193,-100)</f>
        <v>-0.000211832289359123</v>
      </c>
      <c r="AH193" s="1" t="n">
        <f aca="false">(AG193*AB193-$V$15)/((1-$V$15*AG193*AB193)*$Z$15)</f>
        <v>-0.999999569869875</v>
      </c>
      <c r="AI193" s="1" t="n">
        <f aca="false">IF(ABS(AH193)&lt;=1,AH193,IF(ABS(AH193)&lt;=1.00001,1*SIGN(AH193),0))</f>
        <v>-0.999999569869875</v>
      </c>
      <c r="AJ193" s="17" t="e">
        <f aca="false">DEGREES(ASIN( SQRT( (F193*(F193+2*$U$8)) / (L193*(L193+2*$U$10)) ) * SIN(RADIANS(B193))  ))</f>
        <v>#VALUE!</v>
      </c>
      <c r="AK193" s="1" t="n">
        <f aca="false">IF(ISNUMBER(SQRT(AF193)),(-AC193-SQRT(AF193))/AD193,-100)</f>
        <v>-0.127087702158236</v>
      </c>
      <c r="AL193" s="1" t="n">
        <f aca="false">(AK193*AB193-$V$15)/((1-$V$15*AK193*AB193)*$Z$15)</f>
        <v>0.827816486941683</v>
      </c>
      <c r="AM193" s="1" t="n">
        <f aca="false">IF(ABS(AL193)&lt;=1,AL193,IF(ABS(AL193)&lt;=1.00001,1*SIGN(AL193),0))</f>
        <v>0.827816486941683</v>
      </c>
      <c r="AN193" s="17" t="str">
        <f aca="false">IF(ISNUMBER(P193),DEGREES(ASIN( SQRT( (P193*(P193+2*$U$8)) / (S193*(S193+2*$U$10)) ) * SIN(RADIANS(B193)) ) ),"ignore")</f>
        <v>ignore</v>
      </c>
    </row>
    <row r="194" customFormat="false" ht="12.75" hidden="false" customHeight="false" outlineLevel="0" collapsed="false">
      <c r="B194" s="1" t="n">
        <v>164</v>
      </c>
      <c r="D194" s="27" t="str">
        <f aca="false">IF(ISNUMBER(F194),IF(ABS(AI194-1)&lt;0.000001,0,IF(ABS(AI194+1)&lt;0.000001,180,ROUND(DEGREES(ACOS(AI194)),3)))," ")</f>
        <v> </v>
      </c>
      <c r="F194" s="17" t="str">
        <f aca="false">IF(AG194&gt;0.0000001,$U$8*((1/SQRT(1-AG194*AG194))-1),"none")</f>
        <v>none</v>
      </c>
      <c r="H194" s="17" t="str">
        <f aca="false">IF(ISNUMBER(F194),$Z$15*(1+AC194/AG194)/(1+$V$15*$Z$15*AI194)/AG194," ")</f>
        <v> </v>
      </c>
      <c r="J194" s="27" t="str">
        <f aca="false">IF(ISNUMBER(F194),IF( AND( ( (F194*(F194+2*$U$8)*AB194*AB194) &gt; ($E$5*($E$5+2*$U$5)) ), ( B194&lt;90 ) ), 180-AJ194, AJ194)," ")</f>
        <v> </v>
      </c>
      <c r="L194" s="17" t="str">
        <f aca="false">IF(ISNUMBER(F194),$E$5+$O$10-F194," ")</f>
        <v> </v>
      </c>
      <c r="N194" s="1" t="str">
        <f aca="false">IF(ISNUMBER(P194),B194," ")</f>
        <v> </v>
      </c>
      <c r="O194" s="27" t="str">
        <f aca="false">IF(ISNUMBER(P194), IF( ABS(AM194-1)&lt;0.000001,0, IF(ABS(AM194+1)&lt;0.000001,180,ROUND(DEGREES(ACOS(AM194)),3)))," ")</f>
        <v> </v>
      </c>
      <c r="P194" s="17" t="str">
        <f aca="false">IF(AK194&gt;0.0000001,$U$8*((1/SQRT(1-AK194*AK194))-1),"none")</f>
        <v>none</v>
      </c>
      <c r="Q194" s="17" t="str">
        <f aca="false">IF(ISNUMBER(P194),ABS($Z$15*(1+AC194/AK194)/(1+$V$15*$Z$15*AM194)/AK194)," ")</f>
        <v> </v>
      </c>
      <c r="R194" s="27" t="str">
        <f aca="false">IF(ISNUMBER(P194),IF( AND( ( (P194*(P194+2*$U$8)*AB194*AB194) &gt; ($E$5*($E$5+2*$U$5)) ), ( B194&lt;90 ) ), 180-AN194, AN194)," ")</f>
        <v> </v>
      </c>
      <c r="S194" s="17" t="str">
        <f aca="false">IF(ISNUMBER(P194),$E$5+$O$10-P194," ")</f>
        <v> </v>
      </c>
      <c r="AB194" s="1" t="n">
        <f aca="false">COS(RADIANS(B194))</f>
        <v>-0.961261695938319</v>
      </c>
      <c r="AC194" s="1" t="n">
        <f aca="false">-$V$15*AB194</f>
        <v>0.0642392700061766</v>
      </c>
      <c r="AD194" s="1" t="n">
        <f aca="false">$AA$15+AC194*AC194</f>
        <v>1.00409965330694</v>
      </c>
      <c r="AF194" s="1" t="n">
        <f aca="false">AC194*AC194-AD194*$AE$15</f>
        <v>0.0040995424912434</v>
      </c>
      <c r="AG194" s="1" t="n">
        <f aca="false">IF(ISNUMBER(SQRT(AF194)),(-AC194+SQRT(AF194))/AD194,-100)</f>
        <v>-0.000210736328809959</v>
      </c>
      <c r="AH194" s="1" t="n">
        <f aca="false">(AG194*AB194-$V$15)/((1-$V$15*AG194*AB194)*$Z$15)</f>
        <v>-0.999999621644703</v>
      </c>
      <c r="AI194" s="1" t="n">
        <f aca="false">IF(ABS(AH194)&lt;=1,AH194,IF(ABS(AH194)&lt;=1.00001,1*SIGN(AH194),0))</f>
        <v>-0.999999621644703</v>
      </c>
      <c r="AJ194" s="17" t="e">
        <f aca="false">DEGREES(ASIN( SQRT( (F194*(F194+2*$U$8)) / (L194*(L194+2*$U$10)) ) * SIN(RADIANS(B194))  ))</f>
        <v>#VALUE!</v>
      </c>
      <c r="AK194" s="1" t="n">
        <f aca="false">IF(ISNUMBER(SQRT(AF194)),(-AC194-SQRT(AF194))/AD194,-100)</f>
        <v>-0.127743236754656</v>
      </c>
      <c r="AL194" s="1" t="n">
        <f aca="false">(AK194*AB194-$V$15)/((1-$V$15*AK194*AB194)*$Z$15)</f>
        <v>0.846956272251886</v>
      </c>
      <c r="AM194" s="1" t="n">
        <f aca="false">IF(ABS(AL194)&lt;=1,AL194,IF(ABS(AL194)&lt;=1.00001,1*SIGN(AL194),0))</f>
        <v>0.846956272251886</v>
      </c>
      <c r="AN194" s="17" t="str">
        <f aca="false">IF(ISNUMBER(P194),DEGREES(ASIN( SQRT( (P194*(P194+2*$U$8)) / (S194*(S194+2*$U$10)) ) * SIN(RADIANS(B194)) ) ),"ignore")</f>
        <v>ignore</v>
      </c>
    </row>
    <row r="195" customFormat="false" ht="12.75" hidden="false" customHeight="false" outlineLevel="0" collapsed="false">
      <c r="B195" s="1" t="n">
        <v>165</v>
      </c>
      <c r="D195" s="27" t="str">
        <f aca="false">IF(ISNUMBER(F195),IF(ABS(AI195-1)&lt;0.000001,0,IF(ABS(AI195+1)&lt;0.000001,180,ROUND(DEGREES(ACOS(AI195)),3)))," ")</f>
        <v> </v>
      </c>
      <c r="F195" s="17" t="str">
        <f aca="false">IF(AG195&gt;0.0000001,$U$8*((1/SQRT(1-AG195*AG195))-1),"none")</f>
        <v>none</v>
      </c>
      <c r="H195" s="17" t="str">
        <f aca="false">IF(ISNUMBER(F195),$Z$15*(1+AC195/AG195)/(1+$V$15*$Z$15*AI195)/AG195," ")</f>
        <v> </v>
      </c>
      <c r="J195" s="27" t="str">
        <f aca="false">IF(ISNUMBER(F195),IF( AND( ( (F195*(F195+2*$U$8)*AB195*AB195) &gt; ($E$5*($E$5+2*$U$5)) ), ( B195&lt;90 ) ), 180-AJ195, AJ195)," ")</f>
        <v> </v>
      </c>
      <c r="L195" s="17" t="str">
        <f aca="false">IF(ISNUMBER(F195),$E$5+$O$10-F195," ")</f>
        <v> </v>
      </c>
      <c r="N195" s="1" t="str">
        <f aca="false">IF(ISNUMBER(P195),B195," ")</f>
        <v> </v>
      </c>
      <c r="O195" s="27" t="str">
        <f aca="false">IF(ISNUMBER(P195), IF( ABS(AM195-1)&lt;0.000001,0, IF(ABS(AM195+1)&lt;0.000001,180,ROUND(DEGREES(ACOS(AM195)),3)))," ")</f>
        <v> </v>
      </c>
      <c r="P195" s="17" t="str">
        <f aca="false">IF(AK195&gt;0.0000001,$U$8*((1/SQRT(1-AK195*AK195))-1),"none")</f>
        <v>none</v>
      </c>
      <c r="Q195" s="17" t="str">
        <f aca="false">IF(ISNUMBER(P195),ABS($Z$15*(1+AC195/AK195)/(1+$V$15*$Z$15*AM195)/AK195)," ")</f>
        <v> </v>
      </c>
      <c r="R195" s="27" t="str">
        <f aca="false">IF(ISNUMBER(P195),IF( AND( ( (P195*(P195+2*$U$8)*AB195*AB195) &gt; ($E$5*($E$5+2*$U$5)) ), ( B195&lt;90 ) ), 180-AN195, AN195)," ")</f>
        <v> </v>
      </c>
      <c r="S195" s="17" t="str">
        <f aca="false">IF(ISNUMBER(P195),$E$5+$O$10-P195," ")</f>
        <v> </v>
      </c>
      <c r="AB195" s="1" t="n">
        <f aca="false">COS(RADIANS(B195))</f>
        <v>-0.965925826289068</v>
      </c>
      <c r="AC195" s="1" t="n">
        <f aca="false">-$V$15*AB195</f>
        <v>0.0645509648653516</v>
      </c>
      <c r="AD195" s="1" t="n">
        <f aca="false">$AA$15+AC195*AC195</f>
        <v>1.00413979656106</v>
      </c>
      <c r="AF195" s="1" t="n">
        <f aca="false">AC195*AC195-AD195*$AE$15</f>
        <v>0.0041396846602724</v>
      </c>
      <c r="AG195" s="1" t="n">
        <f aca="false">IF(ISNUMBER(SQRT(AF195)),(-AC195+SQRT(AF195))/AD195,-100)</f>
        <v>-0.000209715429322777</v>
      </c>
      <c r="AH195" s="1" t="n">
        <f aca="false">(AG195*AB195-$V$15)/((1-$V$15*AG195*AB195)*$Z$15)</f>
        <v>-0.999999669631929</v>
      </c>
      <c r="AI195" s="1" t="n">
        <f aca="false">IF(ABS(AH195)&lt;=1,AH195,IF(ABS(AH195)&lt;=1.00001,1*SIGN(AH195),0))</f>
        <v>-0.999999669631929</v>
      </c>
      <c r="AJ195" s="17" t="e">
        <f aca="false">DEGREES(ASIN( SQRT( (F195*(F195+2*$U$8)) / (L195*(L195+2*$U$10)) ) * SIN(RADIANS(B195))  ))</f>
        <v>#VALUE!</v>
      </c>
      <c r="AK195" s="1" t="n">
        <f aca="false">IF(ISNUMBER(SQRT(AF195)),(-AC195-SQRT(AF195))/AD195,-100)</f>
        <v>-0.128359961992931</v>
      </c>
      <c r="AL195" s="1" t="n">
        <f aca="false">(AK195*AB195-$V$15)/((1-$V$15*AK195*AB195)*$Z$15)</f>
        <v>0.86505731644076</v>
      </c>
      <c r="AM195" s="1" t="n">
        <f aca="false">IF(ABS(AL195)&lt;=1,AL195,IF(ABS(AL195)&lt;=1.00001,1*SIGN(AL195),0))</f>
        <v>0.86505731644076</v>
      </c>
      <c r="AN195" s="17" t="str">
        <f aca="false">IF(ISNUMBER(P195),DEGREES(ASIN( SQRT( (P195*(P195+2*$U$8)) / (S195*(S195+2*$U$10)) ) * SIN(RADIANS(B195)) ) ),"ignore")</f>
        <v>ignore</v>
      </c>
    </row>
    <row r="196" customFormat="false" ht="12.75" hidden="false" customHeight="false" outlineLevel="0" collapsed="false">
      <c r="B196" s="1" t="n">
        <v>166</v>
      </c>
      <c r="D196" s="27" t="str">
        <f aca="false">IF(ISNUMBER(F196),IF(ABS(AI196-1)&lt;0.000001,0,IF(ABS(AI196+1)&lt;0.000001,180,ROUND(DEGREES(ACOS(AI196)),3)))," ")</f>
        <v> </v>
      </c>
      <c r="F196" s="17" t="str">
        <f aca="false">IF(AG196&gt;0.0000001,$U$8*((1/SQRT(1-AG196*AG196))-1),"none")</f>
        <v>none</v>
      </c>
      <c r="H196" s="17" t="str">
        <f aca="false">IF(ISNUMBER(F196),$Z$15*(1+AC196/AG196)/(1+$V$15*$Z$15*AI196)/AG196," ")</f>
        <v> </v>
      </c>
      <c r="J196" s="27" t="str">
        <f aca="false">IF(ISNUMBER(F196),IF( AND( ( (F196*(F196+2*$U$8)*AB196*AB196) &gt; ($E$5*($E$5+2*$U$5)) ), ( B196&lt;90 ) ), 180-AJ196, AJ196)," ")</f>
        <v> </v>
      </c>
      <c r="L196" s="17" t="str">
        <f aca="false">IF(ISNUMBER(F196),$E$5+$O$10-F196," ")</f>
        <v> </v>
      </c>
      <c r="N196" s="1" t="str">
        <f aca="false">IF(ISNUMBER(P196),B196," ")</f>
        <v> </v>
      </c>
      <c r="O196" s="27" t="str">
        <f aca="false">IF(ISNUMBER(P196), IF( ABS(AM196-1)&lt;0.000001,0, IF(ABS(AM196+1)&lt;0.000001,180,ROUND(DEGREES(ACOS(AM196)),3)))," ")</f>
        <v> </v>
      </c>
      <c r="P196" s="17" t="str">
        <f aca="false">IF(AK196&gt;0.0000001,$U$8*((1/SQRT(1-AK196*AK196))-1),"none")</f>
        <v>none</v>
      </c>
      <c r="Q196" s="17" t="str">
        <f aca="false">IF(ISNUMBER(P196),ABS($Z$15*(1+AC196/AK196)/(1+$V$15*$Z$15*AM196)/AK196)," ")</f>
        <v> </v>
      </c>
      <c r="R196" s="27" t="str">
        <f aca="false">IF(ISNUMBER(P196),IF( AND( ( (P196*(P196+2*$U$8)*AB196*AB196) &gt; ($E$5*($E$5+2*$U$5)) ), ( B196&lt;90 ) ), 180-AN196, AN196)," ")</f>
        <v> </v>
      </c>
      <c r="S196" s="17" t="str">
        <f aca="false">IF(ISNUMBER(P196),$E$5+$O$10-P196," ")</f>
        <v> </v>
      </c>
      <c r="AB196" s="1" t="n">
        <f aca="false">COS(RADIANS(B196))</f>
        <v>-0.970295726275997</v>
      </c>
      <c r="AC196" s="1" t="n">
        <f aca="false">-$V$15*AB196</f>
        <v>0.0648429968753094</v>
      </c>
      <c r="AD196" s="1" t="n">
        <f aca="false">$AA$15+AC196*AC196</f>
        <v>1.00417758373978</v>
      </c>
      <c r="AF196" s="1" t="n">
        <f aca="false">AC196*AC196-AD196*$AE$15</f>
        <v>0.00417747081758944</v>
      </c>
      <c r="AG196" s="1" t="n">
        <f aca="false">IF(ISNUMBER(SQRT(AF196)),(-AC196+SQRT(AF196))/AD196,-100)</f>
        <v>-0.000208767880855882</v>
      </c>
      <c r="AH196" s="1" t="n">
        <f aca="false">(AG196*AB196-$V$15)/((1-$V$15*AG196*AB196)*$Z$15)</f>
        <v>-0.999999713962781</v>
      </c>
      <c r="AI196" s="1" t="n">
        <f aca="false">IF(ABS(AH196)&lt;=1,AH196,IF(ABS(AH196)&lt;=1.00001,1*SIGN(AH196),0))</f>
        <v>-0.999999713962781</v>
      </c>
      <c r="AJ196" s="17" t="e">
        <f aca="false">DEGREES(ASIN( SQRT( (F196*(F196+2*$U$8)) / (L196*(L196+2*$U$10)) ) * SIN(RADIANS(B196))  ))</f>
        <v>#VALUE!</v>
      </c>
      <c r="AK196" s="1" t="n">
        <f aca="false">IF(ISNUMBER(SQRT(AF196)),(-AC196-SQRT(AF196))/AD196,-100)</f>
        <v>-0.128937705661841</v>
      </c>
      <c r="AL196" s="1" t="n">
        <f aca="false">(AK196*AB196-$V$15)/((1-$V$15*AK196*AB196)*$Z$15)</f>
        <v>0.882097312361869</v>
      </c>
      <c r="AM196" s="1" t="n">
        <f aca="false">IF(ABS(AL196)&lt;=1,AL196,IF(ABS(AL196)&lt;=1.00001,1*SIGN(AL196),0))</f>
        <v>0.882097312361869</v>
      </c>
      <c r="AN196" s="17" t="str">
        <f aca="false">IF(ISNUMBER(P196),DEGREES(ASIN( SQRT( (P196*(P196+2*$U$8)) / (S196*(S196+2*$U$10)) ) * SIN(RADIANS(B196)) ) ),"ignore")</f>
        <v>ignore</v>
      </c>
    </row>
    <row r="197" customFormat="false" ht="12.75" hidden="false" customHeight="false" outlineLevel="0" collapsed="false">
      <c r="B197" s="1" t="n">
        <v>167</v>
      </c>
      <c r="D197" s="27" t="str">
        <f aca="false">IF(ISNUMBER(F197),IF(ABS(AI197-1)&lt;0.000001,0,IF(ABS(AI197+1)&lt;0.000001,180,ROUND(DEGREES(ACOS(AI197)),3)))," ")</f>
        <v> </v>
      </c>
      <c r="F197" s="17" t="str">
        <f aca="false">IF(AG197&gt;0.0000001,$U$8*((1/SQRT(1-AG197*AG197))-1),"none")</f>
        <v>none</v>
      </c>
      <c r="H197" s="17" t="str">
        <f aca="false">IF(ISNUMBER(F197),$Z$15*(1+AC197/AG197)/(1+$V$15*$Z$15*AI197)/AG197," ")</f>
        <v> </v>
      </c>
      <c r="J197" s="27" t="str">
        <f aca="false">IF(ISNUMBER(F197),IF( AND( ( (F197*(F197+2*$U$8)*AB197*AB197) &gt; ($E$5*($E$5+2*$U$5)) ), ( B197&lt;90 ) ), 180-AJ197, AJ197)," ")</f>
        <v> </v>
      </c>
      <c r="L197" s="17" t="str">
        <f aca="false">IF(ISNUMBER(F197),$E$5+$O$10-F197," ")</f>
        <v> </v>
      </c>
      <c r="N197" s="1" t="str">
        <f aca="false">IF(ISNUMBER(P197),B197," ")</f>
        <v> </v>
      </c>
      <c r="O197" s="27" t="str">
        <f aca="false">IF(ISNUMBER(P197), IF( ABS(AM197-1)&lt;0.000001,0, IF(ABS(AM197+1)&lt;0.000001,180,ROUND(DEGREES(ACOS(AM197)),3)))," ")</f>
        <v> </v>
      </c>
      <c r="P197" s="17" t="str">
        <f aca="false">IF(AK197&gt;0.0000001,$U$8*((1/SQRT(1-AK197*AK197))-1),"none")</f>
        <v>none</v>
      </c>
      <c r="Q197" s="17" t="str">
        <f aca="false">IF(ISNUMBER(P197),ABS($Z$15*(1+AC197/AK197)/(1+$V$15*$Z$15*AM197)/AK197)," ")</f>
        <v> </v>
      </c>
      <c r="R197" s="27" t="str">
        <f aca="false">IF(ISNUMBER(P197),IF( AND( ( (P197*(P197+2*$U$8)*AB197*AB197) &gt; ($E$5*($E$5+2*$U$5)) ), ( B197&lt;90 ) ), 180-AN197, AN197)," ")</f>
        <v> </v>
      </c>
      <c r="S197" s="17" t="str">
        <f aca="false">IF(ISNUMBER(P197),$E$5+$O$10-P197," ")</f>
        <v> </v>
      </c>
      <c r="AB197" s="1" t="n">
        <f aca="false">COS(RADIANS(B197))</f>
        <v>-0.974370064785235</v>
      </c>
      <c r="AC197" s="1" t="n">
        <f aca="false">-$V$15*AB197</f>
        <v>0.0651152770802707</v>
      </c>
      <c r="AD197" s="1" t="n">
        <f aca="false">$AA$15+AC197*AC197</f>
        <v>1.00421296880525</v>
      </c>
      <c r="AF197" s="1" t="n">
        <f aca="false">AC197*AC197-AD197*$AE$15</f>
        <v>0.00421285492658233</v>
      </c>
      <c r="AG197" s="1" t="n">
        <f aca="false">IF(ISNUMBER(SQRT(AF197)),(-AC197+SQRT(AF197))/AD197,-100)</f>
        <v>-0.00020789211390825</v>
      </c>
      <c r="AH197" s="1" t="n">
        <f aca="false">(AG197*AB197-$V$15)/((1-$V$15*AG197*AB197)*$Z$15)</f>
        <v>-0.999999754756833</v>
      </c>
      <c r="AI197" s="1" t="n">
        <f aca="false">IF(ABS(AH197)&lt;=1,AH197,IF(ABS(AH197)&lt;=1.00001,1*SIGN(AH197),0))</f>
        <v>-0.999999754756833</v>
      </c>
      <c r="AJ197" s="17" t="e">
        <f aca="false">DEGREES(ASIN( SQRT( (F197*(F197+2*$U$8)) / (L197*(L197+2*$U$10)) ) * SIN(RADIANS(B197))  ))</f>
        <v>#VALUE!</v>
      </c>
      <c r="AK197" s="1" t="n">
        <f aca="false">IF(ISNUMBER(SQRT(AF197)),(-AC197-SQRT(AF197))/AD197,-100)</f>
        <v>-0.129476306563073</v>
      </c>
      <c r="AL197" s="1" t="n">
        <f aca="false">(AK197*AB197-$V$15)/((1-$V$15*AK197*AB197)*$Z$15)</f>
        <v>0.898055255565341</v>
      </c>
      <c r="AM197" s="1" t="n">
        <f aca="false">IF(ABS(AL197)&lt;=1,AL197,IF(ABS(AL197)&lt;=1.00001,1*SIGN(AL197),0))</f>
        <v>0.898055255565341</v>
      </c>
      <c r="AN197" s="17" t="str">
        <f aca="false">IF(ISNUMBER(P197),DEGREES(ASIN( SQRT( (P197*(P197+2*$U$8)) / (S197*(S197+2*$U$10)) ) * SIN(RADIANS(B197)) ) ),"ignore")</f>
        <v>ignore</v>
      </c>
    </row>
    <row r="198" customFormat="false" ht="12.75" hidden="false" customHeight="false" outlineLevel="0" collapsed="false">
      <c r="B198" s="1" t="n">
        <v>168</v>
      </c>
      <c r="D198" s="27" t="str">
        <f aca="false">IF(ISNUMBER(F198),IF(ABS(AI198-1)&lt;0.000001,0,IF(ABS(AI198+1)&lt;0.000001,180,ROUND(DEGREES(ACOS(AI198)),3)))," ")</f>
        <v> </v>
      </c>
      <c r="F198" s="17" t="str">
        <f aca="false">IF(AG198&gt;0.0000001,$U$8*((1/SQRT(1-AG198*AG198))-1),"none")</f>
        <v>none</v>
      </c>
      <c r="H198" s="17" t="str">
        <f aca="false">IF(ISNUMBER(F198),$Z$15*(1+AC198/AG198)/(1+$V$15*$Z$15*AI198)/AG198," ")</f>
        <v> </v>
      </c>
      <c r="J198" s="27" t="str">
        <f aca="false">IF(ISNUMBER(F198),IF( AND( ( (F198*(F198+2*$U$8)*AB198*AB198) &gt; ($E$5*($E$5+2*$U$5)) ), ( B198&lt;90 ) ), 180-AJ198, AJ198)," ")</f>
        <v> </v>
      </c>
      <c r="L198" s="17" t="str">
        <f aca="false">IF(ISNUMBER(F198),$E$5+$O$10-F198," ")</f>
        <v> </v>
      </c>
      <c r="N198" s="1" t="str">
        <f aca="false">IF(ISNUMBER(P198),B198," ")</f>
        <v> </v>
      </c>
      <c r="O198" s="27" t="str">
        <f aca="false">IF(ISNUMBER(P198), IF( ABS(AM198-1)&lt;0.000001,0, IF(ABS(AM198+1)&lt;0.000001,180,ROUND(DEGREES(ACOS(AM198)),3)))," ")</f>
        <v> </v>
      </c>
      <c r="P198" s="17" t="str">
        <f aca="false">IF(AK198&gt;0.0000001,$U$8*((1/SQRT(1-AK198*AK198))-1),"none")</f>
        <v>none</v>
      </c>
      <c r="Q198" s="17" t="str">
        <f aca="false">IF(ISNUMBER(P198),ABS($Z$15*(1+AC198/AK198)/(1+$V$15*$Z$15*AM198)/AK198)," ")</f>
        <v> </v>
      </c>
      <c r="R198" s="27" t="str">
        <f aca="false">IF(ISNUMBER(P198),IF( AND( ( (P198*(P198+2*$U$8)*AB198*AB198) &gt; ($E$5*($E$5+2*$U$5)) ), ( B198&lt;90 ) ), 180-AN198, AN198)," ")</f>
        <v> </v>
      </c>
      <c r="S198" s="17" t="str">
        <f aca="false">IF(ISNUMBER(P198),$E$5+$O$10-P198," ")</f>
        <v> </v>
      </c>
      <c r="AB198" s="1" t="n">
        <f aca="false">COS(RADIANS(B198))</f>
        <v>-0.978147600733806</v>
      </c>
      <c r="AC198" s="1" t="n">
        <f aca="false">-$V$15*AB198</f>
        <v>0.0653677225410475</v>
      </c>
      <c r="AD198" s="1" t="n">
        <f aca="false">$AA$15+AC198*AC198</f>
        <v>1.00424590864622</v>
      </c>
      <c r="AF198" s="1" t="n">
        <f aca="false">AC198*AC198-AD198*$AE$15</f>
        <v>0.00424579387716478</v>
      </c>
      <c r="AG198" s="1" t="n">
        <f aca="false">IF(ISNUMBER(SQRT(AF198)),(-AC198+SQRT(AF198))/AD198,-100)</f>
        <v>-0.000207086692937426</v>
      </c>
      <c r="AH198" s="1" t="n">
        <f aca="false">(AG198*AB198-$V$15)/((1-$V$15*AG198*AB198)*$Z$15)</f>
        <v>-0.999999792122724</v>
      </c>
      <c r="AI198" s="1" t="n">
        <f aca="false">IF(ABS(AH198)&lt;=1,AH198,IF(ABS(AH198)&lt;=1.00001,1*SIGN(AH198),0))</f>
        <v>-0.999999792122724</v>
      </c>
      <c r="AJ198" s="17" t="e">
        <f aca="false">DEGREES(ASIN( SQRT( (F198*(F198+2*$U$8)) / (L198*(L198+2*$U$10)) ) * SIN(RADIANS(B198))  ))</f>
        <v>#VALUE!</v>
      </c>
      <c r="AK198" s="1" t="n">
        <f aca="false">IF(ISNUMBER(SQRT(AF198)),(-AC198-SQRT(AF198))/AD198,-100)</f>
        <v>-0.129975614532437</v>
      </c>
      <c r="AL198" s="1" t="n">
        <f aca="false">(AK198*AB198-$V$15)/((1-$V$15*AK198*AB198)*$Z$15)</f>
        <v>0.912911471086091</v>
      </c>
      <c r="AM198" s="1" t="n">
        <f aca="false">IF(ABS(AL198)&lt;=1,AL198,IF(ABS(AL198)&lt;=1.00001,1*SIGN(AL198),0))</f>
        <v>0.912911471086091</v>
      </c>
      <c r="AN198" s="17" t="str">
        <f aca="false">IF(ISNUMBER(P198),DEGREES(ASIN( SQRT( (P198*(P198+2*$U$8)) / (S198*(S198+2*$U$10)) ) * SIN(RADIANS(B198)) ) ),"ignore")</f>
        <v>ignore</v>
      </c>
    </row>
    <row r="199" customFormat="false" ht="12.75" hidden="false" customHeight="false" outlineLevel="0" collapsed="false">
      <c r="B199" s="1" t="n">
        <v>169</v>
      </c>
      <c r="D199" s="27" t="str">
        <f aca="false">IF(ISNUMBER(F199),IF(ABS(AI199-1)&lt;0.000001,0,IF(ABS(AI199+1)&lt;0.000001,180,ROUND(DEGREES(ACOS(AI199)),3)))," ")</f>
        <v> </v>
      </c>
      <c r="F199" s="17" t="str">
        <f aca="false">IF(AG199&gt;0.0000001,$U$8*((1/SQRT(1-AG199*AG199))-1),"none")</f>
        <v>none</v>
      </c>
      <c r="H199" s="17" t="str">
        <f aca="false">IF(ISNUMBER(F199),$Z$15*(1+AC199/AG199)/(1+$V$15*$Z$15*AI199)/AG199," ")</f>
        <v> </v>
      </c>
      <c r="J199" s="27" t="str">
        <f aca="false">IF(ISNUMBER(F199),IF( AND( ( (F199*(F199+2*$U$8)*AB199*AB199) &gt; ($E$5*($E$5+2*$U$5)) ), ( B199&lt;90 ) ), 180-AJ199, AJ199)," ")</f>
        <v> </v>
      </c>
      <c r="L199" s="17" t="str">
        <f aca="false">IF(ISNUMBER(F199),$E$5+$O$10-F199," ")</f>
        <v> </v>
      </c>
      <c r="N199" s="1" t="str">
        <f aca="false">IF(ISNUMBER(P199),B199," ")</f>
        <v> </v>
      </c>
      <c r="O199" s="27" t="str">
        <f aca="false">IF(ISNUMBER(P199), IF( ABS(AM199-1)&lt;0.000001,0, IF(ABS(AM199+1)&lt;0.000001,180,ROUND(DEGREES(ACOS(AM199)),3)))," ")</f>
        <v> </v>
      </c>
      <c r="P199" s="17" t="str">
        <f aca="false">IF(AK199&gt;0.0000001,$U$8*((1/SQRT(1-AK199*AK199))-1),"none")</f>
        <v>none</v>
      </c>
      <c r="Q199" s="17" t="str">
        <f aca="false">IF(ISNUMBER(P199),ABS($Z$15*(1+AC199/AK199)/(1+$V$15*$Z$15*AM199)/AK199)," ")</f>
        <v> </v>
      </c>
      <c r="R199" s="27" t="str">
        <f aca="false">IF(ISNUMBER(P199),IF( AND( ( (P199*(P199+2*$U$8)*AB199*AB199) &gt; ($E$5*($E$5+2*$U$5)) ), ( B199&lt;90 ) ), 180-AN199, AN199)," ")</f>
        <v> </v>
      </c>
      <c r="S199" s="17" t="str">
        <f aca="false">IF(ISNUMBER(P199),$E$5+$O$10-P199," ")</f>
        <v> </v>
      </c>
      <c r="AB199" s="1" t="n">
        <f aca="false">COS(RADIANS(B199))</f>
        <v>-0.981627183447664</v>
      </c>
      <c r="AC199" s="1" t="n">
        <f aca="false">-$V$15*AB199</f>
        <v>0.065600256360307</v>
      </c>
      <c r="AD199" s="1" t="n">
        <f aca="false">$AA$15+AC199*AC199</f>
        <v>1.00427636313055</v>
      </c>
      <c r="AF199" s="1" t="n">
        <f aca="false">AC199*AC199-AD199*$AE$15</f>
        <v>0.00427624753829934</v>
      </c>
      <c r="AG199" s="1" t="n">
        <f aca="false">IF(ISNUMBER(SQRT(AF199)),(-AC199+SQRT(AF199))/AD199,-100)</f>
        <v>-0.000206350310427021</v>
      </c>
      <c r="AH199" s="1" t="n">
        <f aca="false">(AG199*AB199-$V$15)/((1-$V$15*AG199*AB199)*$Z$15)</f>
        <v>-0.999999826158786</v>
      </c>
      <c r="AI199" s="1" t="n">
        <f aca="false">IF(ABS(AH199)&lt;=1,AH199,IF(ABS(AH199)&lt;=1.00001,1*SIGN(AH199),0))</f>
        <v>-0.999999826158786</v>
      </c>
      <c r="AJ199" s="17" t="e">
        <f aca="false">DEGREES(ASIN( SQRT( (F199*(F199+2*$U$8)) / (L199*(L199+2*$U$10)) ) * SIN(RADIANS(B199))  ))</f>
        <v>#VALUE!</v>
      </c>
      <c r="AK199" s="1" t="n">
        <f aca="false">IF(ISNUMBER(SQRT(AF199)),(-AC199-SQRT(AF199))/AD199,-100)</f>
        <v>-0.130435490459013</v>
      </c>
      <c r="AL199" s="1" t="n">
        <f aca="false">(AK199*AB199-$V$15)/((1-$V$15*AK199*AB199)*$Z$15)</f>
        <v>0.926647638557512</v>
      </c>
      <c r="AM199" s="1" t="n">
        <f aca="false">IF(ABS(AL199)&lt;=1,AL199,IF(ABS(AL199)&lt;=1.00001,1*SIGN(AL199),0))</f>
        <v>0.926647638557512</v>
      </c>
      <c r="AN199" s="17" t="str">
        <f aca="false">IF(ISNUMBER(P199),DEGREES(ASIN( SQRT( (P199*(P199+2*$U$8)) / (S199*(S199+2*$U$10)) ) * SIN(RADIANS(B199)) ) ),"ignore")</f>
        <v>ignore</v>
      </c>
    </row>
    <row r="200" customFormat="false" ht="12.75" hidden="false" customHeight="false" outlineLevel="0" collapsed="false">
      <c r="B200" s="1" t="n">
        <v>170</v>
      </c>
      <c r="D200" s="27" t="str">
        <f aca="false">IF(ISNUMBER(F200),IF(ABS(AI200-1)&lt;0.000001,0,IF(ABS(AI200+1)&lt;0.000001,180,ROUND(DEGREES(ACOS(AI200)),3)))," ")</f>
        <v> </v>
      </c>
      <c r="F200" s="17" t="str">
        <f aca="false">IF(AG200&gt;0.0000001,$U$8*((1/SQRT(1-AG200*AG200))-1),"none")</f>
        <v>none</v>
      </c>
      <c r="H200" s="17" t="str">
        <f aca="false">IF(ISNUMBER(F200),$Z$15*(1+AC200/AG200)/(1+$V$15*$Z$15*AI200)/AG200," ")</f>
        <v> </v>
      </c>
      <c r="J200" s="27" t="str">
        <f aca="false">IF(ISNUMBER(F200),IF( AND( ( (F200*(F200+2*$U$8)*AB200*AB200) &gt; ($E$5*($E$5+2*$U$5)) ), ( B200&lt;90 ) ), 180-AJ200, AJ200)," ")</f>
        <v> </v>
      </c>
      <c r="L200" s="17" t="str">
        <f aca="false">IF(ISNUMBER(F200),$E$5+$O$10-F200," ")</f>
        <v> </v>
      </c>
      <c r="N200" s="1" t="str">
        <f aca="false">IF(ISNUMBER(P200),B200," ")</f>
        <v> </v>
      </c>
      <c r="O200" s="27" t="str">
        <f aca="false">IF(ISNUMBER(P200), IF( ABS(AM200-1)&lt;0.000001,0, IF(ABS(AM200+1)&lt;0.000001,180,ROUND(DEGREES(ACOS(AM200)),3)))," ")</f>
        <v> </v>
      </c>
      <c r="P200" s="17" t="str">
        <f aca="false">IF(AK200&gt;0.0000001,$U$8*((1/SQRT(1-AK200*AK200))-1),"none")</f>
        <v>none</v>
      </c>
      <c r="Q200" s="17" t="str">
        <f aca="false">IF(ISNUMBER(P200),ABS($Z$15*(1+AC200/AK200)/(1+$V$15*$Z$15*AM200)/AK200)," ")</f>
        <v> </v>
      </c>
      <c r="R200" s="27" t="str">
        <f aca="false">IF(ISNUMBER(P200),IF( AND( ( (P200*(P200+2*$U$8)*AB200*AB200) &gt; ($E$5*($E$5+2*$U$5)) ), ( B200&lt;90 ) ), 180-AN200, AN200)," ")</f>
        <v> </v>
      </c>
      <c r="S200" s="17" t="str">
        <f aca="false">IF(ISNUMBER(P200),$E$5+$O$10-P200," ")</f>
        <v> </v>
      </c>
      <c r="AB200" s="1" t="n">
        <f aca="false">COS(RADIANS(B200))</f>
        <v>-0.984807753012208</v>
      </c>
      <c r="AC200" s="1" t="n">
        <f aca="false">-$V$15*AB200</f>
        <v>0.0658128077059951</v>
      </c>
      <c r="AD200" s="1" t="n">
        <f aca="false">$AA$15+AC200*AC200</f>
        <v>1.00430429515416</v>
      </c>
      <c r="AF200" s="1" t="n">
        <f aca="false">AC200*AC200-AD200*$AE$15</f>
        <v>0.00430417880689096</v>
      </c>
      <c r="AG200" s="1" t="n">
        <f aca="false">IF(ISNUMBER(SQRT(AF200)),(-AC200+SQRT(AF200))/AD200,-100)</f>
        <v>-0.000205681781556829</v>
      </c>
      <c r="AH200" s="1" t="n">
        <f aca="false">(AG200*AB200-$V$15)/((1-$V$15*AG200*AB200)*$Z$15)</f>
        <v>-0.999999856953608</v>
      </c>
      <c r="AI200" s="1" t="n">
        <f aca="false">IF(ABS(AH200)&lt;=1,AH200,IF(ABS(AH200)&lt;=1.00001,1*SIGN(AH200),0))</f>
        <v>-0.999999856953608</v>
      </c>
      <c r="AJ200" s="17" t="e">
        <f aca="false">DEGREES(ASIN( SQRT( (F200*(F200+2*$U$8)) / (L200*(L200+2*$U$10)) ) * SIN(RADIANS(B200))  ))</f>
        <v>#VALUE!</v>
      </c>
      <c r="AK200" s="1" t="n">
        <f aca="false">IF(ISNUMBER(SQRT(AF200)),(-AC200-SQRT(AF200))/AD200,-100)</f>
        <v>-0.130855806302377</v>
      </c>
      <c r="AL200" s="1" t="n">
        <f aca="false">(AK200*AB200-$V$15)/((1-$V$15*AK200*AB200)*$Z$15)</f>
        <v>0.939246815614567</v>
      </c>
      <c r="AM200" s="1" t="n">
        <f aca="false">IF(ABS(AL200)&lt;=1,AL200,IF(ABS(AL200)&lt;=1.00001,1*SIGN(AL200),0))</f>
        <v>0.939246815614567</v>
      </c>
      <c r="AN200" s="17" t="str">
        <f aca="false">IF(ISNUMBER(P200),DEGREES(ASIN( SQRT( (P200*(P200+2*$U$8)) / (S200*(S200+2*$U$10)) ) * SIN(RADIANS(B200)) ) ),"ignore")</f>
        <v>ignore</v>
      </c>
    </row>
    <row r="201" customFormat="false" ht="12.75" hidden="false" customHeight="false" outlineLevel="0" collapsed="false">
      <c r="B201" s="1" t="n">
        <v>171</v>
      </c>
      <c r="D201" s="27" t="str">
        <f aca="false">IF(ISNUMBER(F201),IF(ABS(AI201-1)&lt;0.000001,0,IF(ABS(AI201+1)&lt;0.000001,180,ROUND(DEGREES(ACOS(AI201)),3)))," ")</f>
        <v> </v>
      </c>
      <c r="F201" s="17" t="str">
        <f aca="false">IF(AG201&gt;0.0000001,$U$8*((1/SQRT(1-AG201*AG201))-1),"none")</f>
        <v>none</v>
      </c>
      <c r="H201" s="17" t="str">
        <f aca="false">IF(ISNUMBER(F201),$Z$15*(1+AC201/AG201)/(1+$V$15*$Z$15*AI201)/AG201," ")</f>
        <v> </v>
      </c>
      <c r="J201" s="27" t="str">
        <f aca="false">IF(ISNUMBER(F201),IF( AND( ( (F201*(F201+2*$U$8)*AB201*AB201) &gt; ($E$5*($E$5+2*$U$5)) ), ( B201&lt;90 ) ), 180-AJ201, AJ201)," ")</f>
        <v> </v>
      </c>
      <c r="L201" s="17" t="str">
        <f aca="false">IF(ISNUMBER(F201),$E$5+$O$10-F201," ")</f>
        <v> </v>
      </c>
      <c r="N201" s="1" t="str">
        <f aca="false">IF(ISNUMBER(P201),B201," ")</f>
        <v> </v>
      </c>
      <c r="O201" s="27" t="str">
        <f aca="false">IF(ISNUMBER(P201), IF( ABS(AM201-1)&lt;0.000001,0, IF(ABS(AM201+1)&lt;0.000001,180,ROUND(DEGREES(ACOS(AM201)),3)))," ")</f>
        <v> </v>
      </c>
      <c r="P201" s="17" t="str">
        <f aca="false">IF(AK201&gt;0.0000001,$U$8*((1/SQRT(1-AK201*AK201))-1),"none")</f>
        <v>none</v>
      </c>
      <c r="Q201" s="17" t="str">
        <f aca="false">IF(ISNUMBER(P201),ABS($Z$15*(1+AC201/AK201)/(1+$V$15*$Z$15*AM201)/AK201)," ")</f>
        <v> </v>
      </c>
      <c r="R201" s="27" t="str">
        <f aca="false">IF(ISNUMBER(P201),IF( AND( ( (P201*(P201+2*$U$8)*AB201*AB201) &gt; ($E$5*($E$5+2*$U$5)) ), ( B201&lt;90 ) ), 180-AN201, AN201)," ")</f>
        <v> </v>
      </c>
      <c r="S201" s="17" t="str">
        <f aca="false">IF(ISNUMBER(P201),$E$5+$O$10-P201," ")</f>
        <v> </v>
      </c>
      <c r="AB201" s="1" t="n">
        <f aca="false">COS(RADIANS(B201))</f>
        <v>-0.987688340595138</v>
      </c>
      <c r="AC201" s="1" t="n">
        <f aca="false">-$V$15*AB201</f>
        <v>0.0660053118329131</v>
      </c>
      <c r="AD201" s="1" t="n">
        <f aca="false">$AA$15+AC201*AC201</f>
        <v>1.00432967068617</v>
      </c>
      <c r="AF201" s="1" t="n">
        <f aca="false">AC201*AC201-AD201*$AE$15</f>
        <v>0.00432955365299134</v>
      </c>
      <c r="AG201" s="1" t="n">
        <f aca="false">IF(ISNUMBER(SQRT(AF201)),(-AC201+SQRT(AF201))/AD201,-100)</f>
        <v>-0.000205080039434014</v>
      </c>
      <c r="AH201" s="1" t="n">
        <f aca="false">(AG201*AB201-$V$15)/((1-$V$15*AG201*AB201)*$Z$15)</f>
        <v>-0.999999884586541</v>
      </c>
      <c r="AI201" s="1" t="n">
        <f aca="false">IF(ABS(AH201)&lt;=1,AH201,IF(ABS(AH201)&lt;=1.00001,1*SIGN(AH201),0))</f>
        <v>-0.999999884586541</v>
      </c>
      <c r="AJ201" s="17" t="e">
        <f aca="false">DEGREES(ASIN( SQRT( (F201*(F201+2*$U$8)) / (L201*(L201+2*$U$10)) ) * SIN(RADIANS(B201))  ))</f>
        <v>#VALUE!</v>
      </c>
      <c r="AK201" s="1" t="n">
        <f aca="false">IF(ISNUMBER(SQRT(AF201)),(-AC201-SQRT(AF201))/AD201,-100)</f>
        <v>-0.131236445108015</v>
      </c>
      <c r="AL201" s="1" t="n">
        <f aca="false">(AK201*AB201-$V$15)/((1-$V$15*AK201*AB201)*$Z$15)</f>
        <v>0.950693459552292</v>
      </c>
      <c r="AM201" s="1" t="n">
        <f aca="false">IF(ABS(AL201)&lt;=1,AL201,IF(ABS(AL201)&lt;=1.00001,1*SIGN(AL201),0))</f>
        <v>0.950693459552292</v>
      </c>
      <c r="AN201" s="17" t="str">
        <f aca="false">IF(ISNUMBER(P201),DEGREES(ASIN( SQRT( (P201*(P201+2*$U$8)) / (S201*(S201+2*$U$10)) ) * SIN(RADIANS(B201)) ) ),"ignore")</f>
        <v>ignore</v>
      </c>
    </row>
    <row r="202" customFormat="false" ht="12.75" hidden="false" customHeight="false" outlineLevel="0" collapsed="false">
      <c r="B202" s="1" t="n">
        <v>172</v>
      </c>
      <c r="D202" s="27" t="str">
        <f aca="false">IF(ISNUMBER(F202),IF(ABS(AI202-1)&lt;0.000001,0,IF(ABS(AI202+1)&lt;0.000001,180,ROUND(DEGREES(ACOS(AI202)),3)))," ")</f>
        <v> </v>
      </c>
      <c r="F202" s="17" t="str">
        <f aca="false">IF(AG202&gt;0.0000001,$U$8*((1/SQRT(1-AG202*AG202))-1),"none")</f>
        <v>none</v>
      </c>
      <c r="H202" s="17" t="str">
        <f aca="false">IF(ISNUMBER(F202),$Z$15*(1+AC202/AG202)/(1+$V$15*$Z$15*AI202)/AG202," ")</f>
        <v> </v>
      </c>
      <c r="J202" s="27" t="str">
        <f aca="false">IF(ISNUMBER(F202),IF( AND( ( (F202*(F202+2*$U$8)*AB202*AB202) &gt; ($E$5*($E$5+2*$U$5)) ), ( B202&lt;90 ) ), 180-AJ202, AJ202)," ")</f>
        <v> </v>
      </c>
      <c r="L202" s="17" t="str">
        <f aca="false">IF(ISNUMBER(F202),$E$5+$O$10-F202," ")</f>
        <v> </v>
      </c>
      <c r="N202" s="1" t="str">
        <f aca="false">IF(ISNUMBER(P202),B202," ")</f>
        <v> </v>
      </c>
      <c r="O202" s="27" t="str">
        <f aca="false">IF(ISNUMBER(P202), IF( ABS(AM202-1)&lt;0.000001,0, IF(ABS(AM202+1)&lt;0.000001,180,ROUND(DEGREES(ACOS(AM202)),3)))," ")</f>
        <v> </v>
      </c>
      <c r="P202" s="17" t="str">
        <f aca="false">IF(AK202&gt;0.0000001,$U$8*((1/SQRT(1-AK202*AK202))-1),"none")</f>
        <v>none</v>
      </c>
      <c r="Q202" s="17" t="str">
        <f aca="false">IF(ISNUMBER(P202),ABS($Z$15*(1+AC202/AK202)/(1+$V$15*$Z$15*AM202)/AK202)," ")</f>
        <v> </v>
      </c>
      <c r="R202" s="27" t="str">
        <f aca="false">IF(ISNUMBER(P202),IF( AND( ( (P202*(P202+2*$U$8)*AB202*AB202) &gt; ($E$5*($E$5+2*$U$5)) ), ( B202&lt;90 ) ), 180-AN202, AN202)," ")</f>
        <v> </v>
      </c>
      <c r="S202" s="17" t="str">
        <f aca="false">IF(ISNUMBER(P202),$E$5+$O$10-P202," ")</f>
        <v> </v>
      </c>
      <c r="AB202" s="1" t="n">
        <f aca="false">COS(RADIANS(B202))</f>
        <v>-0.99026806874157</v>
      </c>
      <c r="AC202" s="1" t="n">
        <f aca="false">-$V$15*AB202</f>
        <v>0.0661777101024389</v>
      </c>
      <c r="AD202" s="1" t="n">
        <f aca="false">$AA$15+AC202*AC202</f>
        <v>1.00435245881041</v>
      </c>
      <c r="AF202" s="1" t="n">
        <f aca="false">AC202*AC202-AD202*$AE$15</f>
        <v>0.0043523411612592</v>
      </c>
      <c r="AG202" s="1" t="n">
        <f aca="false">IF(ISNUMBER(SQRT(AF202)),(-AC202+SQRT(AF202))/AD202,-100)</f>
        <v>-0.00020454413084892</v>
      </c>
      <c r="AH202" s="1" t="n">
        <f aca="false">(AG202*AB202-$V$15)/((1-$V$15*AG202*AB202)*$Z$15)</f>
        <v>-0.999999909128136</v>
      </c>
      <c r="AI202" s="1" t="n">
        <f aca="false">IF(ABS(AH202)&lt;=1,AH202,IF(ABS(AH202)&lt;=1.00001,1*SIGN(AH202),0))</f>
        <v>-0.999999909128136</v>
      </c>
      <c r="AJ202" s="17" t="e">
        <f aca="false">DEGREES(ASIN( SQRT( (F202*(F202+2*$U$8)) / (L202*(L202+2*$U$10)) ) * SIN(RADIANS(B202))  ))</f>
        <v>#VALUE!</v>
      </c>
      <c r="AK202" s="1" t="n">
        <f aca="false">IF(ISNUMBER(SQRT(AF202)),(-AC202-SQRT(AF202))/AD202,-100)</f>
        <v>-0.131577301021045</v>
      </c>
      <c r="AL202" s="1" t="n">
        <f aca="false">(AK202*AB202-$V$15)/((1-$V$15*AK202*AB202)*$Z$15)</f>
        <v>0.960973447208367</v>
      </c>
      <c r="AM202" s="1" t="n">
        <f aca="false">IF(ABS(AL202)&lt;=1,AL202,IF(ABS(AL202)&lt;=1.00001,1*SIGN(AL202),0))</f>
        <v>0.960973447208367</v>
      </c>
      <c r="AN202" s="17" t="str">
        <f aca="false">IF(ISNUMBER(P202),DEGREES(ASIN( SQRT( (P202*(P202+2*$U$8)) / (S202*(S202+2*$U$10)) ) * SIN(RADIANS(B202)) ) ),"ignore")</f>
        <v>ignore</v>
      </c>
    </row>
    <row r="203" customFormat="false" ht="12.75" hidden="false" customHeight="false" outlineLevel="0" collapsed="false">
      <c r="B203" s="1" t="n">
        <v>173</v>
      </c>
      <c r="D203" s="27" t="str">
        <f aca="false">IF(ISNUMBER(F203),IF(ABS(AI203-1)&lt;0.000001,0,IF(ABS(AI203+1)&lt;0.000001,180,ROUND(DEGREES(ACOS(AI203)),3)))," ")</f>
        <v> </v>
      </c>
      <c r="F203" s="17" t="str">
        <f aca="false">IF(AG203&gt;0.0000001,$U$8*((1/SQRT(1-AG203*AG203))-1),"none")</f>
        <v>none</v>
      </c>
      <c r="H203" s="17" t="str">
        <f aca="false">IF(ISNUMBER(F203),$Z$15*(1+AC203/AG203)/(1+$V$15*$Z$15*AI203)/AG203," ")</f>
        <v> </v>
      </c>
      <c r="J203" s="27" t="str">
        <f aca="false">IF(ISNUMBER(F203),IF( AND( ( (F203*(F203+2*$U$8)*AB203*AB203) &gt; ($E$5*($E$5+2*$U$5)) ), ( B203&lt;90 ) ), 180-AJ203, AJ203)," ")</f>
        <v> </v>
      </c>
      <c r="L203" s="17" t="str">
        <f aca="false">IF(ISNUMBER(F203),$E$5+$O$10-F203," ")</f>
        <v> </v>
      </c>
      <c r="N203" s="1" t="str">
        <f aca="false">IF(ISNUMBER(P203),B203," ")</f>
        <v> </v>
      </c>
      <c r="O203" s="27" t="str">
        <f aca="false">IF(ISNUMBER(P203), IF( ABS(AM203-1)&lt;0.000001,0, IF(ABS(AM203+1)&lt;0.000001,180,ROUND(DEGREES(ACOS(AM203)),3)))," ")</f>
        <v> </v>
      </c>
      <c r="P203" s="17" t="str">
        <f aca="false">IF(AK203&gt;0.0000001,$U$8*((1/SQRT(1-AK203*AK203))-1),"none")</f>
        <v>none</v>
      </c>
      <c r="Q203" s="17" t="str">
        <f aca="false">IF(ISNUMBER(P203),ABS($Z$15*(1+AC203/AK203)/(1+$V$15*$Z$15*AM203)/AK203)," ")</f>
        <v> </v>
      </c>
      <c r="R203" s="27" t="str">
        <f aca="false">IF(ISNUMBER(P203),IF( AND( ( (P203*(P203+2*$U$8)*AB203*AB203) &gt; ($E$5*($E$5+2*$U$5)) ), ( B203&lt;90 ) ), 180-AN203, AN203)," ")</f>
        <v> </v>
      </c>
      <c r="S203" s="17" t="str">
        <f aca="false">IF(ISNUMBER(P203),$E$5+$O$10-P203," ")</f>
        <v> </v>
      </c>
      <c r="AB203" s="1" t="n">
        <f aca="false">COS(RADIANS(B203))</f>
        <v>-0.992546151641322</v>
      </c>
      <c r="AC203" s="1" t="n">
        <f aca="false">-$V$15*AB203</f>
        <v>0.0663299500003896</v>
      </c>
      <c r="AD203" s="1" t="n">
        <f aca="false">$AA$15+AC203*AC203</f>
        <v>1.00437263176307</v>
      </c>
      <c r="AF203" s="1" t="n">
        <f aca="false">AC203*AC203-AD203*$AE$15</f>
        <v>0.00437251356862587</v>
      </c>
      <c r="AG203" s="1" t="n">
        <f aca="false">IF(ISNUMBER(SQRT(AF203)),(-AC203+SQRT(AF203))/AD203,-100)</f>
        <v>-0.0002040732125231</v>
      </c>
      <c r="AH203" s="1" t="n">
        <f aca="false">(AG203*AB203-$V$15)/((1-$V$15*AG203*AB203)*$Z$15)</f>
        <v>-0.999999930640537</v>
      </c>
      <c r="AI203" s="1" t="n">
        <f aca="false">IF(ABS(AH203)&lt;=1,AH203,IF(ABS(AH203)&lt;=1.00001,1*SIGN(AH203),0))</f>
        <v>-0.999999930640537</v>
      </c>
      <c r="AJ203" s="17" t="e">
        <f aca="false">DEGREES(ASIN( SQRT( (F203*(F203+2*$U$8)) / (L203*(L203+2*$U$10)) ) * SIN(RADIANS(B203))  ))</f>
        <v>#VALUE!</v>
      </c>
      <c r="AK203" s="1" t="n">
        <f aca="false">IF(ISNUMBER(SQRT(AF203)),(-AC203-SQRT(AF203))/AD203,-100)</f>
        <v>-0.131878279298327</v>
      </c>
      <c r="AL203" s="1" t="n">
        <f aca="false">(AK203*AB203-$V$15)/((1-$V$15*AK203*AB203)*$Z$15)</f>
        <v>0.970074093040844</v>
      </c>
      <c r="AM203" s="1" t="n">
        <f aca="false">IF(ABS(AL203)&lt;=1,AL203,IF(ABS(AL203)&lt;=1.00001,1*SIGN(AL203),0))</f>
        <v>0.970074093040844</v>
      </c>
      <c r="AN203" s="17" t="str">
        <f aca="false">IF(ISNUMBER(P203),DEGREES(ASIN( SQRT( (P203*(P203+2*$U$8)) / (S203*(S203+2*$U$10)) ) * SIN(RADIANS(B203)) ) ),"ignore")</f>
        <v>ignore</v>
      </c>
    </row>
    <row r="204" customFormat="false" ht="12.75" hidden="false" customHeight="false" outlineLevel="0" collapsed="false">
      <c r="B204" s="1" t="n">
        <v>174</v>
      </c>
      <c r="D204" s="27" t="str">
        <f aca="false">IF(ISNUMBER(F204),IF(ABS(AI204-1)&lt;0.000001,0,IF(ABS(AI204+1)&lt;0.000001,180,ROUND(DEGREES(ACOS(AI204)),3)))," ")</f>
        <v> </v>
      </c>
      <c r="F204" s="17" t="str">
        <f aca="false">IF(AG204&gt;0.0000001,$U$8*((1/SQRT(1-AG204*AG204))-1),"none")</f>
        <v>none</v>
      </c>
      <c r="H204" s="17" t="str">
        <f aca="false">IF(ISNUMBER(F204),$Z$15*(1+AC204/AG204)/(1+$V$15*$Z$15*AI204)/AG204," ")</f>
        <v> </v>
      </c>
      <c r="J204" s="27" t="str">
        <f aca="false">IF(ISNUMBER(F204),IF( AND( ( (F204*(F204+2*$U$8)*AB204*AB204) &gt; ($E$5*($E$5+2*$U$5)) ), ( B204&lt;90 ) ), 180-AJ204, AJ204)," ")</f>
        <v> </v>
      </c>
      <c r="L204" s="17" t="str">
        <f aca="false">IF(ISNUMBER(F204),$E$5+$O$10-F204," ")</f>
        <v> </v>
      </c>
      <c r="N204" s="1" t="str">
        <f aca="false">IF(ISNUMBER(P204),B204," ")</f>
        <v> </v>
      </c>
      <c r="O204" s="27" t="str">
        <f aca="false">IF(ISNUMBER(P204), IF( ABS(AM204-1)&lt;0.000001,0, IF(ABS(AM204+1)&lt;0.000001,180,ROUND(DEGREES(ACOS(AM204)),3)))," ")</f>
        <v> </v>
      </c>
      <c r="P204" s="17" t="str">
        <f aca="false">IF(AK204&gt;0.0000001,$U$8*((1/SQRT(1-AK204*AK204))-1),"none")</f>
        <v>none</v>
      </c>
      <c r="Q204" s="17" t="str">
        <f aca="false">IF(ISNUMBER(P204),ABS($Z$15*(1+AC204/AK204)/(1+$V$15*$Z$15*AM204)/AK204)," ")</f>
        <v> </v>
      </c>
      <c r="R204" s="27" t="str">
        <f aca="false">IF(ISNUMBER(P204),IF( AND( ( (P204*(P204+2*$U$8)*AB204*AB204) &gt; ($E$5*($E$5+2*$U$5)) ), ( B204&lt;90 ) ), 180-AN204, AN204)," ")</f>
        <v> </v>
      </c>
      <c r="S204" s="17" t="str">
        <f aca="false">IF(ISNUMBER(P204),$E$5+$O$10-P204," ")</f>
        <v> </v>
      </c>
      <c r="AB204" s="1" t="n">
        <f aca="false">COS(RADIANS(B204))</f>
        <v>-0.994521895368273</v>
      </c>
      <c r="AC204" s="1" t="n">
        <f aca="false">-$V$15*AB204</f>
        <v>0.0664619851530175</v>
      </c>
      <c r="AD204" s="1" t="n">
        <f aca="false">$AA$15+AC204*AC204</f>
        <v>1.00439016496649</v>
      </c>
      <c r="AF204" s="1" t="n">
        <f aca="false">AC204*AC204-AD204*$AE$15</f>
        <v>0.00439004629812029</v>
      </c>
      <c r="AG204" s="1" t="n">
        <f aca="false">IF(ISNUMBER(SQRT(AF204)),(-AC204+SQRT(AF204))/AD204,-100)</f>
        <v>-0.000203666547821972</v>
      </c>
      <c r="AH204" s="1" t="n">
        <f aca="false">(AG204*AB204-$V$15)/((1-$V$15*AG204*AB204)*$Z$15)</f>
        <v>-0.999999949177818</v>
      </c>
      <c r="AI204" s="1" t="n">
        <f aca="false">IF(ABS(AH204)&lt;=1,AH204,IF(ABS(AH204)&lt;=1.00001,1*SIGN(AH204),0))</f>
        <v>-0.999999949177818</v>
      </c>
      <c r="AJ204" s="17" t="e">
        <f aca="false">DEGREES(ASIN( SQRT( (F204*(F204+2*$U$8)) / (L204*(L204+2*$U$10)) ) * SIN(RADIANS(B204))  ))</f>
        <v>#VALUE!</v>
      </c>
      <c r="AK204" s="1" t="n">
        <f aca="false">IF(ISNUMBER(SQRT(AF204)),(-AC204-SQRT(AF204))/AD204,-100)</f>
        <v>-0.132139296319073</v>
      </c>
      <c r="AL204" s="1" t="n">
        <f aca="false">(AK204*AB204-$V$15)/((1-$V$15*AK204*AB204)*$Z$15)</f>
        <v>0.977984165374657</v>
      </c>
      <c r="AM204" s="1" t="n">
        <f aca="false">IF(ABS(AL204)&lt;=1,AL204,IF(ABS(AL204)&lt;=1.00001,1*SIGN(AL204),0))</f>
        <v>0.977984165374657</v>
      </c>
      <c r="AN204" s="17" t="str">
        <f aca="false">IF(ISNUMBER(P204),DEGREES(ASIN( SQRT( (P204*(P204+2*$U$8)) / (S204*(S204+2*$U$10)) ) * SIN(RADIANS(B204)) ) ),"ignore")</f>
        <v>ignore</v>
      </c>
    </row>
    <row r="205" customFormat="false" ht="12.75" hidden="false" customHeight="false" outlineLevel="0" collapsed="false">
      <c r="B205" s="1" t="n">
        <v>175</v>
      </c>
      <c r="D205" s="27" t="str">
        <f aca="false">IF(ISNUMBER(F205),IF(ABS(AI205-1)&lt;0.000001,0,IF(ABS(AI205+1)&lt;0.000001,180,ROUND(DEGREES(ACOS(AI205)),3)))," ")</f>
        <v> </v>
      </c>
      <c r="F205" s="17" t="str">
        <f aca="false">IF(AG205&gt;0.0000001,$U$8*((1/SQRT(1-AG205*AG205))-1),"none")</f>
        <v>none</v>
      </c>
      <c r="H205" s="17" t="str">
        <f aca="false">IF(ISNUMBER(F205),$Z$15*(1+AC205/AG205)/(1+$V$15*$Z$15*AI205)/AG205," ")</f>
        <v> </v>
      </c>
      <c r="J205" s="27" t="str">
        <f aca="false">IF(ISNUMBER(F205),IF( AND( ( (F205*(F205+2*$U$8)*AB205*AB205) &gt; ($E$5*($E$5+2*$U$5)) ), ( B205&lt;90 ) ), 180-AJ205, AJ205)," ")</f>
        <v> </v>
      </c>
      <c r="L205" s="17" t="str">
        <f aca="false">IF(ISNUMBER(F205),$E$5+$O$10-F205," ")</f>
        <v> </v>
      </c>
      <c r="N205" s="1" t="str">
        <f aca="false">IF(ISNUMBER(P205),B205," ")</f>
        <v> </v>
      </c>
      <c r="O205" s="27" t="str">
        <f aca="false">IF(ISNUMBER(P205), IF( ABS(AM205-1)&lt;0.000001,0, IF(ABS(AM205+1)&lt;0.000001,180,ROUND(DEGREES(ACOS(AM205)),3)))," ")</f>
        <v> </v>
      </c>
      <c r="P205" s="17" t="str">
        <f aca="false">IF(AK205&gt;0.0000001,$U$8*((1/SQRT(1-AK205*AK205))-1),"none")</f>
        <v>none</v>
      </c>
      <c r="Q205" s="17" t="str">
        <f aca="false">IF(ISNUMBER(P205),ABS($Z$15*(1+AC205/AK205)/(1+$V$15*$Z$15*AM205)/AK205)," ")</f>
        <v> </v>
      </c>
      <c r="R205" s="27" t="str">
        <f aca="false">IF(ISNUMBER(P205),IF( AND( ( (P205*(P205+2*$U$8)*AB205*AB205) &gt; ($E$5*($E$5+2*$U$5)) ), ( B205&lt;90 ) ), 180-AN205, AN205)," ")</f>
        <v> </v>
      </c>
      <c r="S205" s="17" t="str">
        <f aca="false">IF(ISNUMBER(P205),$E$5+$O$10-P205," ")</f>
        <v> </v>
      </c>
      <c r="AB205" s="1" t="n">
        <f aca="false">COS(RADIANS(B205))</f>
        <v>-0.996194698091746</v>
      </c>
      <c r="AC205" s="1" t="n">
        <f aca="false">-$V$15*AB205</f>
        <v>0.0665737753411363</v>
      </c>
      <c r="AD205" s="1" t="n">
        <f aca="false">$AA$15+AC205*AC205</f>
        <v>1.00440503705918</v>
      </c>
      <c r="AF205" s="1" t="n">
        <f aca="false">AC205*AC205-AD205*$AE$15</f>
        <v>0.00440491798881228</v>
      </c>
      <c r="AG205" s="1" t="n">
        <f aca="false">IF(ISNUMBER(SQRT(AF205)),(-AC205+SQRT(AF205))/AD205,-100)</f>
        <v>-0.000203323503907675</v>
      </c>
      <c r="AH205" s="1" t="n">
        <f aca="false">(AG205*AB205-$V$15)/((1-$V$15*AG205*AB205)*$Z$15)</f>
        <v>-0.999999964786276</v>
      </c>
      <c r="AI205" s="1" t="n">
        <f aca="false">IF(ABS(AH205)&lt;=1,AH205,IF(ABS(AH205)&lt;=1.00001,1*SIGN(AH205),0))</f>
        <v>-0.999999964786276</v>
      </c>
      <c r="AJ205" s="17" t="e">
        <f aca="false">DEGREES(ASIN( SQRT( (F205*(F205+2*$U$8)) / (L205*(L205+2*$U$10)) ) * SIN(RADIANS(B205))  ))</f>
        <v>#VALUE!</v>
      </c>
      <c r="AK205" s="1" t="n">
        <f aca="false">IF(ISNUMBER(SQRT(AF205)),(-AC205-SQRT(AF205))/AD205,-100)</f>
        <v>-0.132360279594019</v>
      </c>
      <c r="AL205" s="1" t="n">
        <f aca="false">(AK205*AB205-$V$15)/((1-$V$15*AK205*AB205)*$Z$15)</f>
        <v>0.98469390079327</v>
      </c>
      <c r="AM205" s="1" t="n">
        <f aca="false">IF(ABS(AL205)&lt;=1,AL205,IF(ABS(AL205)&lt;=1.00001,1*SIGN(AL205),0))</f>
        <v>0.98469390079327</v>
      </c>
      <c r="AN205" s="17" t="str">
        <f aca="false">IF(ISNUMBER(P205),DEGREES(ASIN( SQRT( (P205*(P205+2*$U$8)) / (S205*(S205+2*$U$10)) ) * SIN(RADIANS(B205)) ) ),"ignore")</f>
        <v>ignore</v>
      </c>
    </row>
    <row r="206" customFormat="false" ht="12.75" hidden="false" customHeight="false" outlineLevel="0" collapsed="false">
      <c r="B206" s="1" t="n">
        <v>176</v>
      </c>
      <c r="D206" s="27" t="str">
        <f aca="false">IF(ISNUMBER(F206),IF(ABS(AI206-1)&lt;0.000001,0,IF(ABS(AI206+1)&lt;0.000001,180,ROUND(DEGREES(ACOS(AI206)),3)))," ")</f>
        <v> </v>
      </c>
      <c r="F206" s="17" t="str">
        <f aca="false">IF(AG206&gt;0.0000001,$U$8*((1/SQRT(1-AG206*AG206))-1),"none")</f>
        <v>none</v>
      </c>
      <c r="H206" s="17" t="str">
        <f aca="false">IF(ISNUMBER(F206),$Z$15*(1+AC206/AG206)/(1+$V$15*$Z$15*AI206)/AG206," ")</f>
        <v> </v>
      </c>
      <c r="J206" s="27" t="str">
        <f aca="false">IF(ISNUMBER(F206),IF( AND( ( (F206*(F206+2*$U$8)*AB206*AB206) &gt; ($E$5*($E$5+2*$U$5)) ), ( B206&lt;90 ) ), 180-AJ206, AJ206)," ")</f>
        <v> </v>
      </c>
      <c r="L206" s="17" t="str">
        <f aca="false">IF(ISNUMBER(F206),$E$5+$O$10-F206," ")</f>
        <v> </v>
      </c>
      <c r="N206" s="1" t="str">
        <f aca="false">IF(ISNUMBER(P206),B206," ")</f>
        <v> </v>
      </c>
      <c r="O206" s="27" t="str">
        <f aca="false">IF(ISNUMBER(P206), IF( ABS(AM206-1)&lt;0.000001,0, IF(ABS(AM206+1)&lt;0.000001,180,ROUND(DEGREES(ACOS(AM206)),3)))," ")</f>
        <v> </v>
      </c>
      <c r="P206" s="17" t="str">
        <f aca="false">IF(AK206&gt;0.0000001,$U$8*((1/SQRT(1-AK206*AK206))-1),"none")</f>
        <v>none</v>
      </c>
      <c r="Q206" s="17" t="str">
        <f aca="false">IF(ISNUMBER(P206),ABS($Z$15*(1+AC206/AK206)/(1+$V$15*$Z$15*AM206)/AK206)," ")</f>
        <v> </v>
      </c>
      <c r="R206" s="27" t="str">
        <f aca="false">IF(ISNUMBER(P206),IF( AND( ( (P206*(P206+2*$U$8)*AB206*AB206) &gt; ($E$5*($E$5+2*$U$5)) ), ( B206&lt;90 ) ), 180-AN206, AN206)," ")</f>
        <v> </v>
      </c>
      <c r="S206" s="17" t="str">
        <f aca="false">IF(ISNUMBER(P206),$E$5+$O$10-P206," ")</f>
        <v> </v>
      </c>
      <c r="AB206" s="1" t="n">
        <f aca="false">COS(RADIANS(B206))</f>
        <v>-0.997564050259824</v>
      </c>
      <c r="AC206" s="1" t="n">
        <f aca="false">-$V$15*AB206</f>
        <v>0.0666652865123713</v>
      </c>
      <c r="AD206" s="1" t="n">
        <f aca="false">$AA$15+AC206*AC206</f>
        <v>1.00441722992179</v>
      </c>
      <c r="AF206" s="1" t="n">
        <f aca="false">AC206*AC206-AD206*$AE$15</f>
        <v>0.00441711052183754</v>
      </c>
      <c r="AG206" s="1" t="n">
        <f aca="false">IF(ISNUMBER(SQRT(AF206)),(-AC206+SQRT(AF206))/AD206,-100)</f>
        <v>-0.000203043549311318</v>
      </c>
      <c r="AH206" s="1" t="n">
        <f aca="false">(AG206*AB206-$V$15)/((1-$V$15*AG206*AB206)*$Z$15)</f>
        <v>-0.999999977504679</v>
      </c>
      <c r="AI206" s="1" t="n">
        <f aca="false">IF(ABS(AH206)&lt;=1,AH206,IF(ABS(AH206)&lt;=1.00001,1*SIGN(AH206),0))</f>
        <v>-0.999999977504679</v>
      </c>
      <c r="AJ206" s="17" t="e">
        <f aca="false">DEGREES(ASIN( SQRT( (F206*(F206+2*$U$8)) / (L206*(L206+2*$U$10)) ) * SIN(RADIANS(B206))  ))</f>
        <v>#VALUE!</v>
      </c>
      <c r="AK206" s="1" t="n">
        <f aca="false">IF(ISNUMBER(SQRT(AF206)),(-AC206-SQRT(AF206))/AD206,-100)</f>
        <v>-0.132541167773233</v>
      </c>
      <c r="AL206" s="1" t="n">
        <f aca="false">(AK206*AB206-$V$15)/((1-$V$15*AK206*AB206)*$Z$15)</f>
        <v>0.99019501665434</v>
      </c>
      <c r="AM206" s="1" t="n">
        <f aca="false">IF(ABS(AL206)&lt;=1,AL206,IF(ABS(AL206)&lt;=1.00001,1*SIGN(AL206),0))</f>
        <v>0.99019501665434</v>
      </c>
      <c r="AN206" s="17" t="str">
        <f aca="false">IF(ISNUMBER(P206),DEGREES(ASIN( SQRT( (P206*(P206+2*$U$8)) / (S206*(S206+2*$U$10)) ) * SIN(RADIANS(B206)) ) ),"ignore")</f>
        <v>ignore</v>
      </c>
    </row>
    <row r="207" customFormat="false" ht="12.75" hidden="false" customHeight="false" outlineLevel="0" collapsed="false">
      <c r="B207" s="1" t="n">
        <v>177</v>
      </c>
      <c r="D207" s="27" t="str">
        <f aca="false">IF(ISNUMBER(F207),IF(ABS(AI207-1)&lt;0.000001,0,IF(ABS(AI207+1)&lt;0.000001,180,ROUND(DEGREES(ACOS(AI207)),3)))," ")</f>
        <v> </v>
      </c>
      <c r="F207" s="17" t="str">
        <f aca="false">IF(AG207&gt;0.0000001,$U$8*((1/SQRT(1-AG207*AG207))-1),"none")</f>
        <v>none</v>
      </c>
      <c r="H207" s="17" t="str">
        <f aca="false">IF(ISNUMBER(F207),$Z$15*(1+AC207/AG207)/(1+$V$15*$Z$15*AI207)/AG207," ")</f>
        <v> </v>
      </c>
      <c r="J207" s="27" t="str">
        <f aca="false">IF(ISNUMBER(F207),IF( AND( ( (F207*(F207+2*$U$8)*AB207*AB207) &gt; ($E$5*($E$5+2*$U$5)) ), ( B207&lt;90 ) ), 180-AJ207, AJ207)," ")</f>
        <v> </v>
      </c>
      <c r="L207" s="17" t="str">
        <f aca="false">IF(ISNUMBER(F207),$E$5+$O$10-F207," ")</f>
        <v> </v>
      </c>
      <c r="N207" s="1" t="str">
        <f aca="false">IF(ISNUMBER(P207),B207," ")</f>
        <v> </v>
      </c>
      <c r="O207" s="27" t="str">
        <f aca="false">IF(ISNUMBER(P207), IF( ABS(AM207-1)&lt;0.000001,0, IF(ABS(AM207+1)&lt;0.000001,180,ROUND(DEGREES(ACOS(AM207)),3)))," ")</f>
        <v> </v>
      </c>
      <c r="P207" s="17" t="str">
        <f aca="false">IF(AK207&gt;0.0000001,$U$8*((1/SQRT(1-AK207*AK207))-1),"none")</f>
        <v>none</v>
      </c>
      <c r="Q207" s="17" t="str">
        <f aca="false">IF(ISNUMBER(P207),ABS($Z$15*(1+AC207/AK207)/(1+$V$15*$Z$15*AM207)/AK207)," ")</f>
        <v> </v>
      </c>
      <c r="R207" s="27" t="str">
        <f aca="false">IF(ISNUMBER(P207),IF( AND( ( (P207*(P207+2*$U$8)*AB207*AB207) &gt; ($E$5*($E$5+2*$U$5)) ), ( B207&lt;90 ) ), 180-AN207, AN207)," ")</f>
        <v> </v>
      </c>
      <c r="S207" s="17" t="str">
        <f aca="false">IF(ISNUMBER(P207),$E$5+$O$10-P207," ")</f>
        <v> </v>
      </c>
      <c r="AB207" s="1" t="n">
        <f aca="false">COS(RADIANS(B207))</f>
        <v>-0.998629534754574</v>
      </c>
      <c r="AC207" s="1" t="n">
        <f aca="false">-$V$15*AB207</f>
        <v>0.0667364907915336</v>
      </c>
      <c r="AD207" s="1" t="n">
        <f aca="false">$AA$15+AC207*AC207</f>
        <v>1.00442672869918</v>
      </c>
      <c r="AF207" s="1" t="n">
        <f aca="false">AC207*AC207-AD207*$AE$15</f>
        <v>0.00442660904247269</v>
      </c>
      <c r="AG207" s="1" t="n">
        <f aca="false">IF(ISNUMBER(SQRT(AF207)),(-AC207+SQRT(AF207))/AD207,-100)</f>
        <v>-0.000202826251907343</v>
      </c>
      <c r="AH207" s="1" t="n">
        <f aca="false">(AG207*AB207-$V$15)/((1-$V$15*AG207*AB207)*$Z$15)</f>
        <v>-0.999999987364471</v>
      </c>
      <c r="AI207" s="1" t="n">
        <f aca="false">IF(ABS(AH207)&lt;=1,AH207,IF(ABS(AH207)&lt;=1.00001,1*SIGN(AH207),0))</f>
        <v>-0.999999987364471</v>
      </c>
      <c r="AJ207" s="17" t="e">
        <f aca="false">DEGREES(ASIN( SQRT( (F207*(F207+2*$U$8)) / (L207*(L207+2*$U$10)) ) * SIN(RADIANS(B207))  ))</f>
        <v>#VALUE!</v>
      </c>
      <c r="AK207" s="1" t="n">
        <f aca="false">IF(ISNUMBER(SQRT(AF207)),(-AC207-SQRT(AF207))/AD207,-100)</f>
        <v>-0.132681910652622</v>
      </c>
      <c r="AL207" s="1" t="n">
        <f aca="false">(AK207*AB207-$V$15)/((1-$V$15*AK207*AB207)*$Z$15)</f>
        <v>0.994480721711198</v>
      </c>
      <c r="AM207" s="1" t="n">
        <f aca="false">IF(ABS(AL207)&lt;=1,AL207,IF(ABS(AL207)&lt;=1.00001,1*SIGN(AL207),0))</f>
        <v>0.994480721711198</v>
      </c>
      <c r="AN207" s="17" t="str">
        <f aca="false">IF(ISNUMBER(P207),DEGREES(ASIN( SQRT( (P207*(P207+2*$U$8)) / (S207*(S207+2*$U$10)) ) * SIN(RADIANS(B207)) ) ),"ignore")</f>
        <v>ignore</v>
      </c>
    </row>
    <row r="208" customFormat="false" ht="12.75" hidden="false" customHeight="false" outlineLevel="0" collapsed="false">
      <c r="B208" s="1" t="n">
        <v>178</v>
      </c>
      <c r="D208" s="27" t="str">
        <f aca="false">IF(ISNUMBER(F208),IF(ABS(AI208-1)&lt;0.000001,0,IF(ABS(AI208+1)&lt;0.000001,180,ROUND(DEGREES(ACOS(AI208)),3)))," ")</f>
        <v> </v>
      </c>
      <c r="F208" s="17" t="str">
        <f aca="false">IF(AG208&gt;0.0000001,$U$8*((1/SQRT(1-AG208*AG208))-1),"none")</f>
        <v>none</v>
      </c>
      <c r="H208" s="17" t="str">
        <f aca="false">IF(ISNUMBER(F208),$Z$15*(1+AC208/AG208)/(1+$V$15*$Z$15*AI208)/AG208," ")</f>
        <v> </v>
      </c>
      <c r="J208" s="27" t="str">
        <f aca="false">IF(ISNUMBER(F208),IF( AND( ( (F208*(F208+2*$U$8)*AB208*AB208) &gt; ($E$5*($E$5+2*$U$5)) ), ( B208&lt;90 ) ), 180-AJ208, AJ208)," ")</f>
        <v> </v>
      </c>
      <c r="L208" s="17" t="str">
        <f aca="false">IF(ISNUMBER(F208),$E$5+$O$10-F208," ")</f>
        <v> </v>
      </c>
      <c r="N208" s="1" t="str">
        <f aca="false">IF(ISNUMBER(P208),B208," ")</f>
        <v> </v>
      </c>
      <c r="O208" s="27" t="str">
        <f aca="false">IF(ISNUMBER(P208), IF( ABS(AM208-1)&lt;0.000001,0, IF(ABS(AM208+1)&lt;0.000001,180,ROUND(DEGREES(ACOS(AM208)),3)))," ")</f>
        <v> </v>
      </c>
      <c r="P208" s="17" t="str">
        <f aca="false">IF(AK208&gt;0.0000001,$U$8*((1/SQRT(1-AK208*AK208))-1),"none")</f>
        <v>none</v>
      </c>
      <c r="Q208" s="17" t="str">
        <f aca="false">IF(ISNUMBER(P208),ABS($Z$15*(1+AC208/AK208)/(1+$V$15*$Z$15*AM208)/AK208)," ")</f>
        <v> </v>
      </c>
      <c r="R208" s="27" t="str">
        <f aca="false">IF(ISNUMBER(P208),IF( AND( ( (P208*(P208+2*$U$8)*AB208*AB208) &gt; ($E$5*($E$5+2*$U$5)) ), ( B208&lt;90 ) ), 180-AN208, AN208)," ")</f>
        <v> </v>
      </c>
      <c r="S208" s="17" t="str">
        <f aca="false">IF(ISNUMBER(P208),$E$5+$O$10-P208," ")</f>
        <v> </v>
      </c>
      <c r="AB208" s="1" t="n">
        <f aca="false">COS(RADIANS(B208))</f>
        <v>-0.999390827019096</v>
      </c>
      <c r="AC208" s="1" t="n">
        <f aca="false">-$V$15*AB208</f>
        <v>0.0667873664891099</v>
      </c>
      <c r="AD208" s="1" t="n">
        <f aca="false">$AA$15+AC208*AC208</f>
        <v>1.00443352181856</v>
      </c>
      <c r="AF208" s="1" t="n">
        <f aca="false">AC208*AC208-AD208*$AE$15</f>
        <v>0.00443340197823349</v>
      </c>
      <c r="AG208" s="1" t="n">
        <f aca="false">IF(ISNUMBER(SQRT(AF208)),(-AC208+SQRT(AF208))/AD208,-100)</f>
        <v>-0.000202671277275345</v>
      </c>
      <c r="AH208" s="1" t="n">
        <f aca="false">(AG208*AB208-$V$15)/((1-$V$15*AG208*AB208)*$Z$15)</f>
        <v>-0.99999999438994</v>
      </c>
      <c r="AI208" s="1" t="n">
        <f aca="false">IF(ABS(AH208)&lt;=1,AH208,IF(ABS(AH208)&lt;=1.00001,1*SIGN(AH208),0))</f>
        <v>-0.99999999438994</v>
      </c>
      <c r="AJ208" s="17" t="e">
        <f aca="false">DEGREES(ASIN( SQRT( (F208*(F208+2*$U$8)) / (L208*(L208+2*$U$10)) ) * SIN(RADIANS(B208))  ))</f>
        <v>#VALUE!</v>
      </c>
      <c r="AK208" s="1" t="n">
        <f aca="false">IF(ISNUMBER(SQRT(AF208)),(-AC208-SQRT(AF208))/AD208,-100)</f>
        <v>-0.132782469179186</v>
      </c>
      <c r="AL208" s="1" t="n">
        <f aca="false">(AK208*AB208-$V$15)/((1-$V$15*AK208*AB208)*$Z$15)</f>
        <v>0.997545724824417</v>
      </c>
      <c r="AM208" s="1" t="n">
        <f aca="false">IF(ABS(AL208)&lt;=1,AL208,IF(ABS(AL208)&lt;=1.00001,1*SIGN(AL208),0))</f>
        <v>0.997545724824417</v>
      </c>
      <c r="AN208" s="17" t="str">
        <f aca="false">IF(ISNUMBER(P208),DEGREES(ASIN( SQRT( (P208*(P208+2*$U$8)) / (S208*(S208+2*$U$10)) ) * SIN(RADIANS(B208)) ) ),"ignore")</f>
        <v>ignore</v>
      </c>
    </row>
    <row r="209" customFormat="false" ht="12.75" hidden="false" customHeight="false" outlineLevel="0" collapsed="false">
      <c r="B209" s="1" t="n">
        <v>179</v>
      </c>
      <c r="D209" s="27" t="str">
        <f aca="false">IF(ISNUMBER(F209),IF(ABS(AI209-1)&lt;0.000001,0,IF(ABS(AI209+1)&lt;0.000001,180,ROUND(DEGREES(ACOS(AI209)),3)))," ")</f>
        <v> </v>
      </c>
      <c r="F209" s="17" t="str">
        <f aca="false">IF(AG209&gt;0.0000001,$U$8*((1/SQRT(1-AG209*AG209))-1),"none")</f>
        <v>none</v>
      </c>
      <c r="H209" s="17" t="str">
        <f aca="false">IF(ISNUMBER(F209),$Z$15*(1+AC209/AG209)/(1+$V$15*$Z$15*AI209)/AG209," ")</f>
        <v> </v>
      </c>
      <c r="J209" s="27" t="str">
        <f aca="false">IF(ISNUMBER(F209),IF( AND( ( (F209*(F209+2*$U$8)*AB209*AB209) &gt; ($E$5*($E$5+2*$U$5)) ), ( B209&lt;90 ) ), 180-AJ209, AJ209)," ")</f>
        <v> </v>
      </c>
      <c r="L209" s="17" t="str">
        <f aca="false">IF(ISNUMBER(F209),$E$5+$O$10-F209," ")</f>
        <v> </v>
      </c>
      <c r="N209" s="1" t="str">
        <f aca="false">IF(ISNUMBER(P209),B209," ")</f>
        <v> </v>
      </c>
      <c r="O209" s="27" t="str">
        <f aca="false">IF(ISNUMBER(P209), IF( ABS(AM209-1)&lt;0.000001,0, IF(ABS(AM209+1)&lt;0.000001,180,ROUND(DEGREES(ACOS(AM209)),3)))," ")</f>
        <v> </v>
      </c>
      <c r="P209" s="17" t="str">
        <f aca="false">IF(AK209&gt;0.0000001,$U$8*((1/SQRT(1-AK209*AK209))-1),"none")</f>
        <v>none</v>
      </c>
      <c r="Q209" s="17" t="str">
        <f aca="false">IF(ISNUMBER(P209),ABS($Z$15*(1+AC209/AK209)/(1+$V$15*$Z$15*AM209)/AK209)," ")</f>
        <v> </v>
      </c>
      <c r="R209" s="27" t="str">
        <f aca="false">IF(ISNUMBER(P209),IF( AND( ( (P209*(P209+2*$U$8)*AB209*AB209) &gt; ($E$5*($E$5+2*$U$5)) ), ( B209&lt;90 ) ), 180-AN209, AN209)," ")</f>
        <v> </v>
      </c>
      <c r="S209" s="17" t="str">
        <f aca="false">IF(ISNUMBER(P209),$E$5+$O$10-P209," ")</f>
        <v> </v>
      </c>
      <c r="AB209" s="1" t="n">
        <f aca="false">COS(RADIANS(B209))</f>
        <v>-0.999847695156391</v>
      </c>
      <c r="AC209" s="1" t="n">
        <f aca="false">-$V$15*AB209</f>
        <v>0.0668178981078699</v>
      </c>
      <c r="AD209" s="1" t="n">
        <f aca="false">$AA$15+AC209*AC209</f>
        <v>1.00443760100357</v>
      </c>
      <c r="AF209" s="1" t="n">
        <f aca="false">AC209*AC209-AD209*$AE$15</f>
        <v>0.00443748105297405</v>
      </c>
      <c r="AG209" s="1" t="n">
        <f aca="false">IF(ISNUMBER(SQRT(AF209)),(-AC209+SQRT(AF209))/AD209,-100)</f>
        <v>-0.000202578387437728</v>
      </c>
      <c r="AH209" s="1" t="n">
        <f aca="false">(AG209*AB209-$V$15)/((1-$V$15*AG209*AB209)*$Z$15)</f>
        <v>-0.999999998598344</v>
      </c>
      <c r="AI209" s="1" t="n">
        <f aca="false">IF(ABS(AH209)&lt;=1,AH209,IF(ABS(AH209)&lt;=1.00001,1*SIGN(AH209),0))</f>
        <v>-0.999999998598344</v>
      </c>
      <c r="AJ209" s="17" t="e">
        <f aca="false">DEGREES(ASIN( SQRT( (F209*(F209+2*$U$8)) / (L209*(L209+2*$U$10)) ) * SIN(RADIANS(B209))  ))</f>
        <v>#VALUE!</v>
      </c>
      <c r="AK209" s="1" t="n">
        <f aca="false">IF(ISNUMBER(SQRT(AF209)),(-AC209-SQRT(AF209))/AD209,-100)</f>
        <v>-0.132842815455067</v>
      </c>
      <c r="AL209" s="1" t="n">
        <f aca="false">(AK209*AB209-$V$15)/((1-$V$15*AK209*AB209)*$Z$15)</f>
        <v>0.999386241750839</v>
      </c>
      <c r="AM209" s="1" t="n">
        <f aca="false">IF(ABS(AL209)&lt;=1,AL209,IF(ABS(AL209)&lt;=1.00001,1*SIGN(AL209),0))</f>
        <v>0.999386241750839</v>
      </c>
      <c r="AN209" s="17" t="str">
        <f aca="false">IF(ISNUMBER(P209),DEGREES(ASIN( SQRT( (P209*(P209+2*$U$8)) / (S209*(S209+2*$U$10)) ) * SIN(RADIANS(B209)) ) ),"ignore")</f>
        <v>ignore</v>
      </c>
    </row>
    <row r="210" customFormat="false" ht="12.75" hidden="false" customHeight="false" outlineLevel="0" collapsed="false">
      <c r="B210" s="1" t="n">
        <v>180</v>
      </c>
      <c r="D210" s="27" t="str">
        <f aca="false">IF(ISNUMBER(F210),IF(ABS(AI210-1)&lt;0.000001,0,IF(ABS(AI210+1)&lt;0.000001,180,ROUND(DEGREES(ACOS(AI210)),3)))," ")</f>
        <v> </v>
      </c>
      <c r="F210" s="17" t="str">
        <f aca="false">IF(AG210&gt;0.0000001,$U$8*((1/SQRT(1-AG210*AG210))-1),"none")</f>
        <v>none</v>
      </c>
      <c r="H210" s="17" t="str">
        <f aca="false">IF(ISNUMBER(F210),$Z$15*(1+AC210/AG210)/(1+$V$15*$Z$15*AI210)/AG210," ")</f>
        <v> </v>
      </c>
      <c r="J210" s="27" t="str">
        <f aca="false">IF(ISNUMBER(F210),IF( AND( ( (F210*(F210+2*$U$8)*AB210*AB210) &gt; ($E$5*($E$5+2*$U$5)) ), ( B210&lt;90 ) ), 180-AJ210, AJ210)," ")</f>
        <v> </v>
      </c>
      <c r="L210" s="17" t="str">
        <f aca="false">IF(ISNUMBER(F210),$E$5+$O$10-F210," ")</f>
        <v> </v>
      </c>
      <c r="N210" s="1" t="str">
        <f aca="false">IF(ISNUMBER(P210),B210," ")</f>
        <v> </v>
      </c>
      <c r="O210" s="27" t="str">
        <f aca="false">IF(ISNUMBER(P210), IF( ABS(AM210-1)&lt;0.000001,0, IF(ABS(AM210+1)&lt;0.000001,180,ROUND(DEGREES(ACOS(AM210)),3)))," ")</f>
        <v> </v>
      </c>
      <c r="P210" s="17" t="str">
        <f aca="false">IF(AK210&gt;0.0000001,$U$8*((1/SQRT(1-AK210*AK210))-1),"none")</f>
        <v>none</v>
      </c>
      <c r="Q210" s="17" t="str">
        <f aca="false">IF(ISNUMBER(P210),ABS($Z$15*(1+AC210/AK210)/(1+$V$15*$Z$15*AM210)/AK210)," ")</f>
        <v> </v>
      </c>
      <c r="R210" s="27" t="str">
        <f aca="false">IF(ISNUMBER(P210),IF( AND( ( (P210*(P210+2*$U$8)*AB210*AB210) &gt; ($E$5*($E$5+2*$U$5)) ), ( B210&lt;90 ) ), 180-AN210, AN210)," ")</f>
        <v> </v>
      </c>
      <c r="S210" s="17" t="str">
        <f aca="false">IF(ISNUMBER(P210),$E$5+$O$10-P210," ")</f>
        <v> </v>
      </c>
      <c r="AB210" s="1" t="n">
        <f aca="false">COS(RADIANS(B210))</f>
        <v>-1</v>
      </c>
      <c r="AC210" s="1" t="n">
        <f aca="false">-$V$15*AB210</f>
        <v>0.0668280763475867</v>
      </c>
      <c r="AD210" s="1" t="n">
        <f aca="false">$AA$15+AC210*AC210</f>
        <v>1.00443896128433</v>
      </c>
      <c r="AF210" s="1" t="n">
        <f aca="false">AC210*AC210-AD210*$AE$15</f>
        <v>0.00443884129697017</v>
      </c>
      <c r="AG210" s="1" t="n">
        <f aca="false">IF(ISNUMBER(SQRT(AF210)),(-AC210+SQRT(AF210))/AD210,-100)</f>
        <v>-0.00020254743996434</v>
      </c>
      <c r="AH210" s="1" t="n">
        <f aca="false">(AG210*AB210-$V$15)/((1-$V$15*AG210*AB210)*$Z$15)</f>
        <v>-1</v>
      </c>
      <c r="AI210" s="1" t="n">
        <f aca="false">IF(ABS(AH210)&lt;=1,AH210,IF(ABS(AH210)&lt;=1.00001,1*SIGN(AH210),0))</f>
        <v>-1</v>
      </c>
      <c r="AJ210" s="17" t="e">
        <f aca="false">DEGREES(ASIN( SQRT( (F210*(F210+2*$U$8)) / (L210*(L210+2*$U$10)) ) * SIN(RADIANS(B210))  ))</f>
        <v>#VALUE!</v>
      </c>
      <c r="AK210" s="1" t="n">
        <f aca="false">IF(ISNUMBER(SQRT(AF210)),(-AC210-SQRT(AF210))/AD210,-100)</f>
        <v>-0.132862932740407</v>
      </c>
      <c r="AL210" s="1" t="n">
        <f aca="false">(AK210*AB210-$V$15)/((1-$V$15*AK210*AB210)*$Z$15)</f>
        <v>1</v>
      </c>
      <c r="AM210" s="1" t="n">
        <f aca="false">IF(ABS(AL210)&lt;=1,AL210,IF(ABS(AL210)&lt;=1.00001,1*SIGN(AL210),0))</f>
        <v>1</v>
      </c>
      <c r="AN210" s="17" t="str">
        <f aca="false">IF(ISNUMBER(P210),DEGREES(ASIN( SQRT( (P210*(P210+2*$U$8)) / (S210*(S210+2*$U$10)) ) * SIN(RADIANS(B210)) ) ),"ignore")</f>
        <v>ignore</v>
      </c>
    </row>
  </sheetData>
  <sheetProtection algorithmName="SHA-512" hashValue="TeBFsiVmW5b4tX7FGcJ/WN0SAFUELKZglCIrutKob5KVAdmm4ub/VhkRsLfcwvxQ8WCgoxOP9xFyBbkSCt63Bw==" saltValue="zY7+Qhih394LyMIBBZxS4Q==" spinCount="100000" sheet="true" objects="true" scenarios="true"/>
  <mergeCells count="9">
    <mergeCell ref="N2:O2"/>
    <mergeCell ref="Q2:S2"/>
    <mergeCell ref="Q3:S3"/>
    <mergeCell ref="Q4:S4"/>
    <mergeCell ref="Q5:S5"/>
    <mergeCell ref="Q6:S6"/>
    <mergeCell ref="Q8:S8"/>
    <mergeCell ref="Q10:S10"/>
    <mergeCell ref="N12:S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Q61"/>
  <sheetViews>
    <sheetView showFormulas="false" showGridLines="true" showRowColHeaders="true" showZeros="true" rightToLeft="false" tabSelected="false" showOutlineSymbols="true" defaultGridColor="true" view="normal" topLeftCell="A21" colorId="64" zoomScale="75" zoomScaleNormal="75" zoomScalePageLayoutView="100" workbookViewId="0">
      <selection pane="topLeft" activeCell="T55" activeCellId="0" sqref="T55"/>
    </sheetView>
  </sheetViews>
  <sheetFormatPr defaultColWidth="8.83203125" defaultRowHeight="12.75" zeroHeight="false" outlineLevelRow="0" outlineLevelCol="0"/>
  <sheetData>
    <row r="3" customFormat="false" ht="12.75" hidden="false" customHeight="false" outlineLevel="0" collapsed="false">
      <c r="B3" s="5" t="s">
        <v>60</v>
      </c>
      <c r="C3" s="5"/>
      <c r="D3" s="4"/>
      <c r="P3" s="5" t="s">
        <v>61</v>
      </c>
      <c r="Q3" s="5"/>
    </row>
    <row r="5" customFormat="false" ht="12.75" hidden="false" customHeight="false" outlineLevel="0" collapsed="false">
      <c r="B5" s="1" t="s">
        <v>36</v>
      </c>
      <c r="C5" s="1" t="s">
        <v>37</v>
      </c>
      <c r="P5" s="1" t="s">
        <v>36</v>
      </c>
      <c r="Q5" s="1" t="s">
        <v>37</v>
      </c>
    </row>
    <row r="6" customFormat="false" ht="12.75" hidden="false" customHeight="false" outlineLevel="0" collapsed="false">
      <c r="B6" s="1" t="n">
        <f aca="false">kinematics!B16</f>
        <v>130</v>
      </c>
      <c r="C6" s="17" t="str">
        <f aca="false">kinematics!F16</f>
        <v>none</v>
      </c>
      <c r="P6" s="1" t="n">
        <f aca="false">B6</f>
        <v>130</v>
      </c>
      <c r="Q6" s="17" t="n">
        <f aca="false">IF(ISNUMBER(kinematics!P16),kinematics!P16,0)</f>
        <v>0</v>
      </c>
    </row>
    <row r="7" customFormat="false" ht="12.75" hidden="false" customHeight="false" outlineLevel="0" collapsed="false">
      <c r="B7" s="1" t="n">
        <f aca="false">kinematics!B17</f>
        <v>135</v>
      </c>
      <c r="C7" s="17" t="str">
        <f aca="false">kinematics!F17</f>
        <v>none</v>
      </c>
      <c r="P7" s="1" t="n">
        <f aca="false">B7</f>
        <v>135</v>
      </c>
      <c r="Q7" s="17" t="n">
        <f aca="false">IF(ISNUMBER(kinematics!P17),kinematics!P17,0)</f>
        <v>0</v>
      </c>
    </row>
    <row r="8" customFormat="false" ht="12.75" hidden="false" customHeight="false" outlineLevel="0" collapsed="false">
      <c r="B8" s="1" t="n">
        <f aca="false">kinematics!B18</f>
        <v>140</v>
      </c>
      <c r="C8" s="17" t="str">
        <f aca="false">kinematics!F18</f>
        <v>none</v>
      </c>
      <c r="P8" s="1" t="n">
        <f aca="false">B8</f>
        <v>140</v>
      </c>
      <c r="Q8" s="17" t="n">
        <f aca="false">IF(ISNUMBER(kinematics!P18),kinematics!P18,0)</f>
        <v>0</v>
      </c>
    </row>
    <row r="9" customFormat="false" ht="12.75" hidden="false" customHeight="false" outlineLevel="0" collapsed="false">
      <c r="B9" s="1" t="n">
        <f aca="false">kinematics!B19</f>
        <v>145</v>
      </c>
      <c r="C9" s="17" t="str">
        <f aca="false">kinematics!F19</f>
        <v>none</v>
      </c>
      <c r="P9" s="1" t="n">
        <f aca="false">B9</f>
        <v>145</v>
      </c>
      <c r="Q9" s="17" t="n">
        <f aca="false">IF(ISNUMBER(kinematics!P19),kinematics!P19,0)</f>
        <v>0</v>
      </c>
    </row>
    <row r="10" customFormat="false" ht="12.75" hidden="false" customHeight="false" outlineLevel="0" collapsed="false">
      <c r="B10" s="1" t="n">
        <f aca="false">kinematics!B20</f>
        <v>150</v>
      </c>
      <c r="C10" s="17" t="str">
        <f aca="false">kinematics!F20</f>
        <v>none</v>
      </c>
      <c r="P10" s="1" t="n">
        <f aca="false">B10</f>
        <v>150</v>
      </c>
      <c r="Q10" s="17" t="n">
        <f aca="false">IF(ISNUMBER(kinematics!P20),kinematics!P20,0)</f>
        <v>0</v>
      </c>
    </row>
    <row r="11" customFormat="false" ht="12.75" hidden="false" customHeight="false" outlineLevel="0" collapsed="false">
      <c r="B11" s="1" t="n">
        <f aca="false">kinematics!B21</f>
        <v>155</v>
      </c>
      <c r="C11" s="17" t="str">
        <f aca="false">kinematics!F21</f>
        <v>none</v>
      </c>
      <c r="P11" s="1" t="n">
        <f aca="false">B11</f>
        <v>155</v>
      </c>
      <c r="Q11" s="17" t="n">
        <f aca="false">IF(ISNUMBER(kinematics!P21),kinematics!P21,0)</f>
        <v>0</v>
      </c>
    </row>
    <row r="12" customFormat="false" ht="12.75" hidden="false" customHeight="false" outlineLevel="0" collapsed="false">
      <c r="B12" s="1" t="n">
        <f aca="false">kinematics!B22</f>
        <v>160</v>
      </c>
      <c r="C12" s="17" t="str">
        <f aca="false">kinematics!F22</f>
        <v>none</v>
      </c>
      <c r="P12" s="1" t="n">
        <f aca="false">B12</f>
        <v>160</v>
      </c>
      <c r="Q12" s="17" t="n">
        <f aca="false">IF(ISNUMBER(kinematics!P22),kinematics!P22,0)</f>
        <v>0</v>
      </c>
    </row>
    <row r="13" customFormat="false" ht="12.75" hidden="false" customHeight="false" outlineLevel="0" collapsed="false">
      <c r="B13" s="1" t="n">
        <f aca="false">kinematics!B23</f>
        <v>165</v>
      </c>
      <c r="C13" s="17" t="str">
        <f aca="false">kinematics!F23</f>
        <v>none</v>
      </c>
      <c r="P13" s="1" t="n">
        <f aca="false">B13</f>
        <v>165</v>
      </c>
      <c r="Q13" s="17" t="n">
        <f aca="false">IF(ISNUMBER(kinematics!P23),kinematics!P23,0)</f>
        <v>0</v>
      </c>
    </row>
    <row r="14" customFormat="false" ht="12.75" hidden="false" customHeight="false" outlineLevel="0" collapsed="false">
      <c r="B14" s="1" t="n">
        <f aca="false">kinematics!B24</f>
        <v>170</v>
      </c>
      <c r="C14" s="17" t="str">
        <f aca="false">kinematics!F24</f>
        <v>none</v>
      </c>
      <c r="P14" s="1" t="n">
        <f aca="false">B14</f>
        <v>170</v>
      </c>
      <c r="Q14" s="17" t="n">
        <f aca="false">IF(ISNUMBER(kinematics!P24),kinematics!P24,0)</f>
        <v>0</v>
      </c>
    </row>
    <row r="15" customFormat="false" ht="12.75" hidden="false" customHeight="false" outlineLevel="0" collapsed="false">
      <c r="B15" s="1" t="n">
        <f aca="false">kinematics!B25</f>
        <v>175</v>
      </c>
      <c r="C15" s="17" t="str">
        <f aca="false">kinematics!F25</f>
        <v>none</v>
      </c>
      <c r="P15" s="1" t="n">
        <f aca="false">B15</f>
        <v>175</v>
      </c>
      <c r="Q15" s="17" t="n">
        <f aca="false">IF(ISNUMBER(kinematics!P25),kinematics!P25,0)</f>
        <v>0</v>
      </c>
    </row>
    <row r="16" customFormat="false" ht="12.75" hidden="false" customHeight="false" outlineLevel="0" collapsed="false">
      <c r="B16" s="1" t="n">
        <f aca="false">kinematics!B26</f>
        <v>180</v>
      </c>
      <c r="C16" s="17" t="str">
        <f aca="false">kinematics!F26</f>
        <v>none</v>
      </c>
      <c r="P16" s="1" t="n">
        <f aca="false">B16</f>
        <v>180</v>
      </c>
      <c r="Q16" s="17" t="n">
        <f aca="false">IF(ISNUMBER(kinematics!P26),kinematics!P26,0)</f>
        <v>0</v>
      </c>
    </row>
    <row r="19" customFormat="false" ht="12.75" hidden="false" customHeight="false" outlineLevel="0" collapsed="false">
      <c r="B19" s="5" t="s">
        <v>62</v>
      </c>
      <c r="C19" s="5"/>
    </row>
    <row r="21" customFormat="false" ht="12.75" hidden="false" customHeight="false" outlineLevel="0" collapsed="false">
      <c r="B21" s="1" t="n">
        <f aca="false">B6</f>
        <v>130</v>
      </c>
      <c r="C21" s="27" t="str">
        <f aca="false">kinematics!J16</f>
        <v> </v>
      </c>
      <c r="P21" s="1" t="n">
        <f aca="false">P6</f>
        <v>130</v>
      </c>
      <c r="Q21" s="17" t="n">
        <f aca="false">IF(ISNUMBER(kinematics!R16),kinematics!R16,0)</f>
        <v>0</v>
      </c>
    </row>
    <row r="22" customFormat="false" ht="12.75" hidden="false" customHeight="false" outlineLevel="0" collapsed="false">
      <c r="B22" s="1" t="n">
        <f aca="false">B7</f>
        <v>135</v>
      </c>
      <c r="C22" s="27" t="str">
        <f aca="false">kinematics!J17</f>
        <v> </v>
      </c>
      <c r="P22" s="1" t="n">
        <f aca="false">P7</f>
        <v>135</v>
      </c>
      <c r="Q22" s="17" t="n">
        <f aca="false">IF(ISNUMBER(kinematics!R17),kinematics!R17,0)</f>
        <v>0</v>
      </c>
    </row>
    <row r="23" customFormat="false" ht="12.75" hidden="false" customHeight="false" outlineLevel="0" collapsed="false">
      <c r="B23" s="1" t="n">
        <f aca="false">B8</f>
        <v>140</v>
      </c>
      <c r="C23" s="27" t="str">
        <f aca="false">kinematics!J18</f>
        <v> </v>
      </c>
      <c r="P23" s="1" t="n">
        <f aca="false">P8</f>
        <v>140</v>
      </c>
      <c r="Q23" s="17" t="n">
        <f aca="false">IF(ISNUMBER(kinematics!R18),kinematics!R18,0)</f>
        <v>0</v>
      </c>
    </row>
    <row r="24" customFormat="false" ht="12.75" hidden="false" customHeight="false" outlineLevel="0" collapsed="false">
      <c r="B24" s="1" t="n">
        <f aca="false">B9</f>
        <v>145</v>
      </c>
      <c r="C24" s="27" t="str">
        <f aca="false">kinematics!J19</f>
        <v> </v>
      </c>
      <c r="P24" s="1" t="n">
        <f aca="false">P9</f>
        <v>145</v>
      </c>
      <c r="Q24" s="17" t="n">
        <f aca="false">IF(ISNUMBER(kinematics!R19),kinematics!R19,0)</f>
        <v>0</v>
      </c>
    </row>
    <row r="25" customFormat="false" ht="12.75" hidden="false" customHeight="false" outlineLevel="0" collapsed="false">
      <c r="B25" s="1" t="n">
        <f aca="false">B10</f>
        <v>150</v>
      </c>
      <c r="C25" s="27" t="str">
        <f aca="false">kinematics!J20</f>
        <v> </v>
      </c>
      <c r="P25" s="1" t="n">
        <f aca="false">P10</f>
        <v>150</v>
      </c>
      <c r="Q25" s="17" t="n">
        <f aca="false">IF(ISNUMBER(kinematics!R20),kinematics!R20,0)</f>
        <v>0</v>
      </c>
    </row>
    <row r="26" customFormat="false" ht="12.75" hidden="false" customHeight="false" outlineLevel="0" collapsed="false">
      <c r="B26" s="1" t="n">
        <f aca="false">B11</f>
        <v>155</v>
      </c>
      <c r="C26" s="27" t="str">
        <f aca="false">kinematics!J21</f>
        <v> </v>
      </c>
      <c r="P26" s="1" t="n">
        <f aca="false">P11</f>
        <v>155</v>
      </c>
      <c r="Q26" s="17" t="n">
        <f aca="false">IF(ISNUMBER(kinematics!R21),kinematics!R21,0)</f>
        <v>0</v>
      </c>
    </row>
    <row r="27" customFormat="false" ht="12.75" hidden="false" customHeight="false" outlineLevel="0" collapsed="false">
      <c r="B27" s="1" t="n">
        <f aca="false">B12</f>
        <v>160</v>
      </c>
      <c r="C27" s="27" t="str">
        <f aca="false">kinematics!J22</f>
        <v> </v>
      </c>
      <c r="P27" s="1" t="n">
        <f aca="false">P12</f>
        <v>160</v>
      </c>
      <c r="Q27" s="17" t="n">
        <f aca="false">IF(ISNUMBER(kinematics!R22),kinematics!R22,0)</f>
        <v>0</v>
      </c>
    </row>
    <row r="28" customFormat="false" ht="12.75" hidden="false" customHeight="false" outlineLevel="0" collapsed="false">
      <c r="B28" s="1" t="n">
        <f aca="false">B13</f>
        <v>165</v>
      </c>
      <c r="C28" s="27" t="str">
        <f aca="false">kinematics!J23</f>
        <v> </v>
      </c>
      <c r="P28" s="1" t="n">
        <f aca="false">P13</f>
        <v>165</v>
      </c>
      <c r="Q28" s="17" t="n">
        <f aca="false">IF(ISNUMBER(kinematics!R23),kinematics!R23,0)</f>
        <v>0</v>
      </c>
    </row>
    <row r="29" customFormat="false" ht="12.75" hidden="false" customHeight="false" outlineLevel="0" collapsed="false">
      <c r="B29" s="1" t="n">
        <f aca="false">B14</f>
        <v>170</v>
      </c>
      <c r="C29" s="27" t="str">
        <f aca="false">kinematics!J24</f>
        <v> </v>
      </c>
      <c r="P29" s="1" t="n">
        <f aca="false">P14</f>
        <v>170</v>
      </c>
      <c r="Q29" s="17" t="n">
        <f aca="false">IF(ISNUMBER(kinematics!R24),kinematics!R24,0)</f>
        <v>0</v>
      </c>
    </row>
    <row r="30" customFormat="false" ht="12.75" hidden="false" customHeight="false" outlineLevel="0" collapsed="false">
      <c r="B30" s="1" t="n">
        <f aca="false">B15</f>
        <v>175</v>
      </c>
      <c r="C30" s="27" t="str">
        <f aca="false">kinematics!J25</f>
        <v> </v>
      </c>
      <c r="P30" s="1" t="n">
        <f aca="false">P15</f>
        <v>175</v>
      </c>
      <c r="Q30" s="17" t="n">
        <f aca="false">IF(ISNUMBER(kinematics!R25),kinematics!R25,0)</f>
        <v>0</v>
      </c>
    </row>
    <row r="31" customFormat="false" ht="12.75" hidden="false" customHeight="false" outlineLevel="0" collapsed="false">
      <c r="B31" s="1" t="n">
        <f aca="false">B16</f>
        <v>180</v>
      </c>
      <c r="C31" s="27" t="str">
        <f aca="false">kinematics!J26</f>
        <v> </v>
      </c>
      <c r="P31" s="1" t="n">
        <f aca="false">P16</f>
        <v>180</v>
      </c>
      <c r="Q31" s="17" t="n">
        <f aca="false">IF(ISNUMBER(kinematics!R26),kinematics!R26,0)</f>
        <v>0</v>
      </c>
    </row>
    <row r="34" customFormat="false" ht="12.75" hidden="false" customHeight="false" outlineLevel="0" collapsed="false">
      <c r="B34" s="5" t="s">
        <v>63</v>
      </c>
      <c r="C34" s="5"/>
    </row>
    <row r="36" customFormat="false" ht="12.75" hidden="false" customHeight="false" outlineLevel="0" collapsed="false">
      <c r="B36" s="1" t="n">
        <f aca="false">B21</f>
        <v>130</v>
      </c>
      <c r="C36" s="17" t="str">
        <f aca="false">kinematics!L16</f>
        <v> </v>
      </c>
      <c r="P36" s="1" t="n">
        <f aca="false">P21</f>
        <v>130</v>
      </c>
      <c r="Q36" s="17" t="str">
        <f aca="false">kinematics!S16</f>
        <v> </v>
      </c>
    </row>
    <row r="37" customFormat="false" ht="12.75" hidden="false" customHeight="false" outlineLevel="0" collapsed="false">
      <c r="B37" s="1" t="n">
        <f aca="false">B22</f>
        <v>135</v>
      </c>
      <c r="C37" s="17" t="str">
        <f aca="false">kinematics!L17</f>
        <v> </v>
      </c>
      <c r="P37" s="1" t="n">
        <f aca="false">P22</f>
        <v>135</v>
      </c>
      <c r="Q37" s="17" t="str">
        <f aca="false">kinematics!S17</f>
        <v> </v>
      </c>
    </row>
    <row r="38" customFormat="false" ht="12.75" hidden="false" customHeight="false" outlineLevel="0" collapsed="false">
      <c r="B38" s="1" t="n">
        <f aca="false">B23</f>
        <v>140</v>
      </c>
      <c r="C38" s="17" t="str">
        <f aca="false">kinematics!L18</f>
        <v> </v>
      </c>
      <c r="P38" s="1" t="n">
        <f aca="false">P23</f>
        <v>140</v>
      </c>
      <c r="Q38" s="17" t="str">
        <f aca="false">kinematics!S18</f>
        <v> </v>
      </c>
    </row>
    <row r="39" customFormat="false" ht="12.75" hidden="false" customHeight="false" outlineLevel="0" collapsed="false">
      <c r="B39" s="1" t="n">
        <f aca="false">B24</f>
        <v>145</v>
      </c>
      <c r="C39" s="17" t="str">
        <f aca="false">kinematics!L19</f>
        <v> </v>
      </c>
      <c r="P39" s="1" t="n">
        <f aca="false">P24</f>
        <v>145</v>
      </c>
      <c r="Q39" s="17" t="str">
        <f aca="false">kinematics!S19</f>
        <v> </v>
      </c>
    </row>
    <row r="40" customFormat="false" ht="12.75" hidden="false" customHeight="false" outlineLevel="0" collapsed="false">
      <c r="B40" s="1" t="n">
        <f aca="false">B25</f>
        <v>150</v>
      </c>
      <c r="C40" s="17" t="str">
        <f aca="false">kinematics!L20</f>
        <v> </v>
      </c>
      <c r="P40" s="1" t="n">
        <f aca="false">P25</f>
        <v>150</v>
      </c>
      <c r="Q40" s="17" t="str">
        <f aca="false">kinematics!S20</f>
        <v> </v>
      </c>
    </row>
    <row r="41" customFormat="false" ht="12.75" hidden="false" customHeight="false" outlineLevel="0" collapsed="false">
      <c r="B41" s="1" t="n">
        <f aca="false">B26</f>
        <v>155</v>
      </c>
      <c r="C41" s="17" t="str">
        <f aca="false">kinematics!L21</f>
        <v> </v>
      </c>
      <c r="P41" s="1" t="n">
        <f aca="false">P26</f>
        <v>155</v>
      </c>
      <c r="Q41" s="17" t="str">
        <f aca="false">kinematics!S21</f>
        <v> </v>
      </c>
    </row>
    <row r="42" customFormat="false" ht="12.75" hidden="false" customHeight="false" outlineLevel="0" collapsed="false">
      <c r="B42" s="1" t="n">
        <f aca="false">B27</f>
        <v>160</v>
      </c>
      <c r="C42" s="17" t="str">
        <f aca="false">kinematics!L22</f>
        <v> </v>
      </c>
      <c r="P42" s="1" t="n">
        <f aca="false">P27</f>
        <v>160</v>
      </c>
      <c r="Q42" s="17" t="str">
        <f aca="false">kinematics!S22</f>
        <v> </v>
      </c>
    </row>
    <row r="43" customFormat="false" ht="12.75" hidden="false" customHeight="false" outlineLevel="0" collapsed="false">
      <c r="B43" s="1" t="n">
        <f aca="false">B28</f>
        <v>165</v>
      </c>
      <c r="C43" s="17" t="str">
        <f aca="false">kinematics!L23</f>
        <v> </v>
      </c>
      <c r="P43" s="1" t="n">
        <f aca="false">P28</f>
        <v>165</v>
      </c>
      <c r="Q43" s="17" t="str">
        <f aca="false">kinematics!S23</f>
        <v> </v>
      </c>
    </row>
    <row r="44" customFormat="false" ht="12.75" hidden="false" customHeight="false" outlineLevel="0" collapsed="false">
      <c r="B44" s="1" t="n">
        <f aca="false">B29</f>
        <v>170</v>
      </c>
      <c r="C44" s="17" t="str">
        <f aca="false">kinematics!L24</f>
        <v> </v>
      </c>
      <c r="P44" s="1" t="n">
        <f aca="false">P29</f>
        <v>170</v>
      </c>
      <c r="Q44" s="17" t="str">
        <f aca="false">kinematics!S24</f>
        <v> </v>
      </c>
    </row>
    <row r="45" customFormat="false" ht="12.75" hidden="false" customHeight="false" outlineLevel="0" collapsed="false">
      <c r="B45" s="1" t="n">
        <f aca="false">B30</f>
        <v>175</v>
      </c>
      <c r="C45" s="17" t="str">
        <f aca="false">kinematics!L25</f>
        <v> </v>
      </c>
      <c r="P45" s="1" t="n">
        <f aca="false">P30</f>
        <v>175</v>
      </c>
      <c r="Q45" s="17" t="str">
        <f aca="false">kinematics!S25</f>
        <v> </v>
      </c>
    </row>
    <row r="46" customFormat="false" ht="12.75" hidden="false" customHeight="false" outlineLevel="0" collapsed="false">
      <c r="B46" s="1" t="n">
        <f aca="false">B31</f>
        <v>180</v>
      </c>
      <c r="C46" s="17" t="str">
        <f aca="false">kinematics!L26</f>
        <v> </v>
      </c>
      <c r="P46" s="1" t="n">
        <f aca="false">P31</f>
        <v>180</v>
      </c>
      <c r="Q46" s="17" t="str">
        <f aca="false">kinematics!S26</f>
        <v> </v>
      </c>
    </row>
    <row r="49" customFormat="false" ht="12.75" hidden="false" customHeight="false" outlineLevel="0" collapsed="false">
      <c r="B49" s="5" t="s">
        <v>64</v>
      </c>
      <c r="C49" s="5"/>
    </row>
    <row r="51" customFormat="false" ht="12.75" hidden="false" customHeight="false" outlineLevel="0" collapsed="false">
      <c r="B51" s="27" t="str">
        <f aca="false">C21</f>
        <v> </v>
      </c>
      <c r="C51" s="17" t="str">
        <f aca="false">C36</f>
        <v> </v>
      </c>
      <c r="P51" s="17" t="n">
        <f aca="false">Q21</f>
        <v>0</v>
      </c>
      <c r="Q51" s="17" t="str">
        <f aca="false">Q36</f>
        <v> </v>
      </c>
    </row>
    <row r="52" customFormat="false" ht="12.75" hidden="false" customHeight="false" outlineLevel="0" collapsed="false">
      <c r="B52" s="27" t="str">
        <f aca="false">C22</f>
        <v> </v>
      </c>
      <c r="C52" s="17" t="str">
        <f aca="false">C37</f>
        <v> </v>
      </c>
      <c r="P52" s="17" t="n">
        <f aca="false">Q22</f>
        <v>0</v>
      </c>
      <c r="Q52" s="17" t="str">
        <f aca="false">Q37</f>
        <v> </v>
      </c>
    </row>
    <row r="53" customFormat="false" ht="12.75" hidden="false" customHeight="false" outlineLevel="0" collapsed="false">
      <c r="B53" s="27" t="str">
        <f aca="false">C23</f>
        <v> </v>
      </c>
      <c r="C53" s="17" t="str">
        <f aca="false">C38</f>
        <v> </v>
      </c>
      <c r="P53" s="17" t="n">
        <f aca="false">Q23</f>
        <v>0</v>
      </c>
      <c r="Q53" s="17" t="str">
        <f aca="false">Q38</f>
        <v> </v>
      </c>
    </row>
    <row r="54" customFormat="false" ht="12.75" hidden="false" customHeight="false" outlineLevel="0" collapsed="false">
      <c r="B54" s="27" t="str">
        <f aca="false">C24</f>
        <v> </v>
      </c>
      <c r="C54" s="17" t="str">
        <f aca="false">C39</f>
        <v> </v>
      </c>
      <c r="P54" s="17" t="n">
        <f aca="false">Q24</f>
        <v>0</v>
      </c>
      <c r="Q54" s="17" t="str">
        <f aca="false">Q39</f>
        <v> </v>
      </c>
    </row>
    <row r="55" customFormat="false" ht="12.75" hidden="false" customHeight="false" outlineLevel="0" collapsed="false">
      <c r="B55" s="27" t="str">
        <f aca="false">C25</f>
        <v> </v>
      </c>
      <c r="C55" s="17" t="str">
        <f aca="false">C40</f>
        <v> </v>
      </c>
      <c r="P55" s="17" t="n">
        <f aca="false">Q25</f>
        <v>0</v>
      </c>
      <c r="Q55" s="17" t="str">
        <f aca="false">Q40</f>
        <v> </v>
      </c>
    </row>
    <row r="56" customFormat="false" ht="12.75" hidden="false" customHeight="false" outlineLevel="0" collapsed="false">
      <c r="B56" s="27" t="str">
        <f aca="false">C26</f>
        <v> </v>
      </c>
      <c r="C56" s="17" t="str">
        <f aca="false">C41</f>
        <v> </v>
      </c>
      <c r="P56" s="17" t="n">
        <f aca="false">Q26</f>
        <v>0</v>
      </c>
      <c r="Q56" s="17" t="str">
        <f aca="false">Q41</f>
        <v> </v>
      </c>
    </row>
    <row r="57" customFormat="false" ht="12.75" hidden="false" customHeight="false" outlineLevel="0" collapsed="false">
      <c r="B57" s="27" t="str">
        <f aca="false">C27</f>
        <v> </v>
      </c>
      <c r="C57" s="17" t="str">
        <f aca="false">C42</f>
        <v> </v>
      </c>
      <c r="P57" s="17" t="n">
        <f aca="false">Q27</f>
        <v>0</v>
      </c>
      <c r="Q57" s="17" t="str">
        <f aca="false">Q42</f>
        <v> </v>
      </c>
    </row>
    <row r="58" customFormat="false" ht="12.75" hidden="false" customHeight="false" outlineLevel="0" collapsed="false">
      <c r="B58" s="27" t="str">
        <f aca="false">C28</f>
        <v> </v>
      </c>
      <c r="C58" s="17" t="str">
        <f aca="false">C43</f>
        <v> </v>
      </c>
      <c r="P58" s="17" t="n">
        <f aca="false">Q28</f>
        <v>0</v>
      </c>
      <c r="Q58" s="17" t="str">
        <f aca="false">Q43</f>
        <v> </v>
      </c>
    </row>
    <row r="59" customFormat="false" ht="12.75" hidden="false" customHeight="false" outlineLevel="0" collapsed="false">
      <c r="B59" s="27" t="str">
        <f aca="false">C29</f>
        <v> </v>
      </c>
      <c r="C59" s="17" t="str">
        <f aca="false">C44</f>
        <v> </v>
      </c>
      <c r="P59" s="17" t="n">
        <f aca="false">Q29</f>
        <v>0</v>
      </c>
      <c r="Q59" s="17" t="str">
        <f aca="false">Q44</f>
        <v> </v>
      </c>
    </row>
    <row r="60" customFormat="false" ht="12.75" hidden="false" customHeight="false" outlineLevel="0" collapsed="false">
      <c r="B60" s="27" t="str">
        <f aca="false">C30</f>
        <v> </v>
      </c>
      <c r="C60" s="17" t="str">
        <f aca="false">C45</f>
        <v> </v>
      </c>
      <c r="P60" s="17" t="n">
        <f aca="false">Q30</f>
        <v>0</v>
      </c>
      <c r="Q60" s="17" t="str">
        <f aca="false">Q45</f>
        <v> </v>
      </c>
    </row>
    <row r="61" customFormat="false" ht="12.75" hidden="false" customHeight="false" outlineLevel="0" collapsed="false">
      <c r="B61" s="27" t="str">
        <f aca="false">C31</f>
        <v> </v>
      </c>
      <c r="C61" s="17" t="str">
        <f aca="false">C46</f>
        <v> </v>
      </c>
      <c r="P61" s="17" t="n">
        <f aca="false">Q31</f>
        <v>0</v>
      </c>
      <c r="Q61" s="17" t="str">
        <f aca="false">Q46</f>
        <v> </v>
      </c>
    </row>
  </sheetData>
  <sheetProtection algorithmName="SHA-512" hashValue="fkp97BHAiMcxbO+05yPEc4v68y2oWR/G8hgFNE7ADHHWRBtRaJ6oApOp5b68rXCObMaEXJQ8rp/tUKzUJoxJjg==" saltValue="mqDiLznycj8yDWSnPJ27lg==" spinCount="100000" sheet="true" objects="true" scenarios="true"/>
  <mergeCells count="5">
    <mergeCell ref="B3:C3"/>
    <mergeCell ref="P3:Q3"/>
    <mergeCell ref="B19:C19"/>
    <mergeCell ref="B34:C34"/>
    <mergeCell ref="B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/>
  <sheetProtection sheet="true" objects="true"/>
  <printOptions headings="false" gridLines="false" gridLinesSet="true" horizontalCentered="false" verticalCentered="false"/>
  <pageMargins left="0.75" right="0.75" top="1" bottom="1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/>
  <sheetProtection sheet="true" objects="true"/>
  <printOptions headings="false" gridLines="false" gridLinesSet="true" horizontalCentered="false" verticalCentered="false"/>
  <pageMargins left="0.75" right="0.75" top="1" bottom="1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13"/>
  <sheetViews>
    <sheetView showFormulas="false" showGridLines="true" showRowColHeaders="true" showZeros="true" rightToLeft="false" tabSelected="false" showOutlineSymbols="true" defaultGridColor="true" view="normal" topLeftCell="A53" colorId="64" zoomScale="75" zoomScaleNormal="75" zoomScalePageLayoutView="100" workbookViewId="0">
      <selection pane="topLeft" activeCell="S12" activeCellId="0" sqref="S12"/>
    </sheetView>
  </sheetViews>
  <sheetFormatPr defaultColWidth="8.83203125" defaultRowHeight="12.75" zeroHeight="false" outlineLevelRow="0" outlineLevelCol="0"/>
  <cols>
    <col collapsed="false" customWidth="false" hidden="false" outlineLevel="0" max="1" min="1" style="29" width="8.83"/>
    <col collapsed="false" customWidth="true" hidden="false" outlineLevel="0" max="5" min="5" style="1" width="10"/>
    <col collapsed="false" customWidth="true" hidden="false" outlineLevel="0" max="10" min="10" style="1" width="9.67"/>
    <col collapsed="false" customWidth="true" hidden="false" outlineLevel="0" max="14" min="14" style="1" width="12.5"/>
    <col collapsed="false" customWidth="false" hidden="false" outlineLevel="0" max="17" min="16" style="29" width="8.83"/>
  </cols>
  <sheetData>
    <row r="1" customFormat="false" ht="12.75" hidden="false" customHeight="false" outlineLevel="0" collapsed="false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customFormat="false" ht="12.75" hidden="false" customHeight="false" outlineLevel="0" collapsed="false">
      <c r="B2" s="30" t="s">
        <v>1</v>
      </c>
      <c r="C2" s="30" t="s">
        <v>65</v>
      </c>
      <c r="D2" s="30" t="s">
        <v>8</v>
      </c>
      <c r="E2" s="30" t="s">
        <v>66</v>
      </c>
      <c r="F2" s="30" t="s">
        <v>67</v>
      </c>
      <c r="G2" s="30" t="s">
        <v>68</v>
      </c>
      <c r="H2" s="30" t="s">
        <v>69</v>
      </c>
      <c r="I2" s="30" t="s">
        <v>70</v>
      </c>
      <c r="J2" s="30" t="s">
        <v>71</v>
      </c>
      <c r="K2" s="30" t="s">
        <v>72</v>
      </c>
      <c r="L2" s="29"/>
      <c r="M2" s="29"/>
      <c r="N2" s="20" t="s">
        <v>73</v>
      </c>
      <c r="O2" s="20"/>
      <c r="P2" s="20"/>
    </row>
    <row r="3" customFormat="false" ht="13.5" hidden="false" customHeight="false" outlineLevel="0" collapsed="false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customFormat="false" ht="12.75" hidden="false" customHeight="false" outlineLevel="0" collapsed="false">
      <c r="B4" s="31" t="s">
        <v>74</v>
      </c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3"/>
    </row>
    <row r="5" customFormat="false" ht="12.75" hidden="false" customHeight="false" outlineLevel="0" collapsed="false">
      <c r="B5" s="34"/>
      <c r="E5" s="35" t="s">
        <v>75</v>
      </c>
      <c r="F5" s="36" t="n">
        <v>17</v>
      </c>
      <c r="H5" s="37" t="s">
        <v>76</v>
      </c>
      <c r="I5" s="38" t="s">
        <v>11</v>
      </c>
      <c r="J5" s="39" t="s">
        <v>77</v>
      </c>
      <c r="K5" s="39"/>
      <c r="L5" s="39" t="s">
        <v>28</v>
      </c>
      <c r="M5" s="39"/>
      <c r="N5" s="40" t="s">
        <v>78</v>
      </c>
      <c r="O5" s="40"/>
    </row>
    <row r="6" customFormat="false" ht="13.5" hidden="false" customHeight="false" outlineLevel="0" collapsed="false">
      <c r="B6" s="34"/>
      <c r="E6" s="7" t="s">
        <v>10</v>
      </c>
      <c r="H6" s="39" t="n">
        <f aca="true">VLOOKUP(E5,INDIRECT(ADDRESS(MATCH(F5,A_values,0),4,1,TRUE(),"mass_rmd.mas")):INDIRECT(ADDRESS(MATCH(F5+1,A_values,0)-1,7,1,TRUE(),"mass_rmd.mas")),4,FALSE())/1000</f>
        <v>7.870079</v>
      </c>
      <c r="I6" s="39"/>
      <c r="J6" s="39" t="n">
        <f aca="false">F5+H6/'mass_rmd.mas'!A2</f>
        <v>17.0084488088909</v>
      </c>
      <c r="K6" s="39"/>
      <c r="L6" s="39" t="n">
        <f aca="false">F5*'mass_rmd.mas'!A2+H6</f>
        <v>15843.397279</v>
      </c>
      <c r="M6" s="39"/>
      <c r="N6" s="40" t="n">
        <f aca="false">L6/0.511006*9.1/1E+032</f>
        <v>2.82139378478726E-027</v>
      </c>
      <c r="O6" s="40"/>
    </row>
    <row r="7" customFormat="false" ht="13.5" hidden="false" customHeight="false" outlineLevel="0" collapsed="false">
      <c r="B7" s="41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42"/>
    </row>
    <row r="8" customFormat="false" ht="13.5" hidden="false" customHeight="false" outlineLevel="0" collapsed="false"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customFormat="false" ht="12.75" hidden="false" customHeight="false" outlineLevel="0" collapsed="false">
      <c r="B9" s="31" t="s">
        <v>79</v>
      </c>
      <c r="C9" s="31"/>
      <c r="D9" s="32"/>
      <c r="E9" s="32"/>
      <c r="F9" s="32"/>
      <c r="G9" s="32"/>
      <c r="H9" s="32"/>
      <c r="I9" s="32"/>
      <c r="J9" s="32"/>
      <c r="K9" s="32"/>
      <c r="L9" s="32"/>
      <c r="M9" s="43" t="str">
        <f aca="false">CONCATENATE("(",E11,TEXT(F11,"0"),"/",E12,TEXT(F12,"0"),")")</f>
        <v>(he4/he4)</v>
      </c>
      <c r="N9" s="32"/>
      <c r="O9" s="44" t="str">
        <f aca="false">CONCATENATE("(",E10,"-",TEXT(F10,"0"),")")</f>
        <v>(ne-24)</v>
      </c>
    </row>
    <row r="10" customFormat="false" ht="12.75" hidden="false" customHeight="false" outlineLevel="0" collapsed="false">
      <c r="B10" s="34"/>
      <c r="E10" s="45" t="s">
        <v>80</v>
      </c>
      <c r="F10" s="13" t="n">
        <v>24</v>
      </c>
      <c r="G10" s="46" t="s">
        <v>81</v>
      </c>
      <c r="H10" s="46"/>
      <c r="I10" s="4"/>
      <c r="J10" s="47"/>
      <c r="K10" s="47"/>
      <c r="L10" s="48" t="s">
        <v>82</v>
      </c>
      <c r="M10" s="49" t="s">
        <v>82</v>
      </c>
      <c r="O10" s="50" t="s">
        <v>82</v>
      </c>
    </row>
    <row r="11" customFormat="false" ht="12.75" hidden="false" customHeight="false" outlineLevel="0" collapsed="false">
      <c r="B11" s="51" t="s">
        <v>83</v>
      </c>
      <c r="C11" s="51"/>
      <c r="D11" s="52" t="s">
        <v>84</v>
      </c>
      <c r="E11" s="12" t="s">
        <v>85</v>
      </c>
      <c r="F11" s="13" t="n">
        <v>4</v>
      </c>
      <c r="G11" s="53" t="n">
        <f aca="false">(L11+M11)-O11</f>
        <v>12.17273361</v>
      </c>
      <c r="H11" s="53"/>
      <c r="I11" s="54" t="str">
        <f aca="false">IF(AND(ISNUMBER(F11),ISTEXT(E11)),"to make"," ")</f>
        <v>to make</v>
      </c>
      <c r="J11" s="2" t="str">
        <f aca="false">INDEX(Symbol_values,MATCH(INDEX(Z_values,MATCH(E10,Symbol_values,0))-INDEX(Z_values,MATCH(E11,Symbol_values,0)),Z_values,0))</f>
        <v>O</v>
      </c>
      <c r="K11" s="3" t="n">
        <f aca="false">F10-F11</f>
        <v>20</v>
      </c>
      <c r="L11" s="55" t="n">
        <f aca="true">VLOOKUP(J11,INDIRECT(ADDRESS(MATCH(K11,A_values,0),4,1,TRUE(),"mass_rmd.mas")):INDIRECT(ADDRESS(MATCH(K11+1,A_values,0)-1,7,1,TRUE(),"mass_rmd.mas")),4,FALSE())/1000</f>
        <v>3.796172</v>
      </c>
      <c r="M11" s="55" t="n">
        <f aca="true">VLOOKUP(E11,INDIRECT(ADDRESS(MATCH(F11,A_values,0),4,1,TRUE(),"mass_rmd.mas")):INDIRECT(ADDRESS(MATCH(F11+1,A_values,0)-1,7,1,TRUE(),"mass_rmd.mas")),4,FALSE())/1000</f>
        <v>2.42491561</v>
      </c>
      <c r="O11" s="56" t="n">
        <f aca="true">VLOOKUP(E10,INDIRECT(ADDRESS(MATCH(F10,A_values,0),4,1,TRUE(),"mass_rmd.mas")):INDIRECT(ADDRESS(MATCH(F10+1,A_values,0)-1,7,1,TRUE(),"mass_rmd.mas")),4,FALSE())/1000</f>
        <v>-5.951646</v>
      </c>
    </row>
    <row r="12" customFormat="false" ht="12.75" hidden="false" customHeight="false" outlineLevel="0" collapsed="false">
      <c r="B12" s="57" t="s">
        <v>86</v>
      </c>
      <c r="D12" s="52" t="s">
        <v>87</v>
      </c>
      <c r="E12" s="45" t="s">
        <v>85</v>
      </c>
      <c r="F12" s="13" t="n">
        <v>4</v>
      </c>
      <c r="G12" s="53" t="n">
        <f aca="false">(O11+M12)-L12</f>
        <v>11.49211461</v>
      </c>
      <c r="H12" s="53"/>
      <c r="I12" s="54" t="str">
        <f aca="false">IF(AND(ISNUMBER(F12),ISTEXT(E12)),"to make"," ")</f>
        <v>to make</v>
      </c>
      <c r="J12" s="2" t="str">
        <f aca="false">INDEX(Symbol_values,MATCH(INDEX(Z_values,MATCH(E10,Symbol_values,0))+INDEX(Z_values,MATCH(E12,Symbol_values,0)),Z_values,0))</f>
        <v>Mg</v>
      </c>
      <c r="K12" s="3" t="n">
        <f aca="false">F10+F12</f>
        <v>28</v>
      </c>
      <c r="L12" s="55" t="n">
        <f aca="true">VLOOKUP(J12,INDIRECT(ADDRESS(MATCH(K12,A_values,0),4,1,TRUE(),"mass_rmd.mas")):INDIRECT(ADDRESS(MATCH(K12+1,A_values,0)-1,7,1,TRUE(),"mass_rmd.mas")),4,FALSE())/1000</f>
        <v>-15.018845</v>
      </c>
      <c r="M12" s="55" t="n">
        <f aca="true">VLOOKUP(E12,INDIRECT(ADDRESS(MATCH(F12,A_values,0),4,1,TRUE(),"mass_rmd.mas")):INDIRECT(ADDRESS(MATCH(F12+1,A_values,0)-1,7,1,TRUE(),"mass_rmd.mas")),4,FALSE())/1000</f>
        <v>2.42491561</v>
      </c>
      <c r="O12" s="58"/>
    </row>
    <row r="13" customFormat="false" ht="13.5" hidden="false" customHeight="false" outlineLevel="0" collapsed="false">
      <c r="B13" s="59"/>
      <c r="C13" s="6"/>
      <c r="D13" s="60"/>
      <c r="E13" s="11"/>
      <c r="F13" s="11"/>
      <c r="G13" s="11"/>
      <c r="H13" s="11"/>
      <c r="I13" s="61"/>
      <c r="J13" s="11"/>
      <c r="K13" s="8"/>
      <c r="L13" s="62"/>
      <c r="M13" s="62"/>
      <c r="N13" s="6"/>
      <c r="O13" s="63"/>
    </row>
    <row r="14" customFormat="false" ht="13.5" hidden="false" customHeight="false" outlineLevel="0" collapsed="false">
      <c r="B14" s="64"/>
      <c r="C14" s="29"/>
      <c r="D14" s="65"/>
      <c r="E14" s="66"/>
      <c r="F14" s="66"/>
      <c r="G14" s="66"/>
      <c r="H14" s="66"/>
      <c r="I14" s="67"/>
      <c r="J14" s="66"/>
      <c r="K14" s="68"/>
      <c r="L14" s="69"/>
      <c r="M14" s="69"/>
      <c r="N14" s="29"/>
      <c r="O14" s="70"/>
    </row>
    <row r="15" customFormat="false" ht="12.75" hidden="false" customHeight="false" outlineLevel="0" collapsed="false">
      <c r="B15" s="7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3"/>
    </row>
    <row r="16" customFormat="false" ht="12.75" hidden="false" customHeight="false" outlineLevel="0" collapsed="false">
      <c r="B16" s="72" t="s">
        <v>88</v>
      </c>
      <c r="C16" s="72"/>
      <c r="E16" s="5" t="s">
        <v>89</v>
      </c>
      <c r="F16" s="5"/>
      <c r="G16" s="5" t="s">
        <v>90</v>
      </c>
      <c r="H16" s="5"/>
      <c r="I16" s="5" t="s">
        <v>91</v>
      </c>
      <c r="J16" s="5"/>
      <c r="L16" s="73" t="s">
        <v>92</v>
      </c>
      <c r="M16" s="73"/>
      <c r="O16" s="74"/>
    </row>
    <row r="17" customFormat="false" ht="12.75" hidden="false" customHeight="false" outlineLevel="0" collapsed="false">
      <c r="B17" s="75" t="s">
        <v>93</v>
      </c>
      <c r="C17" s="75"/>
      <c r="E17" s="35" t="s">
        <v>94</v>
      </c>
      <c r="F17" s="36" t="n">
        <v>10</v>
      </c>
      <c r="G17" s="35" t="s">
        <v>95</v>
      </c>
      <c r="H17" s="36" t="n">
        <v>1</v>
      </c>
      <c r="I17" s="35" t="s">
        <v>85</v>
      </c>
      <c r="J17" s="36" t="n">
        <v>3</v>
      </c>
      <c r="L17" s="76" t="str">
        <f aca="false">INDEX(Symbol_values,MATCH(INDEX(Z_values,MATCH(E17,Symbol_values,0))+INDEX(Z_values,MATCH(G17,Symbol_values,0))-INDEX(Z_values,MATCH(I17,Symbol_values,0)),Z_values,0))</f>
        <v>Li</v>
      </c>
      <c r="M17" s="77" t="n">
        <f aca="false">F17+H17-J17</f>
        <v>8</v>
      </c>
      <c r="O17" s="74"/>
    </row>
    <row r="18" customFormat="false" ht="12.75" hidden="false" customHeight="false" outlineLevel="0" collapsed="false">
      <c r="B18" s="78"/>
      <c r="C18" s="4"/>
      <c r="D18" s="79" t="s">
        <v>96</v>
      </c>
      <c r="E18" s="39" t="n">
        <f aca="true">VLOOKUP(E17,INDIRECT(ADDRESS(MATCH(F17,A_values,0),4,1,TRUE(),"mass_rmd.mas")):INDIRECT(ADDRESS(MATCH(F17+1,A_values,0)-1,7,1,TRUE(),"mass_rmd.mas")),4,FALSE())/1000</f>
        <v>12.607488</v>
      </c>
      <c r="F18" s="39"/>
      <c r="G18" s="39" t="n">
        <f aca="true">VLOOKUP(G17,INDIRECT(ADDRESS(MATCH(H17,A_values,0),4,1,TRUE(),"mass_rmd.mas")):INDIRECT(ADDRESS(MATCH(H17+1,A_values,0)-1,7,1,TRUE(),"mass_rmd.mas")),4,FALSE())/1000</f>
        <v>7.28897061</v>
      </c>
      <c r="H18" s="39"/>
      <c r="I18" s="39" t="n">
        <f aca="true">VLOOKUP(I17,INDIRECT(ADDRESS(MATCH(J17,A_values,0),4,1,TRUE(),"mass_rmd.mas")):INDIRECT(ADDRESS(MATCH(J17+1,A_values,0)-1,7,1,TRUE(),"mass_rmd.mas")),4,FALSE())/1000</f>
        <v>14.93121793</v>
      </c>
      <c r="J18" s="39"/>
      <c r="L18" s="39" t="n">
        <f aca="true">VLOOKUP(L17,INDIRECT(ADDRESS(MATCH(M17,A_values,0),4,1,TRUE(),"mass_rmd.mas")):INDIRECT(ADDRESS(MATCH(M17+1,A_values,0)-1,7,1,TRUE(),"mass_rmd.mas")),4,FALSE())/1000</f>
        <v>20.945804</v>
      </c>
      <c r="M18" s="39"/>
      <c r="O18" s="74"/>
    </row>
    <row r="19" customFormat="false" ht="12.75" hidden="false" customHeight="false" outlineLevel="0" collapsed="false">
      <c r="B19" s="34"/>
      <c r="G19" s="80" t="s">
        <v>97</v>
      </c>
      <c r="H19" s="53" t="n">
        <f aca="false">E18+G18-I18-L18</f>
        <v>-15.98056332</v>
      </c>
      <c r="I19" s="53"/>
      <c r="J19" s="80" t="s">
        <v>28</v>
      </c>
      <c r="O19" s="74"/>
    </row>
    <row r="20" customFormat="false" ht="12.75" hidden="false" customHeight="false" outlineLevel="0" collapsed="false">
      <c r="B20" s="34"/>
      <c r="G20" s="81" t="str">
        <f aca="false">CONCATENATE(INDEX(Symbol_values,MATCH(INDEX(Z_values,MATCH(E17,Symbol_values,0)),Z_values,0)),F17," ( ",INDEX(Symbol_values,MATCH(INDEX(Z_values,MATCH(G17,Symbol_values,0)),Z_values,0)),H17," , ",INDEX(Symbol_values,MATCH(INDEX(Z_values,MATCH(I17,Symbol_values,0)),Z_values,0)),J17," ) ",L17,M17)</f>
        <v>Be10 ( H1 , He3 ) Li8</v>
      </c>
      <c r="H20" s="81"/>
      <c r="I20" s="81"/>
      <c r="J20" s="81"/>
      <c r="L20" s="5" t="s">
        <v>98</v>
      </c>
      <c r="M20" s="5"/>
      <c r="O20" s="74"/>
    </row>
    <row r="21" customFormat="false" ht="12.75" hidden="false" customHeight="false" outlineLevel="0" collapsed="false">
      <c r="B21" s="34"/>
      <c r="G21" s="4"/>
      <c r="H21" s="4"/>
      <c r="I21" s="4"/>
      <c r="J21" s="4"/>
      <c r="L21" s="35" t="s">
        <v>99</v>
      </c>
      <c r="M21" s="36" t="n">
        <v>1</v>
      </c>
      <c r="N21" s="76" t="str">
        <f aca="false">INDEX(Symbol_values,MATCH(INDEX(Z_values,MATCH(L17,Symbol_values,0))-INDEX(Z_values,MATCH(L21,Symbol_values,0)),Z_values,0))</f>
        <v>Li</v>
      </c>
      <c r="O21" s="82" t="n">
        <f aca="false">M17-M21</f>
        <v>7</v>
      </c>
    </row>
    <row r="22" customFormat="false" ht="12.75" hidden="false" customHeight="false" outlineLevel="0" collapsed="false">
      <c r="B22" s="34"/>
      <c r="E22" s="5" t="s">
        <v>100</v>
      </c>
      <c r="F22" s="5"/>
      <c r="G22" s="80" t="s">
        <v>97</v>
      </c>
      <c r="H22" s="53" t="n">
        <f aca="false">E18+G18-I18-L22-N22</f>
        <v>-18.01318174</v>
      </c>
      <c r="I22" s="53"/>
      <c r="J22" s="80" t="s">
        <v>28</v>
      </c>
      <c r="L22" s="39" t="n">
        <f aca="true">VLOOKUP(L21,INDIRECT(ADDRESS(MATCH(M21,A_values,0),4,1,TRUE(),"mass_rmd.mas")):INDIRECT(ADDRESS(MATCH(M21+1,A_values,0)-1,7,1,TRUE(),"mass_rmd.mas")),4,FALSE())/1000</f>
        <v>8.07131713</v>
      </c>
      <c r="M22" s="39"/>
      <c r="N22" s="40" t="n">
        <f aca="true">VLOOKUP(N21,INDIRECT(ADDRESS(MATCH(O21,A_values,0),4,1,TRUE(),"mass_rmd.mas")):INDIRECT(ADDRESS(MATCH(O21+1,A_values,0)-1,7,1,TRUE(),"mass_rmd.mas")),4,FALSE())/1000</f>
        <v>14.90710529</v>
      </c>
      <c r="O22" s="40"/>
    </row>
    <row r="23" customFormat="false" ht="13.5" hidden="false" customHeight="false" outlineLevel="0" collapsed="false">
      <c r="B23" s="41"/>
      <c r="C23" s="6"/>
      <c r="D23" s="6"/>
      <c r="E23" s="6"/>
      <c r="F23" s="6"/>
      <c r="G23" s="83" t="str">
        <f aca="false">CONCATENATE(INDEX(Symbol_values,MATCH(INDEX(Z_values,MATCH(E17,Symbol_values,0)),Z_values,0)),F17," ( ",INDEX(Symbol_values,MATCH(INDEX(Z_values,MATCH(G17,Symbol_values,0)),Z_values,0)),H17," ,  ",INDEX(Symbol_values,MATCH(INDEX(Z_values,MATCH(I17,Symbol_values,0)),Z_values,0)),J17," + ",L21,M21," ) ",N21,O21)</f>
        <v>Be10 ( H1 ,  He3 + nn1 ) Li7</v>
      </c>
      <c r="H23" s="83"/>
      <c r="I23" s="83"/>
      <c r="J23" s="83"/>
      <c r="K23" s="6"/>
      <c r="L23" s="6"/>
      <c r="M23" s="6"/>
      <c r="N23" s="6"/>
      <c r="O23" s="42"/>
    </row>
    <row r="24" customFormat="false" ht="13.5" hidden="false" customHeight="false" outlineLevel="0" collapsed="false">
      <c r="B24" s="29"/>
      <c r="C24" s="29"/>
      <c r="D24" s="29"/>
      <c r="E24" s="29"/>
      <c r="F24" s="29"/>
      <c r="G24" s="70"/>
      <c r="H24" s="70"/>
      <c r="I24" s="70"/>
      <c r="J24" s="70"/>
      <c r="K24" s="29"/>
      <c r="L24" s="29"/>
      <c r="M24" s="29"/>
      <c r="N24" s="29"/>
      <c r="O24" s="29"/>
    </row>
    <row r="25" customFormat="false" ht="12.75" hidden="false" customHeight="false" outlineLevel="0" collapsed="false">
      <c r="B25" s="31" t="s">
        <v>101</v>
      </c>
      <c r="C25" s="31"/>
      <c r="D25" s="31"/>
      <c r="E25" s="32"/>
      <c r="F25" s="32"/>
      <c r="G25" s="84"/>
      <c r="H25" s="84"/>
      <c r="I25" s="84"/>
      <c r="J25" s="84"/>
      <c r="K25" s="32"/>
      <c r="L25" s="32"/>
      <c r="M25" s="32"/>
      <c r="N25" s="32"/>
      <c r="O25" s="33"/>
    </row>
    <row r="26" customFormat="false" ht="12.75" hidden="false" customHeight="false" outlineLevel="0" collapsed="false">
      <c r="B26" s="34"/>
      <c r="E26" s="2" t="s">
        <v>102</v>
      </c>
      <c r="F26" s="2" t="s">
        <v>103</v>
      </c>
      <c r="H26" s="5" t="s">
        <v>104</v>
      </c>
      <c r="I26" s="5"/>
      <c r="J26" s="4" t="s">
        <v>105</v>
      </c>
      <c r="L26" s="5" t="s">
        <v>106</v>
      </c>
      <c r="M26" s="5"/>
      <c r="O26" s="74"/>
    </row>
    <row r="27" customFormat="false" ht="12.75" hidden="false" customHeight="false" outlineLevel="0" collapsed="false">
      <c r="B27" s="34"/>
      <c r="E27" s="85" t="n">
        <f aca="true">F28+VLOOKUP(E28,INDIRECT(ADDRESS(MATCH(F28,A_values,0),4,1,TRUE(),"mass_rmd.mas")):INDIRECT(ADDRESS(MATCH(F28+1,A_values,0)-1,7,1,TRUE(),"mass_rmd.mas")),4,FALSE())/1000/'mass_rmd.mas'!$A$2</f>
        <v>37.9690813681909</v>
      </c>
      <c r="F27" s="86" t="n">
        <v>4</v>
      </c>
      <c r="H27" s="87" t="n">
        <f aca="false">J27*F28/E27</f>
        <v>0.960981901199432</v>
      </c>
      <c r="I27" s="87"/>
      <c r="J27" s="88" t="n">
        <v>0.9602</v>
      </c>
      <c r="L27" s="87" t="n">
        <f aca="false">3.10711*E27/F27*SQRT(POWER(H27/'mass_rmd.mas'!A2+1,2)-1)</f>
        <v>1.34004538547644</v>
      </c>
      <c r="M27" s="87"/>
      <c r="O27" s="74"/>
    </row>
    <row r="28" customFormat="false" ht="12.75" hidden="false" customHeight="false" outlineLevel="0" collapsed="false">
      <c r="B28" s="34"/>
      <c r="D28" s="2" t="s">
        <v>107</v>
      </c>
      <c r="E28" s="35" t="s">
        <v>108</v>
      </c>
      <c r="F28" s="36" t="n">
        <v>38</v>
      </c>
      <c r="H28" s="4"/>
      <c r="I28" s="4"/>
      <c r="L28" s="89"/>
      <c r="M28" s="89"/>
      <c r="O28" s="74"/>
    </row>
    <row r="29" customFormat="false" ht="12.75" hidden="false" customHeight="false" outlineLevel="0" collapsed="false">
      <c r="B29" s="34"/>
      <c r="D29" s="2" t="s">
        <v>109</v>
      </c>
      <c r="E29" s="85" t="n">
        <f aca="false">INDEX(Z_values,MATCH(E28,Symbol_values,0))</f>
        <v>19</v>
      </c>
      <c r="H29" s="4"/>
      <c r="I29" s="4"/>
      <c r="L29" s="89"/>
      <c r="M29" s="89"/>
      <c r="O29" s="74"/>
    </row>
    <row r="30" customFormat="false" ht="12.75" hidden="false" customHeight="false" outlineLevel="0" collapsed="false">
      <c r="B30" s="34"/>
      <c r="G30" s="2" t="s">
        <v>110</v>
      </c>
      <c r="H30" s="90" t="n">
        <f aca="false">SQRT(1-POWER((1/H32),2))*100</f>
        <v>4.53884103055253</v>
      </c>
      <c r="I30" s="90"/>
      <c r="J30" s="1" t="s">
        <v>111</v>
      </c>
      <c r="K30" s="2" t="s">
        <v>112</v>
      </c>
      <c r="L30" s="53" t="n">
        <f aca="false">H27*E27</f>
        <v>36.4876</v>
      </c>
      <c r="M30" s="53"/>
      <c r="N30" s="1" t="s">
        <v>28</v>
      </c>
      <c r="O30" s="74"/>
    </row>
    <row r="31" customFormat="false" ht="12.75" hidden="false" customHeight="false" outlineLevel="0" collapsed="false">
      <c r="B31" s="34"/>
      <c r="G31" s="2" t="s">
        <v>113</v>
      </c>
      <c r="H31" s="91" t="n">
        <f aca="false">H30/100*29.998</f>
        <v>1.36156153234515</v>
      </c>
      <c r="I31" s="91"/>
      <c r="J31" s="1" t="s">
        <v>114</v>
      </c>
      <c r="K31" s="2"/>
      <c r="L31" s="92"/>
      <c r="M31" s="92"/>
      <c r="O31" s="74"/>
    </row>
    <row r="32" customFormat="false" ht="12.75" hidden="false" customHeight="false" outlineLevel="0" collapsed="false">
      <c r="B32" s="34"/>
      <c r="E32" s="5" t="s">
        <v>115</v>
      </c>
      <c r="F32" s="5"/>
      <c r="G32" s="2" t="s">
        <v>116</v>
      </c>
      <c r="H32" s="93" t="n">
        <f aca="false">1+L30/(E27*'mass_rmd.mas'!A2)</f>
        <v>1.00103164814875</v>
      </c>
      <c r="I32" s="93"/>
      <c r="K32" s="2" t="s">
        <v>117</v>
      </c>
      <c r="L32" s="87" t="n">
        <f aca="false">H32*E27*'mass_rmd.mas'!A2*H30/100/1000</f>
        <v>1.60696521287484</v>
      </c>
      <c r="M32" s="87"/>
      <c r="N32" s="1" t="s">
        <v>118</v>
      </c>
      <c r="O32" s="74"/>
    </row>
    <row r="33" customFormat="false" ht="12.75" hidden="false" customHeight="false" outlineLevel="0" collapsed="false">
      <c r="B33" s="34"/>
      <c r="E33" s="14" t="n">
        <v>20</v>
      </c>
      <c r="F33" s="14"/>
      <c r="G33" s="2" t="s">
        <v>119</v>
      </c>
      <c r="H33" s="91" t="n">
        <f aca="false">IF(ISNUMBER(E33),E33*100/H31," ")</f>
        <v>1468.90166363264</v>
      </c>
      <c r="I33" s="91"/>
      <c r="J33" s="1" t="s">
        <v>120</v>
      </c>
      <c r="K33" s="2"/>
      <c r="L33" s="89"/>
      <c r="M33" s="89"/>
      <c r="O33" s="74"/>
    </row>
    <row r="34" customFormat="false" ht="13.5" hidden="false" customHeight="false" outlineLevel="0" collapsed="false">
      <c r="B34" s="4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42"/>
    </row>
    <row r="35" customFormat="false" ht="13.5" hidden="false" customHeight="false" outlineLevel="0" collapsed="false">
      <c r="B35" s="29"/>
      <c r="C35" s="29"/>
      <c r="D35" s="29"/>
      <c r="E35" s="29"/>
      <c r="F35" s="29"/>
      <c r="G35" s="70"/>
      <c r="H35" s="70"/>
      <c r="I35" s="70"/>
      <c r="J35" s="70"/>
      <c r="K35" s="29"/>
      <c r="L35" s="29"/>
      <c r="M35" s="29"/>
      <c r="N35" s="29"/>
      <c r="O35" s="29"/>
    </row>
    <row r="36" customFormat="false" ht="12.75" hidden="false" customHeight="false" outlineLevel="0" collapsed="false">
      <c r="B36" s="31" t="s">
        <v>121</v>
      </c>
      <c r="C36" s="31"/>
      <c r="D36" s="32"/>
      <c r="E36" s="94" t="n">
        <f aca="true">F37+VLOOKUP(E37,INDIRECT(ADDRESS(MATCH(F37,A_values,0),4,1,TRUE(),"mass_rmd.mas")):INDIRECT(ADDRESS(MATCH(F37+1,A_values,0)-1,7,1,TRUE(),"mass_rmd.mas")),4,FALSE())/1000/'mass_rmd.mas'!$A$2</f>
        <v>12.0269218646538</v>
      </c>
      <c r="F36" s="32"/>
      <c r="G36" s="95"/>
      <c r="H36" s="96" t="s">
        <v>104</v>
      </c>
      <c r="I36" s="96"/>
      <c r="J36" s="84" t="s">
        <v>105</v>
      </c>
      <c r="K36" s="95"/>
      <c r="L36" s="97" t="s">
        <v>28</v>
      </c>
      <c r="M36" s="97"/>
      <c r="N36" s="84" t="s">
        <v>122</v>
      </c>
      <c r="O36" s="33"/>
    </row>
    <row r="37" customFormat="false" ht="13.5" hidden="false" customHeight="false" outlineLevel="0" collapsed="false">
      <c r="B37" s="78"/>
      <c r="C37" s="4"/>
      <c r="D37" s="2" t="s">
        <v>107</v>
      </c>
      <c r="E37" s="35" t="s">
        <v>94</v>
      </c>
      <c r="F37" s="13" t="n">
        <v>12</v>
      </c>
      <c r="G37" s="2"/>
      <c r="H37" s="98" t="n">
        <f aca="false">J37*F37/E36</f>
        <v>43.9015074631649</v>
      </c>
      <c r="I37" s="98"/>
      <c r="J37" s="99" t="n">
        <v>44</v>
      </c>
      <c r="K37" s="100" t="s">
        <v>112</v>
      </c>
      <c r="L37" s="53" t="n">
        <f aca="false">J37*F37</f>
        <v>528</v>
      </c>
      <c r="M37" s="53"/>
      <c r="N37" s="101" t="n">
        <f aca="false">SQRT(1-POWER((1/(1+L37/($E$36*'mass_rmd.mas'!$A$2))),2))*100</f>
        <v>29.6633418750189</v>
      </c>
      <c r="O37" s="74"/>
    </row>
    <row r="38" customFormat="false" ht="13.5" hidden="false" customHeight="false" outlineLevel="0" collapsed="false">
      <c r="B38" s="78"/>
      <c r="C38" s="4"/>
      <c r="D38" s="2" t="s">
        <v>109</v>
      </c>
      <c r="E38" s="85" t="n">
        <f aca="false">INDEX(Z_values,MATCH(E37,Symbol_values,0))</f>
        <v>4</v>
      </c>
      <c r="G38" s="2"/>
      <c r="H38" s="102" t="n">
        <f aca="false">L38/E36</f>
        <v>43.9846542576027</v>
      </c>
      <c r="I38" s="102"/>
      <c r="J38" s="102" t="n">
        <f aca="false">L38/F37</f>
        <v>44.0833333333333</v>
      </c>
      <c r="K38" s="103" t="s">
        <v>112</v>
      </c>
      <c r="L38" s="104" t="n">
        <v>529</v>
      </c>
      <c r="M38" s="104"/>
      <c r="N38" s="105" t="n">
        <f aca="false">SQRT(1-POWER((1/(1+L38/($E$36*'mass_rmd.mas'!$A$2))),2))*100</f>
        <v>29.6895353432709</v>
      </c>
      <c r="O38" s="74"/>
    </row>
    <row r="39" customFormat="false" ht="12.75" hidden="false" customHeight="false" outlineLevel="0" collapsed="false">
      <c r="B39" s="78"/>
      <c r="C39" s="4"/>
      <c r="D39" s="2"/>
      <c r="E39" s="4"/>
      <c r="G39" s="2"/>
      <c r="H39" s="106" t="n">
        <v>44</v>
      </c>
      <c r="I39" s="106"/>
      <c r="J39" s="107" t="n">
        <f aca="false">H39*E36/F37</f>
        <v>44.0987135037306</v>
      </c>
      <c r="K39" s="108" t="s">
        <v>112</v>
      </c>
      <c r="L39" s="53" t="n">
        <f aca="false">J39*F37</f>
        <v>529.184562044767</v>
      </c>
      <c r="M39" s="53"/>
      <c r="N39" s="109" t="n">
        <f aca="false">SQRT(1-POWER((1/(1+L39/($E$36*'mass_rmd.mas'!$A$2))),2))*100</f>
        <v>29.6943664059319</v>
      </c>
      <c r="O39" s="74"/>
    </row>
    <row r="40" customFormat="false" ht="13.5" hidden="false" customHeight="false" outlineLevel="0" collapsed="false">
      <c r="B40" s="110"/>
      <c r="C40" s="9"/>
      <c r="D40" s="11"/>
      <c r="E40" s="9"/>
      <c r="F40" s="6"/>
      <c r="G40" s="11"/>
      <c r="H40" s="111"/>
      <c r="I40" s="111"/>
      <c r="J40" s="8"/>
      <c r="K40" s="11"/>
      <c r="L40" s="9"/>
      <c r="M40" s="9"/>
      <c r="N40" s="6"/>
      <c r="O40" s="42"/>
    </row>
    <row r="41" customFormat="false" ht="13.5" hidden="false" customHeight="false" outlineLevel="0" collapsed="false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customFormat="false" ht="12.75" hidden="false" customHeight="false" outlineLevel="0" collapsed="false">
      <c r="B42" s="31" t="s">
        <v>123</v>
      </c>
      <c r="C42" s="31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3"/>
    </row>
    <row r="43" customFormat="false" ht="12.75" hidden="false" customHeight="false" outlineLevel="0" collapsed="false">
      <c r="B43" s="72" t="s">
        <v>124</v>
      </c>
      <c r="C43" s="72"/>
      <c r="E43" s="2" t="s">
        <v>102</v>
      </c>
      <c r="F43" s="2" t="s">
        <v>103</v>
      </c>
      <c r="H43" s="5" t="s">
        <v>104</v>
      </c>
      <c r="I43" s="5"/>
      <c r="J43" s="4" t="s">
        <v>105</v>
      </c>
      <c r="L43" s="5" t="s">
        <v>125</v>
      </c>
      <c r="M43" s="5"/>
      <c r="O43" s="74"/>
    </row>
    <row r="44" customFormat="false" ht="12.75" hidden="false" customHeight="false" outlineLevel="0" collapsed="false">
      <c r="B44" s="34"/>
      <c r="E44" s="85" t="n">
        <f aca="true">F45+VLOOKUP(E45,INDIRECT(ADDRESS(MATCH(F45,A_values,0),4,1,TRUE(),"mass_rmd.mas")):INDIRECT(ADDRESS(MATCH(F45+1,A_values,0)-1,7,1,TRUE(),"mass_rmd.mas")),4,FALSE())/1000/'mass_rmd.mas'!$A$2</f>
        <v>12.0269218646538</v>
      </c>
      <c r="F44" s="26" t="n">
        <v>2</v>
      </c>
      <c r="H44" s="53" t="n">
        <f aca="false">'mass_rmd.mas'!A2*(SQRT(POWER( (L44/(3.10711*E44/F44)),2)+1)-1)</f>
        <v>11.1925471640625</v>
      </c>
      <c r="I44" s="53"/>
      <c r="J44" s="112" t="n">
        <f aca="false">H44*E44/F45</f>
        <v>11.217657517386</v>
      </c>
      <c r="L44" s="88" t="n">
        <v>2.905156</v>
      </c>
      <c r="M44" s="88"/>
      <c r="O44" s="74"/>
    </row>
    <row r="45" customFormat="false" ht="12.75" hidden="false" customHeight="false" outlineLevel="0" collapsed="false">
      <c r="B45" s="34"/>
      <c r="D45" s="2" t="s">
        <v>107</v>
      </c>
      <c r="E45" s="35" t="s">
        <v>94</v>
      </c>
      <c r="F45" s="36" t="n">
        <v>12</v>
      </c>
      <c r="H45" s="4"/>
      <c r="I45" s="4"/>
      <c r="L45" s="89"/>
      <c r="M45" s="89"/>
      <c r="O45" s="74"/>
    </row>
    <row r="46" customFormat="false" ht="12.75" hidden="false" customHeight="false" outlineLevel="0" collapsed="false">
      <c r="B46" s="34"/>
      <c r="D46" s="2" t="s">
        <v>109</v>
      </c>
      <c r="E46" s="85" t="n">
        <f aca="false">INDEX(Z_values,MATCH(E45,Symbol_values,0))</f>
        <v>4</v>
      </c>
      <c r="H46" s="4"/>
      <c r="I46" s="4"/>
      <c r="O46" s="74"/>
    </row>
    <row r="47" customFormat="false" ht="12.75" hidden="false" customHeight="false" outlineLevel="0" collapsed="false">
      <c r="B47" s="34"/>
      <c r="G47" s="2" t="s">
        <v>110</v>
      </c>
      <c r="H47" s="90" t="n">
        <f aca="false">SQRT(1-POWER((1/H49),2))*100</f>
        <v>15.3638879045267</v>
      </c>
      <c r="I47" s="90"/>
      <c r="J47" s="1" t="s">
        <v>111</v>
      </c>
      <c r="K47" s="2" t="s">
        <v>112</v>
      </c>
      <c r="L47" s="53" t="n">
        <f aca="false">H44*E44</f>
        <v>134.611890208632</v>
      </c>
      <c r="M47" s="53"/>
      <c r="N47" s="1" t="s">
        <v>28</v>
      </c>
      <c r="O47" s="74"/>
    </row>
    <row r="48" customFormat="false" ht="12.75" hidden="false" customHeight="false" outlineLevel="0" collapsed="false">
      <c r="B48" s="34"/>
      <c r="G48" s="2" t="s">
        <v>126</v>
      </c>
      <c r="H48" s="91" t="n">
        <f aca="false">H47/100*29.998</f>
        <v>4.60885909359992</v>
      </c>
      <c r="I48" s="91"/>
      <c r="J48" s="1" t="s">
        <v>114</v>
      </c>
      <c r="K48" s="2"/>
      <c r="L48" s="92"/>
      <c r="M48" s="92"/>
      <c r="O48" s="74"/>
    </row>
    <row r="49" customFormat="false" ht="12.75" hidden="false" customHeight="false" outlineLevel="0" collapsed="false">
      <c r="B49" s="34"/>
      <c r="E49" s="5" t="s">
        <v>115</v>
      </c>
      <c r="F49" s="5"/>
      <c r="G49" s="2" t="s">
        <v>127</v>
      </c>
      <c r="H49" s="93" t="n">
        <f aca="false">1+L47/(E44*'mass_rmd.mas'!A2)</f>
        <v>1.0120155962846</v>
      </c>
      <c r="I49" s="93"/>
      <c r="K49" s="2" t="s">
        <v>117</v>
      </c>
      <c r="L49" s="87" t="n">
        <f aca="false">H49*E44*'mass_rmd.mas'!A2*H47/100/1000</f>
        <v>1.74191287868766</v>
      </c>
      <c r="M49" s="87"/>
      <c r="N49" s="1" t="s">
        <v>118</v>
      </c>
      <c r="O49" s="74"/>
    </row>
    <row r="50" customFormat="false" ht="12.75" hidden="false" customHeight="false" outlineLevel="0" collapsed="false">
      <c r="B50" s="34"/>
      <c r="E50" s="14" t="n">
        <v>10</v>
      </c>
      <c r="F50" s="14"/>
      <c r="G50" s="2" t="s">
        <v>119</v>
      </c>
      <c r="H50" s="91" t="n">
        <f aca="false">IF(ISNUMBER(E50),E50*100/H48," ")</f>
        <v>216.973437393356</v>
      </c>
      <c r="I50" s="91"/>
      <c r="J50" s="1" t="s">
        <v>120</v>
      </c>
      <c r="O50" s="74"/>
    </row>
    <row r="51" customFormat="false" ht="13.5" hidden="false" customHeight="false" outlineLevel="0" collapsed="false">
      <c r="B51" s="4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42"/>
      <c r="Q51" s="113" t="s">
        <v>128</v>
      </c>
    </row>
    <row r="52" customFormat="false" ht="13.5" hidden="false" customHeight="false" outlineLevel="0" collapsed="false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</row>
    <row r="53" customFormat="false" ht="12.75" hidden="false" customHeight="false" outlineLevel="0" collapsed="false">
      <c r="B53" s="31" t="s">
        <v>129</v>
      </c>
      <c r="C53" s="31"/>
      <c r="D53" s="31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3"/>
    </row>
    <row r="54" customFormat="false" ht="15.75" hidden="false" customHeight="false" outlineLevel="0" collapsed="false">
      <c r="B54" s="114"/>
      <c r="C54" s="1" t="s">
        <v>130</v>
      </c>
      <c r="D54" s="1" t="s">
        <v>131</v>
      </c>
      <c r="E54" s="1" t="s">
        <v>132</v>
      </c>
      <c r="F54" s="1" t="s">
        <v>133</v>
      </c>
      <c r="G54" s="115" t="s">
        <v>134</v>
      </c>
      <c r="H54" s="1" t="s">
        <v>135</v>
      </c>
      <c r="I54" s="1" t="s">
        <v>136</v>
      </c>
      <c r="J54" s="1" t="s">
        <v>137</v>
      </c>
      <c r="K54" s="3" t="s">
        <v>138</v>
      </c>
      <c r="L54" s="115" t="s">
        <v>139</v>
      </c>
      <c r="M54" s="1" t="s">
        <v>140</v>
      </c>
      <c r="N54" s="1" t="s">
        <v>141</v>
      </c>
      <c r="O54" s="74" t="s">
        <v>142</v>
      </c>
    </row>
    <row r="55" customFormat="false" ht="12.75" hidden="false" customHeight="false" outlineLevel="0" collapsed="false">
      <c r="B55" s="78" t="s">
        <v>143</v>
      </c>
      <c r="C55" s="26" t="n">
        <v>0.0005</v>
      </c>
      <c r="D55" s="116"/>
      <c r="E55" s="26" t="n">
        <v>1E-007</v>
      </c>
      <c r="F55" s="117" t="n">
        <v>60000000000</v>
      </c>
      <c r="G55" s="116"/>
      <c r="H55" s="116"/>
      <c r="I55" s="116"/>
      <c r="J55" s="26" t="n">
        <v>142</v>
      </c>
      <c r="K55" s="116"/>
      <c r="L55" s="116"/>
      <c r="M55" s="116"/>
      <c r="N55" s="118" t="n">
        <f aca="false">0.602/J55*C55*E55*F55</f>
        <v>0.0127183098591549</v>
      </c>
      <c r="O55" s="119" t="n">
        <f aca="false">3600*N55</f>
        <v>45.7859154929577</v>
      </c>
    </row>
    <row r="56" customFormat="false" ht="12.75" hidden="false" customHeight="false" outlineLevel="0" collapsed="false">
      <c r="B56" s="78"/>
      <c r="O56" s="74"/>
    </row>
    <row r="57" customFormat="false" ht="12.75" hidden="false" customHeight="false" outlineLevel="0" collapsed="false">
      <c r="B57" s="78" t="s">
        <v>144</v>
      </c>
      <c r="C57" s="26" t="n">
        <v>0.0005</v>
      </c>
      <c r="D57" s="116"/>
      <c r="E57" s="26" t="n">
        <v>1E-007</v>
      </c>
      <c r="F57" s="120"/>
      <c r="G57" s="116"/>
      <c r="H57" s="116"/>
      <c r="I57" s="116"/>
      <c r="J57" s="26" t="n">
        <v>142</v>
      </c>
      <c r="K57" s="121" t="n">
        <f aca="false">0.6*C57/J57*E57</f>
        <v>2.11267605633803E-013</v>
      </c>
      <c r="O57" s="74"/>
    </row>
    <row r="58" customFormat="false" ht="12.75" hidden="false" customHeight="false" outlineLevel="0" collapsed="false">
      <c r="B58" s="34"/>
      <c r="N58" s="122" t="s">
        <v>145</v>
      </c>
      <c r="O58" s="122"/>
    </row>
    <row r="59" customFormat="false" ht="12.75" hidden="false" customHeight="false" outlineLevel="0" collapsed="false">
      <c r="B59" s="78" t="s">
        <v>146</v>
      </c>
      <c r="C59" s="116"/>
      <c r="D59" s="26" t="n">
        <v>0.5</v>
      </c>
      <c r="E59" s="116"/>
      <c r="F59" s="116"/>
      <c r="G59" s="116"/>
      <c r="H59" s="26" t="n">
        <v>10</v>
      </c>
      <c r="I59" s="26" t="n">
        <v>2</v>
      </c>
      <c r="J59" s="26" t="n">
        <v>142</v>
      </c>
      <c r="K59" s="116"/>
      <c r="L59" s="123" t="n">
        <f aca="false">(O59*H59*J59)/(3.75*D59*1000*I59*M59)</f>
        <v>3.78666666666667</v>
      </c>
      <c r="M59" s="26" t="n">
        <v>10</v>
      </c>
      <c r="N59" s="116"/>
      <c r="O59" s="124" t="n">
        <v>100</v>
      </c>
    </row>
    <row r="60" customFormat="false" ht="12.75" hidden="false" customHeight="false" outlineLevel="0" collapsed="false">
      <c r="B60" s="34"/>
      <c r="O60" s="74"/>
    </row>
    <row r="61" customFormat="false" ht="12.75" hidden="false" customHeight="false" outlineLevel="0" collapsed="false">
      <c r="B61" s="78" t="s">
        <v>147</v>
      </c>
      <c r="C61" s="116"/>
      <c r="D61" s="26" t="n">
        <v>0.5</v>
      </c>
      <c r="E61" s="116"/>
      <c r="F61" s="116"/>
      <c r="G61" s="26" t="n">
        <v>2</v>
      </c>
      <c r="H61" s="26" t="n">
        <v>10</v>
      </c>
      <c r="I61" s="116"/>
      <c r="J61" s="26" t="n">
        <v>142</v>
      </c>
      <c r="K61" s="116"/>
      <c r="L61" s="26" t="n">
        <v>3.79</v>
      </c>
      <c r="M61" s="26" t="n">
        <v>10</v>
      </c>
      <c r="N61" s="118" t="n">
        <f aca="false">L61*3.75*D61*G61*M61/H61/J61</f>
        <v>0.100088028169014</v>
      </c>
      <c r="O61" s="74"/>
    </row>
    <row r="62" customFormat="false" ht="13.5" hidden="false" customHeight="false" outlineLevel="0" collapsed="false">
      <c r="B62" s="4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42"/>
      <c r="Q62" s="113" t="s">
        <v>128</v>
      </c>
    </row>
    <row r="63" customFormat="false" ht="13.5" hidden="false" customHeight="false" outlineLevel="0" collapsed="false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 customFormat="false" ht="12.75" hidden="false" customHeight="false" outlineLevel="0" collapsed="false">
      <c r="B64" s="125" t="s">
        <v>148</v>
      </c>
      <c r="C64" s="126"/>
      <c r="D64" s="126"/>
      <c r="E64" s="126"/>
      <c r="F64" s="32"/>
      <c r="G64" s="32" t="s">
        <v>149</v>
      </c>
      <c r="H64" s="32"/>
      <c r="I64" s="32"/>
      <c r="J64" s="32"/>
      <c r="K64" s="32"/>
      <c r="L64" s="32"/>
      <c r="M64" s="32"/>
      <c r="N64" s="32"/>
      <c r="O64" s="33"/>
    </row>
    <row r="65" customFormat="false" ht="12.75" hidden="false" customHeight="false" outlineLevel="0" collapsed="false">
      <c r="B65" s="34"/>
      <c r="O65" s="74"/>
    </row>
    <row r="66" customFormat="false" ht="12.75" hidden="false" customHeight="false" outlineLevel="0" collapsed="false">
      <c r="B66" s="127"/>
      <c r="C66" s="128"/>
      <c r="D66" s="128"/>
      <c r="E66" s="128"/>
      <c r="F66" s="128"/>
      <c r="G66" s="129" t="s">
        <v>12</v>
      </c>
      <c r="H66" s="130" t="s">
        <v>150</v>
      </c>
      <c r="J66" s="131" t="s">
        <v>151</v>
      </c>
      <c r="K66" s="26" t="n">
        <v>5</v>
      </c>
      <c r="L66" s="1" t="s">
        <v>152</v>
      </c>
      <c r="O66" s="74"/>
    </row>
    <row r="67" customFormat="false" ht="12.75" hidden="false" customHeight="false" outlineLevel="0" collapsed="false">
      <c r="B67" s="34" t="s">
        <v>153</v>
      </c>
      <c r="D67" s="45" t="s">
        <v>154</v>
      </c>
      <c r="E67" s="13" t="n">
        <v>74</v>
      </c>
      <c r="G67" s="1" t="n">
        <f aca="true">VLOOKUP(D67,INDIRECT(ADDRESS(MATCH(E67,A_values,0),4,1,TRUE(),"mass_rmd.mas")):INDIRECT(ADDRESS(MATCH(E67+1,A_values,0)-1,7,1,TRUE(),"mass_rmd.mas")),4,FALSE())/1000</f>
        <v>-62.331836</v>
      </c>
      <c r="H67" s="132" t="n">
        <f aca="false">E67+G67/'mass_rmd.mas'!$A$2</f>
        <v>73.9330845636765</v>
      </c>
      <c r="J67" s="1" t="s">
        <v>155</v>
      </c>
      <c r="K67" s="45" t="n">
        <v>1.25</v>
      </c>
      <c r="L67" s="1" t="s">
        <v>156</v>
      </c>
      <c r="O67" s="74"/>
    </row>
    <row r="68" customFormat="false" ht="12.75" hidden="false" customHeight="false" outlineLevel="0" collapsed="false">
      <c r="B68" s="34"/>
      <c r="H68" s="132"/>
      <c r="O68" s="74"/>
    </row>
    <row r="69" customFormat="false" ht="12.75" hidden="false" customHeight="false" outlineLevel="0" collapsed="false">
      <c r="B69" s="133"/>
      <c r="C69" s="134"/>
      <c r="D69" s="134"/>
      <c r="E69" s="134"/>
      <c r="F69" s="134"/>
      <c r="G69" s="134"/>
      <c r="H69" s="135"/>
      <c r="O69" s="74"/>
    </row>
    <row r="70" customFormat="false" ht="12.75" hidden="false" customHeight="false" outlineLevel="0" collapsed="false">
      <c r="B70" s="127"/>
      <c r="C70" s="128"/>
      <c r="D70" s="128"/>
      <c r="E70" s="128"/>
      <c r="F70" s="128"/>
      <c r="G70" s="128"/>
      <c r="H70" s="128"/>
      <c r="I70" s="128"/>
      <c r="J70" s="130"/>
      <c r="L70" s="136"/>
      <c r="M70" s="128"/>
      <c r="N70" s="128"/>
      <c r="O70" s="137"/>
    </row>
    <row r="71" customFormat="false" ht="12.75" hidden="false" customHeight="false" outlineLevel="0" collapsed="false">
      <c r="B71" s="34" t="s">
        <v>157</v>
      </c>
      <c r="D71" s="45" t="s">
        <v>158</v>
      </c>
      <c r="E71" s="13" t="n">
        <v>208</v>
      </c>
      <c r="F71" s="54" t="s">
        <v>159</v>
      </c>
      <c r="G71" s="1" t="s">
        <v>157</v>
      </c>
      <c r="I71" s="45" t="s">
        <v>160</v>
      </c>
      <c r="J71" s="13" t="n">
        <v>58</v>
      </c>
      <c r="L71" s="138" t="s">
        <v>153</v>
      </c>
      <c r="N71" s="45" t="s">
        <v>154</v>
      </c>
      <c r="O71" s="139" t="n">
        <v>74</v>
      </c>
    </row>
    <row r="72" customFormat="false" ht="12.75" hidden="false" customHeight="false" outlineLevel="0" collapsed="false">
      <c r="B72" s="34"/>
      <c r="J72" s="132"/>
      <c r="L72" s="138" t="s">
        <v>161</v>
      </c>
      <c r="N72" s="26" t="n">
        <v>472.436</v>
      </c>
      <c r="O72" s="74" t="s">
        <v>28</v>
      </c>
    </row>
    <row r="73" customFormat="false" ht="12.75" hidden="false" customHeight="false" outlineLevel="0" collapsed="false">
      <c r="B73" s="34"/>
      <c r="C73" s="1" t="s">
        <v>162</v>
      </c>
      <c r="D73" s="140" t="n">
        <f aca="false">1.152*INDEX(Z_values,MATCH($D$67,Symbol_values,0))*INDEX(Z_values,MATCH(D71,Symbol_values,0)) / ($E$67^0.33333 + E71^0.33333)*1.25/$K$67</f>
        <v>335.93295092109</v>
      </c>
      <c r="E73" s="1" t="s">
        <v>28</v>
      </c>
      <c r="H73" s="1" t="s">
        <v>162</v>
      </c>
      <c r="I73" s="140" t="n">
        <f aca="false">1.152*INDEX(Z_values,MATCH($D$67,Symbol_values,0))*INDEX(Z_values,MATCH(I71,Symbol_values,0)) / ($E$67^0.33333 + J71^0.33333)*1.25/$K$67</f>
        <v>143.908977739362</v>
      </c>
      <c r="J73" s="132" t="s">
        <v>28</v>
      </c>
      <c r="L73" s="138"/>
      <c r="N73" s="141" t="n">
        <f aca="false">N72/O71</f>
        <v>6.38427027027027</v>
      </c>
      <c r="O73" s="74" t="s">
        <v>105</v>
      </c>
    </row>
    <row r="74" customFormat="false" ht="12.75" hidden="false" customHeight="false" outlineLevel="0" collapsed="false">
      <c r="B74" s="34"/>
      <c r="C74" s="2" t="s">
        <v>163</v>
      </c>
      <c r="D74" s="140" t="n">
        <f aca="false">D73/$H$67</f>
        <v>4.54374320919561</v>
      </c>
      <c r="E74" s="1" t="s">
        <v>105</v>
      </c>
      <c r="H74" s="2" t="s">
        <v>163</v>
      </c>
      <c r="I74" s="140" t="n">
        <f aca="false">I73/$H$67</f>
        <v>1.94647604098564</v>
      </c>
      <c r="J74" s="132" t="s">
        <v>105</v>
      </c>
      <c r="L74" s="138" t="s">
        <v>157</v>
      </c>
      <c r="N74" s="45" t="s">
        <v>158</v>
      </c>
      <c r="O74" s="139" t="n">
        <v>208</v>
      </c>
    </row>
    <row r="75" customFormat="false" ht="12.75" hidden="false" customHeight="false" outlineLevel="0" collapsed="false">
      <c r="B75" s="34"/>
      <c r="J75" s="132"/>
      <c r="L75" s="138" t="s">
        <v>164</v>
      </c>
      <c r="N75" s="142" t="n">
        <f aca="false">K67*(O71^0.3333+O74^0.3333)</f>
        <v>12.6520902934785</v>
      </c>
      <c r="O75" s="74" t="s">
        <v>165</v>
      </c>
    </row>
    <row r="76" customFormat="false" ht="12.75" hidden="false" customHeight="false" outlineLevel="0" collapsed="false">
      <c r="B76" s="143" t="s">
        <v>166</v>
      </c>
      <c r="C76" s="144"/>
      <c r="D76" s="144" t="s">
        <v>167</v>
      </c>
      <c r="E76" s="144" t="s">
        <v>168</v>
      </c>
      <c r="G76" s="144" t="s">
        <v>166</v>
      </c>
      <c r="H76" s="144"/>
      <c r="I76" s="144" t="s">
        <v>167</v>
      </c>
      <c r="J76" s="145" t="s">
        <v>168</v>
      </c>
      <c r="L76" s="146" t="s">
        <v>166</v>
      </c>
      <c r="M76" s="144"/>
      <c r="N76" s="147" t="s">
        <v>169</v>
      </c>
      <c r="O76" s="148"/>
    </row>
    <row r="77" customFormat="false" ht="12.75" hidden="false" customHeight="false" outlineLevel="0" collapsed="false">
      <c r="B77" s="143" t="s">
        <v>170</v>
      </c>
      <c r="C77" s="144"/>
      <c r="D77" s="144" t="s">
        <v>11</v>
      </c>
      <c r="E77" s="144" t="s">
        <v>171</v>
      </c>
      <c r="G77" s="144" t="s">
        <v>170</v>
      </c>
      <c r="H77" s="144"/>
      <c r="I77" s="144" t="s">
        <v>11</v>
      </c>
      <c r="J77" s="145" t="s">
        <v>171</v>
      </c>
      <c r="L77" s="146" t="s">
        <v>170</v>
      </c>
      <c r="M77" s="144"/>
      <c r="N77" s="147" t="s">
        <v>172</v>
      </c>
      <c r="O77" s="148"/>
    </row>
    <row r="78" customFormat="false" ht="12.75" hidden="false" customHeight="false" outlineLevel="0" collapsed="false">
      <c r="B78" s="34" t="n">
        <v>10</v>
      </c>
      <c r="D78" s="17" t="n">
        <f aca="false">1.152 * INDEX(Z_values,MATCH($D$67,Symbol_values,0)) *  INDEX(Z_values,MATCH($D$71,Symbol_values,0)) / ( ($E$67^0.33333 + $E$71^0.3333) + 4*$K$66/5 )*1.25/$K$67* ( 1 + (1/SIN(RADIANS(B78/2))) )/2</f>
        <v>1501.86810864393</v>
      </c>
      <c r="E78" s="17" t="n">
        <f aca="false">D78/$E$67</f>
        <v>20.2955149816747</v>
      </c>
      <c r="G78" s="1" t="n">
        <v>10</v>
      </c>
      <c r="I78" s="17" t="n">
        <f aca="false">1.152 * INDEX(Z_values,MATCH($D$67,Symbol_values,0)) *  INDEX(Z_values,MATCH($I$71,Symbol_values,0)) / ( ($E$67^0.33333 + $J$71^0.3333) + 4*$K$66/5 )*1.25/$K$67* ( 1 + (1/SIN(RADIANS(G78/2))) )/2</f>
        <v>600.096142756324</v>
      </c>
      <c r="J78" s="149" t="n">
        <f aca="false">I78/$E$67</f>
        <v>8.10940733454492</v>
      </c>
      <c r="L78" s="138" t="n">
        <v>10</v>
      </c>
      <c r="M78" s="150" t="s">
        <v>59</v>
      </c>
      <c r="N78" s="17" t="n">
        <f aca="false">(1.44 *INDEX(Z_values,MATCH($N$71,Symbol_values,0)) *  INDEX(Z_values,MATCH($N$74,Symbol_values,0)) / $N$72 ) * (1 + 1/SIN((RADIANS(L78/2)))  )/2</f>
        <v>56.117927255494</v>
      </c>
      <c r="O78" s="151" t="str">
        <f aca="false">IF(N78&lt;$N$75,"touch",IF(N78&lt;($N$75+$K$66)," ","safe"))</f>
        <v>safe</v>
      </c>
    </row>
    <row r="79" customFormat="false" ht="12.75" hidden="false" customHeight="false" outlineLevel="0" collapsed="false">
      <c r="B79" s="34" t="n">
        <f aca="false">10+B78</f>
        <v>20</v>
      </c>
      <c r="D79" s="17" t="n">
        <f aca="false">1.152 * INDEX(Z_values,MATCH($D$67,Symbol_values,0)) *  INDEX(Z_values,MATCH($D$71,Symbol_values,0)) / ( ($E$67^0.33333 + $E$71^0.3333) + 4*$K$66/5 )*1.25/$K$67* ( 1 + (1/SIN(RADIANS(B79/2))) )/2</f>
        <v>813.773865276332</v>
      </c>
      <c r="E79" s="17" t="n">
        <f aca="false">D79/$E$67</f>
        <v>10.9969441253558</v>
      </c>
      <c r="G79" s="1" t="n">
        <f aca="false">10+G78</f>
        <v>20</v>
      </c>
      <c r="I79" s="17" t="n">
        <f aca="false">1.152 * INDEX(Z_values,MATCH($D$67,Symbol_values,0)) *  INDEX(Z_values,MATCH($I$71,Symbol_values,0)) / ( ($E$67^0.33333 + $J$71^0.3333) + 4*$K$66/5 )*1.25/$K$67* ( 1 + (1/SIN(RADIANS(G79/2))) )/2</f>
        <v>325.156752991558</v>
      </c>
      <c r="J79" s="149" t="n">
        <f aca="false">I79/$E$67</f>
        <v>4.39401017556159</v>
      </c>
      <c r="L79" s="138" t="n">
        <f aca="false">$M$79+L78</f>
        <v>20</v>
      </c>
      <c r="M79" s="26" t="n">
        <v>10</v>
      </c>
      <c r="N79" s="17" t="n">
        <f aca="false">(1.44 *INDEX(Z_values,MATCH($N$71,Symbol_values,0)) *  INDEX(Z_values,MATCH($N$74,Symbol_values,0)) / $N$72 ) * (1 + 1/SIN((RADIANS(L79/2)))  )/2</f>
        <v>30.4069993304761</v>
      </c>
      <c r="O79" s="151" t="str">
        <f aca="false">IF(N79&lt;$N$75,"touch",IF(N79&lt;($N$75+$K$66)," ","safe"))</f>
        <v>safe</v>
      </c>
    </row>
    <row r="80" customFormat="false" ht="12.75" hidden="false" customHeight="false" outlineLevel="0" collapsed="false">
      <c r="B80" s="34" t="n">
        <f aca="false">10+B79</f>
        <v>30</v>
      </c>
      <c r="D80" s="17" t="n">
        <f aca="false">1.152 * INDEX(Z_values,MATCH($D$67,Symbol_values,0)) *  INDEX(Z_values,MATCH($D$71,Symbol_values,0)) / ( ($E$67^0.33333 + $E$71^0.3333) + 4*$K$66/5 )*1.25/$K$67* ( 1 + (1/SIN(RADIANS(B80/2))) )/2</f>
        <v>585.602758381192</v>
      </c>
      <c r="E80" s="17" t="n">
        <f aca="false">D80/$E$67</f>
        <v>7.91355078893502</v>
      </c>
      <c r="G80" s="1" t="n">
        <f aca="false">10+G79</f>
        <v>30</v>
      </c>
      <c r="I80" s="17" t="n">
        <f aca="false">1.152 * INDEX(Z_values,MATCH($D$67,Symbol_values,0)) *  INDEX(Z_values,MATCH($I$71,Symbol_values,0)) / ( ($E$67^0.33333 + $J$71^0.3333) + 4*$K$66/5 )*1.25/$K$67* ( 1 + (1/SIN(RADIANS(G80/2))) )/2</f>
        <v>233.987228618444</v>
      </c>
      <c r="J80" s="149" t="n">
        <f aca="false">I80/$E$67</f>
        <v>3.16198957592492</v>
      </c>
      <c r="L80" s="138" t="n">
        <f aca="false">$M$79+L79</f>
        <v>30</v>
      </c>
      <c r="N80" s="17" t="n">
        <f aca="false">(1.44 *INDEX(Z_values,MATCH($N$71,Symbol_values,0)) *  INDEX(Z_values,MATCH($N$74,Symbol_values,0)) / $N$72 ) * (1 + 1/SIN((RADIANS(L80/2)))  )/2</f>
        <v>21.8812909111739</v>
      </c>
      <c r="O80" s="151" t="str">
        <f aca="false">IF(N80&lt;$N$75,"touch",IF(N80&lt;($N$75+$K$66)," ","safe"))</f>
        <v>safe</v>
      </c>
    </row>
    <row r="81" customFormat="false" ht="12.75" hidden="false" customHeight="false" outlineLevel="0" collapsed="false">
      <c r="B81" s="34" t="n">
        <f aca="false">10+B80</f>
        <v>40</v>
      </c>
      <c r="D81" s="17" t="n">
        <f aca="false">1.152 * INDEX(Z_values,MATCH($D$67,Symbol_values,0)) *  INDEX(Z_values,MATCH($D$71,Symbol_values,0)) / ( ($E$67^0.33333 + $E$71^0.3333) + 4*$K$66/5 )*1.25/$K$67* ( 1 + (1/SIN(RADIANS(B81/2))) )/2</f>
        <v>472.43644110605</v>
      </c>
      <c r="E81" s="17" t="n">
        <f aca="false">D81/$E$67</f>
        <v>6.38427623116283</v>
      </c>
      <c r="G81" s="1" t="n">
        <f aca="false">10+G80</f>
        <v>40</v>
      </c>
      <c r="I81" s="17" t="n">
        <f aca="false">1.152 * INDEX(Z_values,MATCH($D$67,Symbol_values,0)) *  INDEX(Z_values,MATCH($I$71,Symbol_values,0)) / ( ($E$67^0.33333 + $J$71^0.3333) + 4*$K$66/5 )*1.25/$K$67* ( 1 + (1/SIN(RADIANS(G81/2))) )/2</f>
        <v>188.769762386959</v>
      </c>
      <c r="J81" s="149" t="n">
        <f aca="false">I81/$E$67</f>
        <v>2.55094273495891</v>
      </c>
      <c r="L81" s="138" t="n">
        <f aca="false">$M$79+L80</f>
        <v>40</v>
      </c>
      <c r="N81" s="17" t="n">
        <f aca="false">(1.44 *INDEX(Z_values,MATCH($N$71,Symbol_values,0)) *  INDEX(Z_values,MATCH($N$74,Symbol_values,0)) / $N$72 ) * (1 + 1/SIN((RADIANS(L81/2)))  )/2</f>
        <v>17.6527843438744</v>
      </c>
      <c r="O81" s="151" t="str">
        <f aca="false">IF(N81&lt;$N$75,"touch",IF(N81&lt;($N$75+$K$66)," ","safe"))</f>
        <v>safe</v>
      </c>
    </row>
    <row r="82" customFormat="false" ht="12.75" hidden="false" customHeight="false" outlineLevel="0" collapsed="false">
      <c r="B82" s="34" t="n">
        <f aca="false">10+B81</f>
        <v>50</v>
      </c>
      <c r="D82" s="17" t="n">
        <f aca="false">1.152 * INDEX(Z_values,MATCH($D$67,Symbol_values,0)) *  INDEX(Z_values,MATCH($D$71,Symbol_values,0)) / ( ($E$67^0.33333 + $E$71^0.3333) + 4*$K$66/5 )*1.25/$K$67* ( 1 + (1/SIN(RADIANS(B82/2))) )/2</f>
        <v>405.299585250482</v>
      </c>
      <c r="E82" s="17" t="n">
        <f aca="false">D82/$E$67</f>
        <v>5.47702142230381</v>
      </c>
      <c r="G82" s="1" t="n">
        <f aca="false">10+G81</f>
        <v>50</v>
      </c>
      <c r="I82" s="17" t="n">
        <f aca="false">1.152 * INDEX(Z_values,MATCH($D$67,Symbol_values,0)) *  INDEX(Z_values,MATCH($I$71,Symbol_values,0)) / ( ($E$67^0.33333 + $J$71^0.3333) + 4*$K$66/5 )*1.25/$K$67* ( 1 + (1/SIN(RADIANS(G82/2))) )/2</f>
        <v>161.944125699001</v>
      </c>
      <c r="J82" s="149" t="n">
        <f aca="false">I82/$E$67</f>
        <v>2.18843413106757</v>
      </c>
      <c r="L82" s="138" t="n">
        <f aca="false">$M$79+L81</f>
        <v>50</v>
      </c>
      <c r="N82" s="17" t="n">
        <f aca="false">(1.44 *INDEX(Z_values,MATCH($N$71,Symbol_values,0)) *  INDEX(Z_values,MATCH($N$74,Symbol_values,0)) / $N$72 ) * (1 + 1/SIN((RADIANS(L82/2)))  )/2</f>
        <v>15.1441877691278</v>
      </c>
      <c r="O82" s="151" t="str">
        <f aca="false">IF(N82&lt;$N$75,"touch",IF(N82&lt;($N$75+$K$66)," ","safe"))</f>
        <v> </v>
      </c>
    </row>
    <row r="83" customFormat="false" ht="12.75" hidden="false" customHeight="false" outlineLevel="0" collapsed="false">
      <c r="B83" s="34" t="n">
        <f aca="false">10+B82</f>
        <v>60</v>
      </c>
      <c r="D83" s="17" t="n">
        <f aca="false">1.152 * INDEX(Z_values,MATCH($D$67,Symbol_values,0)) *  INDEX(Z_values,MATCH($D$71,Symbol_values,0)) / ( ($E$67^0.33333 + $E$71^0.3333) + 4*$K$66/5 )*1.25/$K$67* ( 1 + (1/SIN(RADIANS(B83/2))) )/2</f>
        <v>361.207944835181</v>
      </c>
      <c r="E83" s="17" t="n">
        <f aca="false">D83/$E$67</f>
        <v>4.88118844371866</v>
      </c>
      <c r="G83" s="1" t="n">
        <f aca="false">10+G82</f>
        <v>60</v>
      </c>
      <c r="I83" s="17" t="n">
        <f aca="false">1.152 * INDEX(Z_values,MATCH($D$67,Symbol_values,0)) *  INDEX(Z_values,MATCH($I$71,Symbol_values,0)) / ( ($E$67^0.33333 + $J$71^0.3333) + 4*$K$66/5 )*1.25/$K$67* ( 1 + (1/SIN(RADIANS(G83/2))) )/2</f>
        <v>144.326584459037</v>
      </c>
      <c r="J83" s="149" t="n">
        <f aca="false">I83/$E$67</f>
        <v>1.95035924944644</v>
      </c>
      <c r="L83" s="138" t="n">
        <f aca="false">$M$79+L82</f>
        <v>60</v>
      </c>
      <c r="N83" s="17" t="n">
        <f aca="false">(1.44 *INDEX(Z_values,MATCH($N$71,Symbol_values,0)) *  INDEX(Z_values,MATCH($N$74,Symbol_values,0)) / $N$72 ) * (1 + 1/SIN((RADIANS(L83/2)))  )/2</f>
        <v>13.4966852653058</v>
      </c>
      <c r="O83" s="151" t="str">
        <f aca="false">IF(N83&lt;$N$75,"touch",IF(N83&lt;($N$75+$K$66)," ","safe"))</f>
        <v> </v>
      </c>
    </row>
    <row r="84" customFormat="false" ht="12.75" hidden="false" customHeight="false" outlineLevel="0" collapsed="false">
      <c r="B84" s="34" t="n">
        <f aca="false">10+B83</f>
        <v>70</v>
      </c>
      <c r="D84" s="17" t="n">
        <f aca="false">1.152 * INDEX(Z_values,MATCH($D$67,Symbol_values,0)) *  INDEX(Z_values,MATCH($D$71,Symbol_values,0)) / ( ($E$67^0.33333 + $E$71^0.3333) + 4*$K$66/5 )*1.25/$K$67* ( 1 + (1/SIN(RADIANS(B84/2))) )/2</f>
        <v>330.318259603653</v>
      </c>
      <c r="E84" s="17" t="n">
        <f aca="false">D84/$E$67</f>
        <v>4.46376026491423</v>
      </c>
      <c r="G84" s="1" t="n">
        <f aca="false">10+G83</f>
        <v>70</v>
      </c>
      <c r="I84" s="17" t="n">
        <f aca="false">1.152 * INDEX(Z_values,MATCH($D$67,Symbol_values,0)) *  INDEX(Z_values,MATCH($I$71,Symbol_values,0)) / ( ($E$67^0.33333 + $J$71^0.3333) + 4*$K$66/5 )*1.25/$K$67* ( 1 + (1/SIN(RADIANS(G84/2))) )/2</f>
        <v>131.984101885694</v>
      </c>
      <c r="J84" s="149" t="n">
        <f aca="false">I84/$E$67</f>
        <v>1.78356894440127</v>
      </c>
      <c r="L84" s="138" t="n">
        <f aca="false">$M$79+L83</f>
        <v>70</v>
      </c>
      <c r="N84" s="17" t="n">
        <f aca="false">(1.44 *INDEX(Z_values,MATCH($N$71,Symbol_values,0)) *  INDEX(Z_values,MATCH($N$74,Symbol_values,0)) / $N$72 ) * (1 + 1/SIN((RADIANS(L84/2)))  )/2</f>
        <v>12.3424793142032</v>
      </c>
      <c r="O84" s="151" t="str">
        <f aca="false">IF(N84&lt;$N$75,"touch",IF(N84&lt;($N$75+$K$66)," ","safe"))</f>
        <v>touch</v>
      </c>
    </row>
    <row r="85" customFormat="false" ht="12.75" hidden="false" customHeight="false" outlineLevel="0" collapsed="false">
      <c r="B85" s="34" t="n">
        <f aca="false">10+B84</f>
        <v>80</v>
      </c>
      <c r="D85" s="17" t="n">
        <f aca="false">1.152 * INDEX(Z_values,MATCH($D$67,Symbol_values,0)) *  INDEX(Z_values,MATCH($D$71,Symbol_values,0)) / ( ($E$67^0.33333 + $E$71^0.3333) + 4*$K$66/5 )*1.25/$K$67* ( 1 + (1/SIN(RADIANS(B85/2))) )/2</f>
        <v>307.715917022185</v>
      </c>
      <c r="E85" s="17" t="n">
        <f aca="false">D85/$E$67</f>
        <v>4.15832320300249</v>
      </c>
      <c r="G85" s="1" t="n">
        <f aca="false">10+G84</f>
        <v>80</v>
      </c>
      <c r="I85" s="17" t="n">
        <f aca="false">1.152 * INDEX(Z_values,MATCH($D$67,Symbol_values,0)) *  INDEX(Z_values,MATCH($I$71,Symbol_values,0)) / ( ($E$67^0.33333 + $J$71^0.3333) + 4*$K$66/5 )*1.25/$K$67* ( 1 + (1/SIN(RADIANS(G85/2))) )/2</f>
        <v>122.95296358378</v>
      </c>
      <c r="J85" s="149" t="n">
        <f aca="false">I85/$E$67</f>
        <v>1.66152653491595</v>
      </c>
      <c r="L85" s="138" t="n">
        <f aca="false">$M$79+L84</f>
        <v>80</v>
      </c>
      <c r="N85" s="17" t="n">
        <f aca="false">(1.44 *INDEX(Z_values,MATCH($N$71,Symbol_values,0)) *  INDEX(Z_values,MATCH($N$74,Symbol_values,0)) / $N$72 ) * (1 + 1/SIN((RADIANS(L85/2)))  )/2</f>
        <v>11.4979333720593</v>
      </c>
      <c r="O85" s="151" t="str">
        <f aca="false">IF(N85&lt;$N$75,"touch",IF(N85&lt;($N$75+$K$66)," ","safe"))</f>
        <v>touch</v>
      </c>
    </row>
    <row r="86" customFormat="false" ht="12.75" hidden="false" customHeight="false" outlineLevel="0" collapsed="false">
      <c r="B86" s="34" t="n">
        <f aca="false">10+B85</f>
        <v>90</v>
      </c>
      <c r="D86" s="17" t="n">
        <f aca="false">1.152 * INDEX(Z_values,MATCH($D$67,Symbol_values,0)) *  INDEX(Z_values,MATCH($D$71,Symbol_values,0)) / ( ($E$67^0.33333 + $E$71^0.3333) + 4*$K$66/5 )*1.25/$K$67* ( 1 + (1/SIN(RADIANS(B86/2))) )/2</f>
        <v>290.677706419336</v>
      </c>
      <c r="E86" s="17" t="n">
        <f aca="false">D86/$E$67</f>
        <v>3.9280771137748</v>
      </c>
      <c r="G86" s="1" t="n">
        <f aca="false">10+G85</f>
        <v>90</v>
      </c>
      <c r="I86" s="17" t="n">
        <f aca="false">1.152 * INDEX(Z_values,MATCH($D$67,Symbol_values,0)) *  INDEX(Z_values,MATCH($I$71,Symbol_values,0)) / ( ($E$67^0.33333 + $J$71^0.3333) + 4*$K$66/5 )*1.25/$K$67* ( 1 + (1/SIN(RADIANS(G86/2))) )/2</f>
        <v>116.145065870664</v>
      </c>
      <c r="J86" s="149" t="n">
        <f aca="false">I86/$E$67</f>
        <v>1.56952791717113</v>
      </c>
      <c r="L86" s="138" t="n">
        <f aca="false">$M$79+L85</f>
        <v>90</v>
      </c>
      <c r="N86" s="17" t="n">
        <f aca="false">(1.44 *INDEX(Z_values,MATCH($N$71,Symbol_values,0)) *  INDEX(Z_values,MATCH($N$74,Symbol_values,0)) / $N$72 ) * (1 + 1/SIN((RADIANS(L86/2)))  )/2</f>
        <v>10.8612935381941</v>
      </c>
      <c r="O86" s="151" t="str">
        <f aca="false">IF(N86&lt;$N$75,"touch",IF(N86&lt;($N$75+$K$66)," ","safe"))</f>
        <v>touch</v>
      </c>
    </row>
    <row r="87" customFormat="false" ht="12.75" hidden="false" customHeight="false" outlineLevel="0" collapsed="false">
      <c r="B87" s="34" t="n">
        <f aca="false">10+B86</f>
        <v>100</v>
      </c>
      <c r="D87" s="17" t="n">
        <f aca="false">1.152 * INDEX(Z_values,MATCH($D$67,Symbol_values,0)) *  INDEX(Z_values,MATCH($D$71,Symbol_values,0)) / ( ($E$67^0.33333 + $E$71^0.3333) + 4*$K$66/5 )*1.25/$K$67* ( 1 + (1/SIN(RADIANS(B87/2))) )/2</f>
        <v>277.577142995919</v>
      </c>
      <c r="E87" s="17" t="n">
        <f aca="false">D87/$E$67</f>
        <v>3.75104247291783</v>
      </c>
      <c r="G87" s="1" t="n">
        <f aca="false">10+G86</f>
        <v>100</v>
      </c>
      <c r="I87" s="17" t="n">
        <f aca="false">1.152 * INDEX(Z_values,MATCH($D$67,Symbol_values,0)) *  INDEX(Z_values,MATCH($I$71,Symbol_values,0)) / ( ($E$67^0.33333 + $J$71^0.3333) + 4*$K$66/5 )*1.25/$K$67* ( 1 + (1/SIN(RADIANS(G87/2))) )/2</f>
        <v>110.910519952098</v>
      </c>
      <c r="J87" s="149" t="n">
        <f aca="false">I87/$E$67</f>
        <v>1.49879081016348</v>
      </c>
      <c r="L87" s="138" t="n">
        <f aca="false">$M$79+L86</f>
        <v>100</v>
      </c>
      <c r="N87" s="17" t="n">
        <f aca="false">(1.44 *INDEX(Z_values,MATCH($N$71,Symbol_values,0)) *  INDEX(Z_values,MATCH($N$74,Symbol_values,0)) / $N$72 ) * (1 + 1/SIN((RADIANS(L87/2)))  )/2</f>
        <v>10.3717855308198</v>
      </c>
      <c r="O87" s="151" t="str">
        <f aca="false">IF(N87&lt;$N$75,"touch",IF(N87&lt;($N$75+$K$66)," ","safe"))</f>
        <v>touch</v>
      </c>
    </row>
    <row r="88" customFormat="false" ht="12.75" hidden="false" customHeight="false" outlineLevel="0" collapsed="false">
      <c r="B88" s="34" t="n">
        <f aca="false">10+B87</f>
        <v>110</v>
      </c>
      <c r="D88" s="17" t="n">
        <f aca="false">1.152 * INDEX(Z_values,MATCH($D$67,Symbol_values,0)) *  INDEX(Z_values,MATCH($D$71,Symbol_values,0)) / ( ($E$67^0.33333 + $E$71^0.3333) + 4*$K$66/5 )*1.25/$K$67* ( 1 + (1/SIN(RADIANS(B88/2))) )/2</f>
        <v>267.38714171624</v>
      </c>
      <c r="E88" s="17" t="n">
        <f aca="false">D88/$E$67</f>
        <v>3.61333975292216</v>
      </c>
      <c r="G88" s="1" t="n">
        <f aca="false">10+G87</f>
        <v>110</v>
      </c>
      <c r="I88" s="17" t="n">
        <f aca="false">1.152 * INDEX(Z_values,MATCH($D$67,Symbol_values,0)) *  INDEX(Z_values,MATCH($I$71,Symbol_values,0)) / ( ($E$67^0.33333 + $J$71^0.3333) + 4*$K$66/5 )*1.25/$K$67* ( 1 + (1/SIN(RADIANS(G88/2))) )/2</f>
        <v>106.838937083121</v>
      </c>
      <c r="J88" s="149" t="n">
        <f aca="false">I88/$E$67</f>
        <v>1.44376942004217</v>
      </c>
      <c r="L88" s="138" t="n">
        <f aca="false">$M$79+L87</f>
        <v>110</v>
      </c>
      <c r="N88" s="17" t="n">
        <f aca="false">(1.44 *INDEX(Z_values,MATCH($N$71,Symbol_values,0)) *  INDEX(Z_values,MATCH($N$74,Symbol_values,0)) / $N$72 ) * (1 + 1/SIN((RADIANS(L88/2)))  )/2</f>
        <v>9.99103188990075</v>
      </c>
      <c r="O88" s="151" t="str">
        <f aca="false">IF(N88&lt;$N$75,"touch",IF(N88&lt;($N$75+$K$66)," ","safe"))</f>
        <v>touch</v>
      </c>
    </row>
    <row r="89" customFormat="false" ht="12.75" hidden="false" customHeight="false" outlineLevel="0" collapsed="false">
      <c r="B89" s="34" t="n">
        <f aca="false">10+B88</f>
        <v>120</v>
      </c>
      <c r="D89" s="17" t="n">
        <f aca="false">1.152 * INDEX(Z_values,MATCH($D$67,Symbol_values,0)) *  INDEX(Z_values,MATCH($D$71,Symbol_values,0)) / ( ($E$67^0.33333 + $E$71^0.3333) + 4*$K$66/5 )*1.25/$K$67* ( 1 + (1/SIN(RADIANS(B89/2))) )/2</f>
        <v>259.431651067743</v>
      </c>
      <c r="E89" s="17" t="n">
        <f aca="false">D89/$E$67</f>
        <v>3.50583312253706</v>
      </c>
      <c r="G89" s="1" t="n">
        <f aca="false">10+G88</f>
        <v>120</v>
      </c>
      <c r="I89" s="17" t="n">
        <f aca="false">1.152 * INDEX(Z_values,MATCH($D$67,Symbol_values,0)) *  INDEX(Z_values,MATCH($I$71,Symbol_values,0)) / ( ($E$67^0.33333 + $J$71^0.3333) + 4*$K$66/5 )*1.25/$K$67* ( 1 + (1/SIN(RADIANS(G89/2))) )/2</f>
        <v>103.660189745441</v>
      </c>
      <c r="J89" s="149" t="n">
        <f aca="false">I89/$E$67</f>
        <v>1.4008133749384</v>
      </c>
      <c r="L89" s="138" t="n">
        <f aca="false">$M$79+L88</f>
        <v>120</v>
      </c>
      <c r="N89" s="17" t="n">
        <f aca="false">(1.44 *INDEX(Z_values,MATCH($N$71,Symbol_values,0)) *  INDEX(Z_values,MATCH($N$74,Symbol_values,0)) / $N$72 ) * (1 + 1/SIN((RADIANS(L89/2)))  )/2</f>
        <v>9.69377166916322</v>
      </c>
      <c r="O89" s="151" t="str">
        <f aca="false">IF(N89&lt;$N$75,"touch",IF(N89&lt;($N$75+$K$66)," ","safe"))</f>
        <v>touch</v>
      </c>
    </row>
    <row r="90" customFormat="false" ht="12.75" hidden="false" customHeight="false" outlineLevel="0" collapsed="false">
      <c r="B90" s="34" t="n">
        <f aca="false">10+B89</f>
        <v>130</v>
      </c>
      <c r="D90" s="17" t="n">
        <f aca="false">1.152 * INDEX(Z_values,MATCH($D$67,Symbol_values,0)) *  INDEX(Z_values,MATCH($D$71,Symbol_values,0)) / ( ($E$67^0.33333 + $E$71^0.3333) + 4*$K$66/5 )*1.25/$K$67* ( 1 + (1/SIN(RADIANS(B90/2))) )/2</f>
        <v>253.252271773381</v>
      </c>
      <c r="E90" s="17" t="n">
        <f aca="false">D90/$E$67</f>
        <v>3.42232799693758</v>
      </c>
      <c r="G90" s="1" t="n">
        <f aca="false">10+G89</f>
        <v>130</v>
      </c>
      <c r="I90" s="17" t="n">
        <f aca="false">1.152 * INDEX(Z_values,MATCH($D$67,Symbol_values,0)) *  INDEX(Z_values,MATCH($I$71,Symbol_values,0)) / ( ($E$67^0.33333 + $J$71^0.3333) + 4*$K$66/5 )*1.25/$K$67* ( 1 + (1/SIN(RADIANS(G90/2))) )/2</f>
        <v>101.191116956804</v>
      </c>
      <c r="J90" s="149" t="n">
        <f aca="false">I90/$E$67</f>
        <v>1.3674475264433</v>
      </c>
      <c r="L90" s="138" t="n">
        <f aca="false">$M$79+L89</f>
        <v>130</v>
      </c>
      <c r="N90" s="17" t="n">
        <f aca="false">(1.44 *INDEX(Z_values,MATCH($N$71,Symbol_values,0)) *  INDEX(Z_values,MATCH($N$74,Symbol_values,0)) / $N$72 ) * (1 + 1/SIN((RADIANS(L90/2)))  )/2</f>
        <v>9.46287658874353</v>
      </c>
      <c r="O90" s="151" t="str">
        <f aca="false">IF(N90&lt;$N$75,"touch",IF(N90&lt;($N$75+$K$66)," ","safe"))</f>
        <v>touch</v>
      </c>
    </row>
    <row r="91" customFormat="false" ht="12.75" hidden="false" customHeight="false" outlineLevel="0" collapsed="false">
      <c r="B91" s="34" t="n">
        <f aca="false">10+B90</f>
        <v>140</v>
      </c>
      <c r="D91" s="17" t="n">
        <f aca="false">1.152 * INDEX(Z_values,MATCH($D$67,Symbol_values,0)) *  INDEX(Z_values,MATCH($D$71,Symbol_values,0)) / ( ($E$67^0.33333 + $E$71^0.3333) + 4*$K$66/5 )*1.25/$K$67* ( 1 + (1/SIN(RADIANS(B91/2))) )/2</f>
        <v>248.532470323495</v>
      </c>
      <c r="E91" s="17" t="n">
        <f aca="false">D91/$E$67</f>
        <v>3.35854689626345</v>
      </c>
      <c r="G91" s="1" t="n">
        <f aca="false">10+G90</f>
        <v>140</v>
      </c>
      <c r="I91" s="17" t="n">
        <f aca="false">1.152 * INDEX(Z_values,MATCH($D$67,Symbol_values,0)) *  INDEX(Z_values,MATCH($I$71,Symbol_values,0)) / ( ($E$67^0.33333 + $J$71^0.3333) + 4*$K$66/5 )*1.25/$K$67* ( 1 + (1/SIN(RADIANS(G91/2))) )/2</f>
        <v>99.3052425392369</v>
      </c>
      <c r="J91" s="149" t="n">
        <f aca="false">I91/$E$67</f>
        <v>1.34196273701671</v>
      </c>
      <c r="L91" s="138" t="n">
        <f aca="false">$M$79+L90</f>
        <v>140</v>
      </c>
      <c r="N91" s="17" t="n">
        <f aca="false">(1.44 *INDEX(Z_values,MATCH($N$71,Symbol_values,0)) *  INDEX(Z_values,MATCH($N$74,Symbol_values,0)) / $N$72 ) * (1 + 1/SIN((RADIANS(L91/2)))  )/2</f>
        <v>9.28651924224912</v>
      </c>
      <c r="O91" s="151" t="str">
        <f aca="false">IF(N91&lt;$N$75,"touch",IF(N91&lt;($N$75+$K$66)," ","safe"))</f>
        <v>touch</v>
      </c>
    </row>
    <row r="92" customFormat="false" ht="12.75" hidden="false" customHeight="false" outlineLevel="0" collapsed="false">
      <c r="B92" s="34" t="n">
        <f aca="false">10+B91</f>
        <v>150</v>
      </c>
      <c r="D92" s="17" t="n">
        <f aca="false">1.152 * INDEX(Z_values,MATCH($D$67,Symbol_values,0)) *  INDEX(Z_values,MATCH($D$71,Symbol_values,0)) / ( ($E$67^0.33333 + $E$71^0.3333) + 4*$K$66/5 )*1.25/$K$67* ( 1 + (1/SIN(RADIANS(B92/2))) )/2</f>
        <v>245.052642099308</v>
      </c>
      <c r="E92" s="17" t="n">
        <f aca="false">D92/$E$67</f>
        <v>3.31152219053119</v>
      </c>
      <c r="G92" s="1" t="n">
        <f aca="false">10+G91</f>
        <v>150</v>
      </c>
      <c r="I92" s="17" t="n">
        <f aca="false">1.152 * INDEX(Z_values,MATCH($D$67,Symbol_values,0)) *  INDEX(Z_values,MATCH($I$71,Symbol_values,0)) / ( ($E$67^0.33333 + $J$71^0.3333) + 4*$K$66/5 )*1.25/$K$67* ( 1 + (1/SIN(RADIANS(G92/2))) )/2</f>
        <v>97.914819849807</v>
      </c>
      <c r="J92" s="149" t="n">
        <f aca="false">I92/$E$67</f>
        <v>1.32317324121361</v>
      </c>
      <c r="L92" s="138" t="n">
        <f aca="false">$M$79+L91</f>
        <v>150</v>
      </c>
      <c r="N92" s="17" t="n">
        <f aca="false">(1.44 *INDEX(Z_values,MATCH($N$71,Symbol_values,0)) *  INDEX(Z_values,MATCH($N$74,Symbol_values,0)) / $N$72 ) * (1 + 1/SIN((RADIANS(L92/2)))  )/2</f>
        <v>9.1564940116562</v>
      </c>
      <c r="O92" s="151" t="str">
        <f aca="false">IF(N92&lt;$N$75,"touch",IF(N92&lt;($N$75+$K$66)," ","safe"))</f>
        <v>touch</v>
      </c>
    </row>
    <row r="93" customFormat="false" ht="12.75" hidden="false" customHeight="false" outlineLevel="0" collapsed="false">
      <c r="B93" s="34" t="n">
        <f aca="false">10+B92</f>
        <v>160</v>
      </c>
      <c r="D93" s="17" t="n">
        <f aca="false">1.152 * INDEX(Z_values,MATCH($D$67,Symbol_values,0)) *  INDEX(Z_values,MATCH($D$71,Symbol_values,0)) / ( ($E$67^0.33333 + $E$71^0.3333) + 4*$K$66/5 )*1.25/$K$67* ( 1 + (1/SIN(RADIANS(B93/2))) )/2</f>
        <v>242.662701481794</v>
      </c>
      <c r="E93" s="17" t="n">
        <f aca="false">D93/$E$67</f>
        <v>3.27922569569992</v>
      </c>
      <c r="G93" s="1" t="n">
        <f aca="false">10+G92</f>
        <v>160</v>
      </c>
      <c r="I93" s="17" t="n">
        <f aca="false">1.152 * INDEX(Z_values,MATCH($D$67,Symbol_values,0)) *  INDEX(Z_values,MATCH($I$71,Symbol_values,0)) / ( ($E$67^0.33333 + $J$71^0.3333) + 4*$K$66/5 )*1.25/$K$67* ( 1 + (1/SIN(RADIANS(G93/2))) )/2</f>
        <v>96.9598797071059</v>
      </c>
      <c r="J93" s="149" t="n">
        <f aca="false">I93/$E$67</f>
        <v>1.31026864469062</v>
      </c>
      <c r="L93" s="138" t="n">
        <f aca="false">$M$79+L92</f>
        <v>160</v>
      </c>
      <c r="N93" s="17" t="n">
        <f aca="false">(1.44 *INDEX(Z_values,MATCH($N$71,Symbol_values,0)) *  INDEX(Z_values,MATCH($N$74,Symbol_values,0)) / $N$72 ) * (1 + 1/SIN((RADIANS(L93/2)))  )/2</f>
        <v>9.0671928853145</v>
      </c>
      <c r="O93" s="151" t="str">
        <f aca="false">IF(N93&lt;$N$75,"touch",IF(N93&lt;($N$75+$K$66)," ","safe"))</f>
        <v>touch</v>
      </c>
    </row>
    <row r="94" customFormat="false" ht="12.75" hidden="false" customHeight="false" outlineLevel="0" collapsed="false">
      <c r="B94" s="34" t="n">
        <f aca="false">10+B93</f>
        <v>170</v>
      </c>
      <c r="D94" s="17" t="n">
        <f aca="false">1.152 * INDEX(Z_values,MATCH($D$67,Symbol_values,0)) *  INDEX(Z_values,MATCH($D$71,Symbol_values,0)) / ( ($E$67^0.33333 + $E$71^0.3333) + 4*$K$66/5 )*1.25/$K$67* ( 1 + (1/SIN(RADIANS(B94/2))) )/2</f>
        <v>241.265215113</v>
      </c>
      <c r="E94" s="17" t="n">
        <f aca="false">D94/$E$67</f>
        <v>3.26034074477027</v>
      </c>
      <c r="G94" s="1" t="n">
        <f aca="false">10+G93</f>
        <v>170</v>
      </c>
      <c r="I94" s="17" t="n">
        <f aca="false">1.152 * INDEX(Z_values,MATCH($D$67,Symbol_values,0)) *  INDEX(Z_values,MATCH($I$71,Symbol_values,0)) / ( ($E$67^0.33333 + $J$71^0.3333) + 4*$K$66/5 )*1.25/$K$67* ( 1 + (1/SIN(RADIANS(G94/2))) )/2</f>
        <v>96.4014910079643</v>
      </c>
      <c r="J94" s="149" t="n">
        <f aca="false">I94/$E$67</f>
        <v>1.30272285145898</v>
      </c>
      <c r="L94" s="138" t="n">
        <f aca="false">$M$79+L93</f>
        <v>170</v>
      </c>
      <c r="N94" s="17" t="n">
        <f aca="false">(1.44 *INDEX(Z_values,MATCH($N$71,Symbol_values,0)) *  INDEX(Z_values,MATCH($N$74,Symbol_values,0)) / $N$72 ) * (1 + 1/SIN((RADIANS(L94/2)))  )/2</f>
        <v>9.01497522523291</v>
      </c>
      <c r="O94" s="151" t="str">
        <f aca="false">IF(N94&lt;$N$75,"touch",IF(N94&lt;($N$75+$K$66)," ","safe"))</f>
        <v>touch</v>
      </c>
    </row>
    <row r="95" customFormat="false" ht="12.75" hidden="false" customHeight="false" outlineLevel="0" collapsed="false">
      <c r="B95" s="152" t="n">
        <f aca="false">10+B94</f>
        <v>180</v>
      </c>
      <c r="C95" s="80"/>
      <c r="D95" s="153" t="n">
        <f aca="false">1.152 * INDEX(Z_values,MATCH($D$67,Symbol_values,0)) *  INDEX(Z_values,MATCH($D$71,Symbol_values,0)) / ( ($E$67^0.33333 + $E$71^0.3333) + 4*$K$66/5 )*1.25/$K$67* ( 1 + (1/SIN(RADIANS(B95/2))) )/2</f>
        <v>240.805296556787</v>
      </c>
      <c r="E95" s="153" t="n">
        <f aca="false">D95/$E$67</f>
        <v>3.25412562914577</v>
      </c>
      <c r="G95" s="80" t="n">
        <f aca="false">10+G94</f>
        <v>180</v>
      </c>
      <c r="H95" s="80"/>
      <c r="I95" s="153" t="n">
        <f aca="false">1.152 * INDEX(Z_values,MATCH($D$67,Symbol_values,0)) *  INDEX(Z_values,MATCH($I$71,Symbol_values,0)) / ( ($E$67^0.33333 + $J$71^0.3333) + 4*$K$66/5 )*1.25/$K$67* ( 1 + (1/SIN(RADIANS(G95/2))) )/2</f>
        <v>96.217722972691</v>
      </c>
      <c r="J95" s="154" t="n">
        <f aca="false">I95/$E$67</f>
        <v>1.30023949963096</v>
      </c>
      <c r="L95" s="138" t="n">
        <f aca="false">$M$79+L94</f>
        <v>180</v>
      </c>
      <c r="N95" s="17" t="n">
        <f aca="false">(1.44 *INDEX(Z_values,MATCH($N$71,Symbol_values,0)) *  INDEX(Z_values,MATCH($N$74,Symbol_values,0)) / $N$72 ) * (1 + 1/SIN((RADIANS(L95/2)))  )/2</f>
        <v>8.99779017687052</v>
      </c>
      <c r="O95" s="151" t="str">
        <f aca="false">IF(N95&lt;$N$75,"touch",IF(N95&lt;($N$75+$K$66)," ","safe"))</f>
        <v>touch</v>
      </c>
    </row>
    <row r="96" customFormat="false" ht="12.75" hidden="false" customHeight="false" outlineLevel="0" collapsed="false">
      <c r="B96" s="133"/>
      <c r="C96" s="134"/>
      <c r="D96" s="134"/>
      <c r="E96" s="155"/>
      <c r="F96" s="134"/>
      <c r="G96" s="134"/>
      <c r="H96" s="134"/>
      <c r="I96" s="134"/>
      <c r="J96" s="135"/>
      <c r="L96" s="156"/>
      <c r="M96" s="134"/>
      <c r="N96" s="134"/>
      <c r="O96" s="157"/>
    </row>
    <row r="97" customFormat="false" ht="13.5" hidden="false" customHeight="false" outlineLevel="0" collapsed="false">
      <c r="B97" s="41"/>
      <c r="C97" s="6"/>
      <c r="D97" s="6"/>
      <c r="E97" s="28"/>
      <c r="F97" s="6"/>
      <c r="G97" s="6"/>
      <c r="H97" s="6"/>
      <c r="I97" s="6"/>
      <c r="J97" s="6"/>
      <c r="K97" s="6"/>
      <c r="L97" s="6"/>
      <c r="M97" s="6"/>
      <c r="N97" s="6"/>
      <c r="O97" s="42"/>
      <c r="Q97" s="113" t="s">
        <v>128</v>
      </c>
    </row>
    <row r="98" customFormat="false" ht="13.5" hidden="false" customHeight="false" outlineLevel="0" collapsed="false">
      <c r="B98" s="29"/>
      <c r="C98" s="29"/>
      <c r="D98" s="29"/>
      <c r="E98" s="158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customFormat="false" ht="12.75" hidden="false" customHeight="false" outlineLevel="0" collapsed="false">
      <c r="B99" s="159" t="s">
        <v>173</v>
      </c>
      <c r="C99" s="160"/>
      <c r="D99" s="160"/>
      <c r="E99" s="32"/>
      <c r="F99" s="32"/>
      <c r="G99" s="32" t="s">
        <v>174</v>
      </c>
      <c r="H99" s="32"/>
      <c r="I99" s="32"/>
      <c r="J99" s="32"/>
      <c r="K99" s="32"/>
      <c r="L99" s="32"/>
      <c r="M99" s="32"/>
      <c r="N99" s="32"/>
      <c r="O99" s="33"/>
    </row>
    <row r="100" customFormat="false" ht="12.75" hidden="false" customHeight="false" outlineLevel="0" collapsed="false">
      <c r="B100" s="161"/>
      <c r="C100" s="3"/>
      <c r="D100" s="3"/>
      <c r="O100" s="74"/>
    </row>
    <row r="101" customFormat="false" ht="12.75" hidden="false" customHeight="false" outlineLevel="0" collapsed="false">
      <c r="B101" s="34"/>
      <c r="G101" s="162" t="s">
        <v>12</v>
      </c>
      <c r="H101" s="1" t="s">
        <v>150</v>
      </c>
      <c r="J101" s="2"/>
      <c r="O101" s="74"/>
    </row>
    <row r="102" customFormat="false" ht="12.75" hidden="false" customHeight="false" outlineLevel="0" collapsed="false">
      <c r="B102" s="34" t="s">
        <v>153</v>
      </c>
      <c r="D102" s="45" t="s">
        <v>49</v>
      </c>
      <c r="E102" s="13" t="n">
        <v>12</v>
      </c>
      <c r="G102" s="1" t="n">
        <f aca="true">VLOOKUP(D102,INDIRECT(ADDRESS(MATCH(E102,A_values,0),4,1,TRUE(),"mass_rmd.mas")):INDIRECT(ADDRESS(MATCH(E102+1,A_values,0)-1,7,1,TRUE(),"mass_rmd.mas")),4,FALSE())/1000</f>
        <v>0</v>
      </c>
      <c r="H102" s="1" t="n">
        <f aca="false">E102+G102/'mass_rmd.mas'!$A$2</f>
        <v>12</v>
      </c>
      <c r="O102" s="74"/>
    </row>
    <row r="103" customFormat="false" ht="12.75" hidden="false" customHeight="false" outlineLevel="0" collapsed="false">
      <c r="B103" s="161" t="s">
        <v>175</v>
      </c>
      <c r="C103" s="3"/>
      <c r="D103" s="26" t="n">
        <v>7.655</v>
      </c>
      <c r="E103" s="1" t="s">
        <v>28</v>
      </c>
      <c r="O103" s="74"/>
    </row>
    <row r="104" customFormat="false" ht="12.75" hidden="false" customHeight="false" outlineLevel="0" collapsed="false">
      <c r="B104" s="34"/>
      <c r="F104" s="79" t="s">
        <v>176</v>
      </c>
      <c r="J104" s="163" t="s">
        <v>177</v>
      </c>
      <c r="K104" s="164" t="s">
        <v>178</v>
      </c>
      <c r="L104" s="165" t="s">
        <v>179</v>
      </c>
      <c r="M104" s="166"/>
      <c r="N104" s="167" t="s">
        <v>180</v>
      </c>
      <c r="O104" s="74"/>
    </row>
    <row r="105" customFormat="false" ht="12.75" hidden="false" customHeight="false" outlineLevel="0" collapsed="false">
      <c r="B105" s="34" t="s">
        <v>181</v>
      </c>
      <c r="D105" s="26" t="n">
        <v>20</v>
      </c>
      <c r="E105" s="1" t="s">
        <v>28</v>
      </c>
      <c r="F105" s="1" t="n">
        <f aca="false">SQRT(1-1/(1+D105/H102/'mass_rmd.mas'!$A$2)^2)</f>
        <v>0.0597400235360263</v>
      </c>
      <c r="J105" s="138"/>
      <c r="K105" s="168" t="s">
        <v>11</v>
      </c>
      <c r="L105" s="168" t="s">
        <v>182</v>
      </c>
      <c r="M105" s="168" t="s">
        <v>183</v>
      </c>
      <c r="N105" s="169" t="s">
        <v>184</v>
      </c>
      <c r="O105" s="74"/>
    </row>
    <row r="106" customFormat="false" ht="12.75" hidden="false" customHeight="false" outlineLevel="0" collapsed="false">
      <c r="B106" s="34"/>
      <c r="J106" s="138"/>
      <c r="N106" s="132"/>
      <c r="O106" s="74"/>
    </row>
    <row r="107" customFormat="false" ht="12.75" hidden="false" customHeight="false" outlineLevel="0" collapsed="false">
      <c r="B107" s="34" t="s">
        <v>185</v>
      </c>
      <c r="D107" s="45" t="s">
        <v>85</v>
      </c>
      <c r="E107" s="13" t="n">
        <v>4</v>
      </c>
      <c r="G107" s="1" t="n">
        <f aca="true">VLOOKUP(D107,INDIRECT(ADDRESS(MATCH(E107,A_values,0),4,1,TRUE(),"mass_rmd.mas")):INDIRECT(ADDRESS(MATCH(E107+1,A_values,0)-1,7,1,TRUE(),"mass_rmd.mas")),4,FALSE())/1000</f>
        <v>2.42491561</v>
      </c>
      <c r="H107" s="1" t="n">
        <f aca="false">E107+G107/'mass_rmd.mas'!$A$2</f>
        <v>4.00260323289837</v>
      </c>
      <c r="J107" s="170" t="str">
        <f aca="false">CONCATENATE(E107,INDEX(Symbol_values,MATCH(INDEX(Z_values,MATCH(D107,Symbol_values,0)),Z_values,0)))</f>
        <v>4He</v>
      </c>
      <c r="L107" s="1" t="n">
        <f aca="false">SQRT(2*(H109+D110/'mass_rmd.mas'!$A$2)/(CALCULATOR!H109+D110/'mass_rmd.mas'!$A$2+CALCULATOR!H107)*CALCULATOR!K108/H107/'mass_rmd.mas'!$A$2)</f>
        <v>0.0101558176843316</v>
      </c>
      <c r="M107" s="171" t="n">
        <f aca="false">IF(L107&lt;$F$105,1000*ASIN(L107/$F$105)," ")</f>
        <v>170.829901558227</v>
      </c>
      <c r="N107" s="172" t="n">
        <f aca="false">IF(L107&lt;$F$105,DEGREES(ASIN(L107/$F$105)),"unconfined")</f>
        <v>9.78783237392172</v>
      </c>
      <c r="O107" s="74"/>
    </row>
    <row r="108" customFormat="false" ht="12.75" hidden="false" customHeight="false" outlineLevel="0" collapsed="false">
      <c r="B108" s="34"/>
      <c r="J108" s="138"/>
      <c r="K108" s="17" t="n">
        <f aca="false">G102+D103-G107-G109-D110</f>
        <v>0.28841339</v>
      </c>
      <c r="N108" s="132"/>
      <c r="O108" s="74"/>
    </row>
    <row r="109" customFormat="false" ht="12.75" hidden="false" customHeight="false" outlineLevel="0" collapsed="false">
      <c r="B109" s="34" t="s">
        <v>186</v>
      </c>
      <c r="D109" s="173" t="str">
        <f aca="false">INDEX(Symbol_values,MATCH(INDEX(Z_values,MATCH(D102,Symbol_values,0))-INDEX(Z_values,MATCH(D107,Symbol_values,0)),Z_values,0))</f>
        <v>Be</v>
      </c>
      <c r="E109" s="22" t="n">
        <f aca="false">E102-E107</f>
        <v>8</v>
      </c>
      <c r="G109" s="1" t="n">
        <f aca="true">VLOOKUP(D109,INDIRECT(ADDRESS(MATCH(E109,A_values,0),4,1,TRUE(),"mass_rmd.mas")):INDIRECT(ADDRESS(MATCH(E109+1,A_values,0)-1,7,1,TRUE(),"mass_rmd.mas")),4,FALSE())/1000</f>
        <v>4.941671</v>
      </c>
      <c r="H109" s="1" t="n">
        <f aca="false">E109+G109/'mass_rmd.mas'!$A$2</f>
        <v>8.00530505905733</v>
      </c>
      <c r="J109" s="170" t="str">
        <f aca="false">CONCATENATE(E109,INDEX(Symbol_values,MATCH(INDEX(Z_values,MATCH(D109,Symbol_values,0)),Z_values,0)))</f>
        <v>8Be</v>
      </c>
      <c r="L109" s="1" t="n">
        <f aca="false">SQRT(2*(CALCULATOR!H107)/(CALCULATOR!H109+D110/'mass_rmd.mas'!$A$2+CALCULATOR!H107)*CALCULATOR!K108/(H109+D110/'mass_rmd.mas'!$A$2)/'mass_rmd.mas'!$A$2)</f>
        <v>0.00507784630268901</v>
      </c>
      <c r="M109" s="171" t="n">
        <f aca="false">IF(L109&lt;$F$105,1000*ASIN(L109/$F$105)," ")</f>
        <v>85.1017526598285</v>
      </c>
      <c r="N109" s="172" t="n">
        <f aca="false">IF(L109&lt;$F$105,DEGREES(ASIN(L109/$F$105)),"unconfined")</f>
        <v>4.8759712565744</v>
      </c>
      <c r="O109" s="74"/>
    </row>
    <row r="110" customFormat="false" ht="12.75" hidden="false" customHeight="false" outlineLevel="0" collapsed="false">
      <c r="B110" s="161" t="s">
        <v>175</v>
      </c>
      <c r="C110" s="3"/>
      <c r="D110" s="26" t="n">
        <v>0</v>
      </c>
      <c r="E110" s="1" t="s">
        <v>28</v>
      </c>
      <c r="J110" s="156"/>
      <c r="K110" s="134"/>
      <c r="L110" s="134"/>
      <c r="M110" s="134"/>
      <c r="N110" s="135"/>
      <c r="O110" s="74"/>
    </row>
    <row r="111" customFormat="false" ht="13.5" hidden="false" customHeight="false" outlineLevel="0" collapsed="false">
      <c r="B111" s="174"/>
      <c r="C111" s="8"/>
      <c r="D111" s="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42"/>
      <c r="Q111" s="113" t="s">
        <v>128</v>
      </c>
    </row>
    <row r="112" customFormat="false" ht="13.5" hidden="false" customHeight="false" outlineLevel="0" collapsed="false">
      <c r="B112" s="68"/>
      <c r="C112" s="68"/>
      <c r="D112" s="68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customFormat="false" ht="12.75" hidden="false" customHeight="false" outlineLevel="0" collapsed="false">
      <c r="B113" s="175" t="s">
        <v>187</v>
      </c>
      <c r="C113" s="176"/>
      <c r="D113" s="176"/>
      <c r="E113" s="176"/>
      <c r="F113" s="32"/>
      <c r="G113" s="32" t="s">
        <v>188</v>
      </c>
      <c r="H113" s="32"/>
      <c r="I113" s="32"/>
      <c r="J113" s="32"/>
      <c r="K113" s="32"/>
      <c r="L113" s="32"/>
      <c r="M113" s="32"/>
      <c r="N113" s="32"/>
      <c r="O113" s="33"/>
    </row>
    <row r="114" customFormat="false" ht="12.75" hidden="false" customHeight="false" outlineLevel="0" collapsed="false">
      <c r="B114" s="34"/>
      <c r="O114" s="74"/>
    </row>
    <row r="115" customFormat="false" ht="12.75" hidden="false" customHeight="false" outlineLevel="0" collapsed="false">
      <c r="B115" s="143" t="s">
        <v>189</v>
      </c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8"/>
    </row>
    <row r="116" customFormat="false" ht="12.75" hidden="false" customHeight="false" outlineLevel="0" collapsed="false">
      <c r="B116" s="34"/>
      <c r="O116" s="74"/>
    </row>
    <row r="117" customFormat="false" ht="12.75" hidden="false" customHeight="false" outlineLevel="0" collapsed="false">
      <c r="B117" s="34"/>
      <c r="C117" s="177"/>
      <c r="D117" s="178"/>
      <c r="E117" s="179" t="s">
        <v>0</v>
      </c>
      <c r="F117" s="178"/>
      <c r="G117" s="128"/>
      <c r="H117" s="128"/>
      <c r="I117" s="128"/>
      <c r="J117" s="179" t="s">
        <v>1</v>
      </c>
      <c r="K117" s="180"/>
      <c r="L117" s="128"/>
      <c r="M117" s="128"/>
      <c r="N117" s="130"/>
      <c r="O117" s="74"/>
    </row>
    <row r="118" customFormat="false" ht="12.75" hidden="false" customHeight="false" outlineLevel="0" collapsed="false">
      <c r="B118" s="34"/>
      <c r="C118" s="181" t="s">
        <v>2</v>
      </c>
      <c r="D118" s="3" t="s">
        <v>3</v>
      </c>
      <c r="E118" s="4" t="s">
        <v>4</v>
      </c>
      <c r="F118" s="4" t="s">
        <v>5</v>
      </c>
      <c r="I118" s="1" t="s">
        <v>6</v>
      </c>
      <c r="J118" s="4" t="s">
        <v>7</v>
      </c>
      <c r="K118" s="2" t="s">
        <v>1</v>
      </c>
      <c r="M118" s="4" t="s">
        <v>8</v>
      </c>
      <c r="N118" s="132"/>
      <c r="O118" s="58"/>
    </row>
    <row r="119" customFormat="false" ht="13.5" hidden="false" customHeight="false" outlineLevel="0" collapsed="false">
      <c r="B119" s="34"/>
      <c r="C119" s="182"/>
      <c r="D119" s="8"/>
      <c r="E119" s="9" t="s">
        <v>11</v>
      </c>
      <c r="F119" s="9" t="s">
        <v>11</v>
      </c>
      <c r="G119" s="6"/>
      <c r="H119" s="6"/>
      <c r="I119" s="6"/>
      <c r="J119" s="10" t="s">
        <v>12</v>
      </c>
      <c r="K119" s="11" t="s">
        <v>13</v>
      </c>
      <c r="M119" s="6"/>
      <c r="N119" s="183"/>
      <c r="O119" s="74"/>
    </row>
    <row r="120" customFormat="false" ht="12.75" hidden="false" customHeight="false" outlineLevel="0" collapsed="false">
      <c r="B120" s="34"/>
      <c r="C120" s="181"/>
      <c r="D120" s="3"/>
      <c r="G120" s="1" t="s">
        <v>15</v>
      </c>
      <c r="K120" s="2"/>
      <c r="N120" s="132"/>
      <c r="O120" s="74"/>
    </row>
    <row r="121" customFormat="false" ht="12.75" hidden="false" customHeight="false" outlineLevel="0" collapsed="false">
      <c r="B121" s="34" t="s">
        <v>0</v>
      </c>
      <c r="C121" s="45" t="s">
        <v>190</v>
      </c>
      <c r="D121" s="13" t="n">
        <v>17</v>
      </c>
      <c r="E121" s="14" t="n">
        <v>100</v>
      </c>
      <c r="F121" s="15" t="n">
        <f aca="false">E121*K122/(K121+K122)</f>
        <v>41.3805492446194</v>
      </c>
      <c r="G121" s="16" t="str">
        <f aca="false">IF((F121+M126)&gt;0,"above","BELOW")</f>
        <v>above</v>
      </c>
      <c r="I121" s="1" t="n">
        <f aca="false">INDEX(Z_values,MATCH(C121,Symbol_values,0))</f>
        <v>8</v>
      </c>
      <c r="J121" s="17" t="n">
        <f aca="true">VLOOKUP(C121,INDIRECT(ADDRESS(MATCH(D121,A_values,0),4,1,TRUE(),"mass_rmd.mas")):INDIRECT(ADDRESS(MATCH(D121+1,A_values,0)-1,7,1,TRUE(),"mass_rmd.mas")),4,FALSE())/1000</f>
        <v>-0.80876348</v>
      </c>
      <c r="K121" s="17" t="n">
        <f aca="false">D121+J121/'mass_rmd.mas'!A2</f>
        <v>16.9991317637243</v>
      </c>
      <c r="M121" s="19" t="s">
        <v>18</v>
      </c>
      <c r="N121" s="184" t="s">
        <v>19</v>
      </c>
      <c r="O121" s="74"/>
    </row>
    <row r="122" customFormat="false" ht="12.75" hidden="false" customHeight="false" outlineLevel="0" collapsed="false">
      <c r="B122" s="34" t="s">
        <v>21</v>
      </c>
      <c r="C122" s="45" t="s">
        <v>49</v>
      </c>
      <c r="D122" s="13" t="n">
        <v>12</v>
      </c>
      <c r="F122" s="3"/>
      <c r="G122" s="1" t="s">
        <v>23</v>
      </c>
      <c r="I122" s="1" t="n">
        <f aca="false">INDEX(Z_values,MATCH(C122,Symbol_values,0))</f>
        <v>6</v>
      </c>
      <c r="J122" s="17" t="n">
        <f aca="true">VLOOKUP(C122,INDIRECT(ADDRESS(MATCH(D122,A_values,0),4,1,TRUE(),"mass_rmd.mas")):INDIRECT(ADDRESS(MATCH(D122+1,A_values,0)-1,7,1,TRUE(),"mass_rmd.mas")),4,FALSE())/1000</f>
        <v>0</v>
      </c>
      <c r="K122" s="17" t="n">
        <f aca="false">D122+J122/'mass_rmd.mas'!$A$2</f>
        <v>12</v>
      </c>
      <c r="M122" s="19" t="s">
        <v>24</v>
      </c>
      <c r="N122" s="184" t="s">
        <v>24</v>
      </c>
      <c r="O122" s="74"/>
    </row>
    <row r="123" customFormat="false" ht="12.75" hidden="false" customHeight="false" outlineLevel="0" collapsed="false">
      <c r="B123" s="34"/>
      <c r="C123" s="181"/>
      <c r="D123" s="3"/>
      <c r="G123" s="4"/>
      <c r="M123" s="19" t="s">
        <v>8</v>
      </c>
      <c r="N123" s="184" t="s">
        <v>8</v>
      </c>
      <c r="O123" s="74"/>
    </row>
    <row r="124" customFormat="false" ht="12.75" hidden="false" customHeight="false" outlineLevel="0" collapsed="false">
      <c r="B124" s="34" t="s">
        <v>27</v>
      </c>
      <c r="C124" s="45" t="s">
        <v>190</v>
      </c>
      <c r="D124" s="13" t="n">
        <v>16</v>
      </c>
      <c r="G124" s="4" t="s">
        <v>26</v>
      </c>
      <c r="I124" s="1" t="n">
        <f aca="false">INDEX(Z_values,MATCH(C124,Symbol_values,0))</f>
        <v>8</v>
      </c>
      <c r="J124" s="17" t="n">
        <f aca="true">VLOOKUP(C124,INDIRECT(ADDRESS(MATCH(D124,A_values,0),4,1,TRUE(),"mass_rmd.mas")):INDIRECT(ADDRESS(MATCH(D124+1,A_values,0)-1,7,1,TRUE(),"mass_rmd.mas")),4,FALSE())/1000</f>
        <v>-4.73700135</v>
      </c>
      <c r="K124" s="17" t="n">
        <f aca="false">D124+J124/'mass_rmd.mas'!$A$2</f>
        <v>15.9949146610698</v>
      </c>
      <c r="M124" s="19" t="s">
        <v>11</v>
      </c>
      <c r="N124" s="184" t="s">
        <v>11</v>
      </c>
      <c r="O124" s="74"/>
    </row>
    <row r="125" customFormat="false" ht="12.75" hidden="false" customHeight="false" outlineLevel="0" collapsed="false">
      <c r="B125" s="34"/>
      <c r="C125" s="181"/>
      <c r="D125" s="3"/>
      <c r="G125" s="4" t="s">
        <v>11</v>
      </c>
      <c r="M125" s="19"/>
      <c r="N125" s="184"/>
      <c r="O125" s="74"/>
    </row>
    <row r="126" customFormat="false" ht="12.75" hidden="false" customHeight="false" outlineLevel="0" collapsed="false">
      <c r="B126" s="34" t="s">
        <v>30</v>
      </c>
      <c r="C126" s="185" t="str">
        <f aca="false">INDEX(Symbol_values,MATCH(I126,Z_values,1))</f>
        <v>C</v>
      </c>
      <c r="D126" s="186" t="n">
        <f aca="false">D121+D122-D124</f>
        <v>13</v>
      </c>
      <c r="G126" s="14" t="n">
        <v>5</v>
      </c>
      <c r="I126" s="1" t="n">
        <f aca="false">I121+I122-I124</f>
        <v>6</v>
      </c>
      <c r="J126" s="17" t="n">
        <f aca="true">VLOOKUP(C126,INDIRECT(ADDRESS(MATCH(D126,A_values,0),4,1,TRUE(),"mass_rmd.mas")):INDIRECT(ADDRESS(MATCH(D126+1,A_values,0)-1,7,1,TRUE(),"mass_rmd.mas")),4,FALSE())/1000</f>
        <v>3.12500888</v>
      </c>
      <c r="K126" s="17" t="n">
        <f aca="false">D126+J126/'mass_rmd.mas'!$A$2</f>
        <v>13.00335480785</v>
      </c>
      <c r="M126" s="112" t="n">
        <f aca="false">J121+J122-J124-J126</f>
        <v>0.80322899</v>
      </c>
      <c r="N126" s="187" t="n">
        <f aca="false">M126-G126</f>
        <v>-4.19677101</v>
      </c>
      <c r="O126" s="74"/>
    </row>
    <row r="127" customFormat="false" ht="12.75" hidden="false" customHeight="false" outlineLevel="0" collapsed="false">
      <c r="B127" s="34"/>
      <c r="C127" s="188"/>
      <c r="D127" s="189"/>
      <c r="E127" s="134"/>
      <c r="F127" s="134"/>
      <c r="G127" s="190"/>
      <c r="H127" s="134"/>
      <c r="I127" s="134"/>
      <c r="J127" s="155"/>
      <c r="K127" s="155"/>
      <c r="L127" s="134"/>
      <c r="M127" s="191"/>
      <c r="N127" s="192"/>
      <c r="O127" s="74"/>
    </row>
    <row r="128" customFormat="false" ht="12.75" hidden="false" customHeight="false" outlineLevel="0" collapsed="false">
      <c r="B128" s="34"/>
      <c r="O128" s="74"/>
    </row>
    <row r="129" customFormat="false" ht="12.75" hidden="false" customHeight="false" outlineLevel="0" collapsed="false">
      <c r="B129" s="34" t="s">
        <v>191</v>
      </c>
      <c r="D129" s="14" t="n">
        <v>2</v>
      </c>
      <c r="F129" s="136" t="s">
        <v>192</v>
      </c>
      <c r="G129" s="193" t="n">
        <f aca="false">INDEX(Z_values,MATCH(C124,Symbol_values,0))-INDEX(Z_values,MATCH(C121,Symbol_values,0))</f>
        <v>0</v>
      </c>
      <c r="H129" s="193" t="str">
        <f aca="false">IF(G129*G130=0," ",IF((G129/G130)&gt;0," ","not"))</f>
        <v> </v>
      </c>
      <c r="I129" s="130" t="s">
        <v>193</v>
      </c>
      <c r="M129" s="2" t="s">
        <v>194</v>
      </c>
      <c r="N129" s="1" t="n">
        <v>197.315</v>
      </c>
      <c r="O129" s="74"/>
    </row>
    <row r="130" customFormat="false" ht="12.75" hidden="false" customHeight="false" outlineLevel="0" collapsed="false">
      <c r="B130" s="34"/>
      <c r="F130" s="156" t="s">
        <v>195</v>
      </c>
      <c r="G130" s="194" t="n">
        <f aca="false">D124-D121</f>
        <v>-1</v>
      </c>
      <c r="H130" s="195" t="str">
        <f aca="false">H129</f>
        <v> </v>
      </c>
      <c r="I130" s="135" t="s">
        <v>193</v>
      </c>
      <c r="O130" s="74"/>
    </row>
    <row r="131" customFormat="false" ht="12.75" hidden="false" customHeight="false" outlineLevel="0" collapsed="false">
      <c r="B131" s="34" t="s">
        <v>196</v>
      </c>
      <c r="C131" s="196" t="str">
        <f aca="false">INDEX(Symbol_values,MATCH(ABS(INDEX(Z_values,MATCH(C124,Symbol_values,0))-INDEX(Z_values,MATCH(C121,Symbol_values,0))),Z_values,0))</f>
        <v>nn</v>
      </c>
      <c r="D131" s="197" t="n">
        <f aca="false">ABS(G130)</f>
        <v>1</v>
      </c>
      <c r="E131" s="80" t="str">
        <f aca="false">IF(H129=" ",IF(G129&gt;0,"pickup",IF(G129&lt;0,"stripping",IF(G130&gt;0,"pickup","stripping"))))</f>
        <v>stripping</v>
      </c>
      <c r="J131" s="17" t="n">
        <f aca="true">VLOOKUP(C131,INDIRECT(ADDRESS(MATCH(D131,A_values,0),4,1,TRUE(),"mass_rmd.mas")):INDIRECT(ADDRESS(MATCH(D131+1,A_values,0)-1,7,1,TRUE(),"mass_rmd.mas")),4,FALSE())/1000</f>
        <v>8.07131713</v>
      </c>
      <c r="K131" s="1" t="n">
        <f aca="false">D131+J131/'mass_rmd.mas'!A2</f>
        <v>1.00866484515969</v>
      </c>
      <c r="M131" s="2" t="s">
        <v>197</v>
      </c>
      <c r="N131" s="17" t="n">
        <f aca="false">F121+M126</f>
        <v>42.1837782346194</v>
      </c>
      <c r="O131" s="74"/>
    </row>
    <row r="132" customFormat="false" ht="12.75" hidden="false" customHeight="false" outlineLevel="0" collapsed="false">
      <c r="B132" s="34"/>
      <c r="C132" s="1" t="s">
        <v>198</v>
      </c>
      <c r="O132" s="74"/>
    </row>
    <row r="133" customFormat="false" ht="12.75" hidden="false" customHeight="false" outlineLevel="0" collapsed="false">
      <c r="B133" s="198" t="s">
        <v>199</v>
      </c>
      <c r="C133" s="14" t="n">
        <v>1.4</v>
      </c>
      <c r="D133" s="1" t="s">
        <v>165</v>
      </c>
      <c r="F133" s="2" t="s">
        <v>200</v>
      </c>
      <c r="G133" s="17" t="n">
        <f aca="false">IF(E131="stripping",C133*K121^(0.3333),IF(E131="pickup",C133*K122^(0.3333)," "))</f>
        <v>3.59939300391493</v>
      </c>
      <c r="H133" s="1" t="s">
        <v>165</v>
      </c>
      <c r="I133" s="2" t="s">
        <v>201</v>
      </c>
      <c r="J133" s="17" t="n">
        <f aca="false">IF(E131="stripping",C133*K122^(0.3333),IF(E131="pickup",C133*K121^(0.3333)," "))</f>
        <v>3.20493440272776</v>
      </c>
      <c r="K133" s="1" t="s">
        <v>165</v>
      </c>
      <c r="M133" s="79" t="s">
        <v>202</v>
      </c>
      <c r="N133" s="1" t="n">
        <f aca="false">SQRT(1-1/(1+E121/K121/'mass_rmd.mas'!$A$2)^2)</f>
        <v>0.111856278075023</v>
      </c>
      <c r="O133" s="74"/>
    </row>
    <row r="134" customFormat="false" ht="12.75" hidden="false" customHeight="false" outlineLevel="0" collapsed="false">
      <c r="B134" s="198" t="s">
        <v>203</v>
      </c>
      <c r="C134" s="153" t="n">
        <f aca="false">G133+J133</f>
        <v>6.80432740664269</v>
      </c>
      <c r="D134" s="1" t="s">
        <v>165</v>
      </c>
      <c r="M134" s="2" t="s">
        <v>204</v>
      </c>
      <c r="N134" s="1" t="n">
        <f aca="false">$C$134/($N$129*$N$133)*($M$126-$G$126-1.44/$C$134*($I$124*$I$126-$I$121*$I$122))</f>
        <v>-1.29383831988678</v>
      </c>
      <c r="O134" s="74"/>
    </row>
    <row r="135" customFormat="false" ht="12.75" hidden="false" customHeight="false" outlineLevel="0" collapsed="false">
      <c r="B135" s="34"/>
      <c r="O135" s="74"/>
    </row>
    <row r="136" customFormat="false" ht="12.75" hidden="false" customHeight="false" outlineLevel="0" collapsed="false">
      <c r="B136" s="199" t="s">
        <v>205</v>
      </c>
      <c r="C136" s="166" t="n">
        <f aca="false">G126</f>
        <v>5</v>
      </c>
      <c r="D136" s="128" t="s">
        <v>28</v>
      </c>
      <c r="E136" s="130"/>
      <c r="F136" s="200" t="s">
        <v>206</v>
      </c>
      <c r="G136" s="128"/>
      <c r="H136" s="201" t="s">
        <v>207</v>
      </c>
      <c r="I136" s="201" t="s">
        <v>207</v>
      </c>
      <c r="J136" s="128"/>
      <c r="K136" s="202" t="s">
        <v>208</v>
      </c>
      <c r="L136" s="128"/>
      <c r="M136" s="203" t="s">
        <v>209</v>
      </c>
      <c r="O136" s="74"/>
    </row>
    <row r="137" customFormat="false" ht="12.75" hidden="false" customHeight="false" outlineLevel="0" collapsed="false">
      <c r="B137" s="204" t="s">
        <v>210</v>
      </c>
      <c r="C137" s="204"/>
      <c r="D137" s="204"/>
      <c r="E137" s="135"/>
      <c r="F137" s="138"/>
      <c r="H137" s="147" t="s">
        <v>211</v>
      </c>
      <c r="I137" s="147" t="s">
        <v>212</v>
      </c>
      <c r="K137" s="85" t="s">
        <v>213</v>
      </c>
      <c r="M137" s="184" t="s">
        <v>11</v>
      </c>
      <c r="O137" s="74"/>
    </row>
    <row r="138" customFormat="false" ht="12.75" hidden="false" customHeight="false" outlineLevel="0" collapsed="false">
      <c r="B138" s="34"/>
      <c r="F138" s="138"/>
      <c r="M138" s="132"/>
      <c r="O138" s="74"/>
      <c r="Q138" s="113" t="s">
        <v>128</v>
      </c>
    </row>
    <row r="139" customFormat="false" ht="12.75" hidden="false" customHeight="false" outlineLevel="0" collapsed="false">
      <c r="B139" s="34"/>
      <c r="F139" s="138" t="n">
        <f aca="false">-D129</f>
        <v>-2</v>
      </c>
      <c r="H139" s="205" t="n">
        <f aca="false">IF(ISNUMBER(F139),($K$131*'mass_rmd.mas'!$A$2*CALCULATOR!$N$133/$N$129-F139/$G$133)*$J$133," ")</f>
        <v>3.4878837454312</v>
      </c>
      <c r="I139" s="205" t="n">
        <f aca="false">IF(ISNUMBER(F139),F139-0.5*$K$131*'mass_rmd.mas'!$A$2*CALCULATOR!$N$133/CALCULATOR!$N$129*(CALCULATOR!$G$133-CALCULATOR!$J$133)-CALCULATOR!$N$134," ")</f>
        <v>-0.811213162989618</v>
      </c>
      <c r="K139" s="205" t="n">
        <f aca="false">IF(ISNUMBER(F139),H139-I139," ")</f>
        <v>4.29909690842082</v>
      </c>
      <c r="M139" s="149" t="n">
        <f aca="false">IF(ISNUMBER(F139),$C$136," ")</f>
        <v>5</v>
      </c>
      <c r="O139" s="74"/>
    </row>
    <row r="140" customFormat="false" ht="12.75" hidden="false" customHeight="false" outlineLevel="0" collapsed="false">
      <c r="B140" s="34"/>
      <c r="F140" s="138" t="n">
        <f aca="false">IF(ISNUMBER(F139),IF(F139+2&lt;($D$129+1),F139+2," ")," ")</f>
        <v>0</v>
      </c>
      <c r="H140" s="205" t="n">
        <f aca="false">IF(ISNUMBER(F140),($K$131*'mass_rmd.mas'!$A$2*CALCULATOR!$N$133/$N$129-F140/$G$133)*$J$133," ")</f>
        <v>1.70706436880749</v>
      </c>
      <c r="I140" s="205" t="n">
        <f aca="false">IF(ISNUMBER(F140),F140-0.5*$K$131*'mass_rmd.mas'!$A$2*CALCULATOR!$N$133/CALCULATOR!$N$129*(CALCULATOR!$G$133-CALCULATOR!$J$133)-CALCULATOR!$N$134," ")</f>
        <v>1.18878683701038</v>
      </c>
      <c r="K140" s="205" t="n">
        <f aca="false">IF(ISNUMBER(F140),H140-I140," ")</f>
        <v>0.518277531797106</v>
      </c>
      <c r="M140" s="149" t="n">
        <f aca="false">IF(ISNUMBER(F140),$C$136," ")</f>
        <v>5</v>
      </c>
      <c r="O140" s="74"/>
    </row>
    <row r="141" customFormat="false" ht="12.75" hidden="false" customHeight="false" outlineLevel="0" collapsed="false">
      <c r="B141" s="34"/>
      <c r="F141" s="138" t="n">
        <f aca="false">IF(ISNUMBER(F140),IF(F140+2&lt;($D$129+1),F140+2," ")," ")</f>
        <v>2</v>
      </c>
      <c r="H141" s="205" t="n">
        <f aca="false">IF(ISNUMBER(F141),($K$131*'mass_rmd.mas'!$A$2*CALCULATOR!$N$133/$N$129-F141/$G$133)*$J$133," ")</f>
        <v>-0.073755007816222</v>
      </c>
      <c r="I141" s="205" t="n">
        <f aca="false">IF(ISNUMBER(F141),F141-0.5*$K$131*'mass_rmd.mas'!$A$2*CALCULATOR!$N$133/CALCULATOR!$N$129*(CALCULATOR!$G$133-CALCULATOR!$J$133)-CALCULATOR!$N$134," ")</f>
        <v>3.18878683701038</v>
      </c>
      <c r="K141" s="205" t="n">
        <f aca="false">IF(ISNUMBER(F141),H141-I141," ")</f>
        <v>-3.2625418448266</v>
      </c>
      <c r="M141" s="149" t="n">
        <f aca="false">IF(ISNUMBER(F141),$C$136," ")</f>
        <v>5</v>
      </c>
      <c r="O141" s="74"/>
    </row>
    <row r="142" customFormat="false" ht="12.75" hidden="false" customHeight="false" outlineLevel="0" collapsed="false">
      <c r="B142" s="34"/>
      <c r="F142" s="138" t="str">
        <f aca="false">IF(ISNUMBER(F141),IF(F141+2&lt;($D$129+1),F141+2," ")," ")</f>
        <v> </v>
      </c>
      <c r="H142" s="205" t="str">
        <f aca="false">IF(ISNUMBER(F142),($K$131*'mass_rmd.mas'!$A$2*CALCULATOR!$N$133/$N$129-F142/$G$133)*$J$133," ")</f>
        <v> </v>
      </c>
      <c r="I142" s="205" t="str">
        <f aca="false">IF(ISNUMBER(F142),F142-0.5*$K$131*'mass_rmd.mas'!$A$2*CALCULATOR!$N$133/CALCULATOR!$N$129*(CALCULATOR!$G$133-CALCULATOR!$J$133)-CALCULATOR!$N$134," ")</f>
        <v> </v>
      </c>
      <c r="K142" s="205" t="str">
        <f aca="false">IF(ISNUMBER(F142),H142-I142," ")</f>
        <v> </v>
      </c>
      <c r="M142" s="149" t="str">
        <f aca="false">IF(ISNUMBER(F142),$C$136," ")</f>
        <v> </v>
      </c>
      <c r="O142" s="74"/>
    </row>
    <row r="143" customFormat="false" ht="12.75" hidden="false" customHeight="false" outlineLevel="0" collapsed="false">
      <c r="B143" s="34"/>
      <c r="F143" s="138" t="str">
        <f aca="false">IF(ISNUMBER(F142),IF(F142+2&lt;($D$129+1),F142+2," ")," ")</f>
        <v> </v>
      </c>
      <c r="H143" s="205" t="str">
        <f aca="false">IF(ISNUMBER(F143),($K$131*'mass_rmd.mas'!$A$2*CALCULATOR!$N$133/$N$129-F143/$G$133)*$J$133," ")</f>
        <v> </v>
      </c>
      <c r="I143" s="205" t="str">
        <f aca="false">IF(ISNUMBER(F143),F143-0.5*$K$131*'mass_rmd.mas'!$A$2*CALCULATOR!$N$133/CALCULATOR!$N$129*(CALCULATOR!$G$133-CALCULATOR!$J$133)-CALCULATOR!$N$134," ")</f>
        <v> </v>
      </c>
      <c r="K143" s="205" t="str">
        <f aca="false">IF(ISNUMBER(F143),H143-I143," ")</f>
        <v> </v>
      </c>
      <c r="M143" s="149" t="str">
        <f aca="false">IF(ISNUMBER(F143),$C$136," ")</f>
        <v> </v>
      </c>
      <c r="O143" s="74"/>
    </row>
    <row r="144" customFormat="false" ht="12.75" hidden="false" customHeight="false" outlineLevel="0" collapsed="false">
      <c r="B144" s="34"/>
      <c r="F144" s="138" t="str">
        <f aca="false">IF(ISNUMBER(F143),IF(F143+2&lt;($D$129+1),F143+2," ")," ")</f>
        <v> </v>
      </c>
      <c r="H144" s="205" t="str">
        <f aca="false">IF(ISNUMBER(F144),($K$131*'mass_rmd.mas'!$A$2*CALCULATOR!$N$133/$N$129-F144/$G$133)*$J$133," ")</f>
        <v> </v>
      </c>
      <c r="I144" s="205" t="str">
        <f aca="false">IF(ISNUMBER(F144),F144-0.5*$K$131*'mass_rmd.mas'!$A$2*CALCULATOR!$N$133/CALCULATOR!$N$129*(CALCULATOR!$G$133-CALCULATOR!$J$133)-CALCULATOR!$N$134," ")</f>
        <v> </v>
      </c>
      <c r="K144" s="205" t="str">
        <f aca="false">IF(ISNUMBER(F144),H144-I144," ")</f>
        <v> </v>
      </c>
      <c r="M144" s="149" t="str">
        <f aca="false">IF(ISNUMBER(F144),$C$136," ")</f>
        <v> </v>
      </c>
      <c r="O144" s="74"/>
    </row>
    <row r="145" customFormat="false" ht="12.75" hidden="false" customHeight="false" outlineLevel="0" collapsed="false">
      <c r="B145" s="34"/>
      <c r="F145" s="138"/>
      <c r="H145" s="206" t="s">
        <v>214</v>
      </c>
      <c r="I145" s="147"/>
      <c r="K145" s="85" t="s">
        <v>215</v>
      </c>
      <c r="M145" s="132"/>
      <c r="O145" s="74"/>
    </row>
    <row r="146" customFormat="false" ht="12.75" hidden="false" customHeight="false" outlineLevel="0" collapsed="false">
      <c r="B146" s="34"/>
      <c r="F146" s="138"/>
      <c r="H146" s="206" t="s">
        <v>216</v>
      </c>
      <c r="I146" s="147"/>
      <c r="K146" s="85" t="s">
        <v>217</v>
      </c>
      <c r="M146" s="132"/>
      <c r="O146" s="74"/>
    </row>
    <row r="147" customFormat="false" ht="12.75" hidden="false" customHeight="false" outlineLevel="0" collapsed="false">
      <c r="B147" s="34"/>
      <c r="F147" s="138"/>
      <c r="M147" s="132"/>
      <c r="O147" s="74"/>
    </row>
    <row r="148" customFormat="false" ht="12.75" hidden="false" customHeight="false" outlineLevel="0" collapsed="false">
      <c r="B148" s="34"/>
      <c r="F148" s="138"/>
      <c r="G148" s="1" t="s">
        <v>218</v>
      </c>
      <c r="M148" s="132"/>
      <c r="O148" s="74"/>
    </row>
    <row r="149" customFormat="false" ht="12.75" hidden="false" customHeight="false" outlineLevel="0" collapsed="false">
      <c r="B149" s="34"/>
      <c r="F149" s="138"/>
      <c r="G149" s="1" t="s">
        <v>219</v>
      </c>
      <c r="M149" s="132"/>
      <c r="O149" s="74"/>
    </row>
    <row r="150" customFormat="false" ht="12.75" hidden="false" customHeight="false" outlineLevel="0" collapsed="false">
      <c r="B150" s="34"/>
      <c r="F150" s="138"/>
      <c r="I150" s="144" t="s">
        <v>220</v>
      </c>
      <c r="J150" s="144"/>
      <c r="K150" s="26" t="n">
        <v>0</v>
      </c>
      <c r="M150" s="132"/>
      <c r="O150" s="74"/>
    </row>
    <row r="151" customFormat="false" ht="12.75" hidden="false" customHeight="false" outlineLevel="0" collapsed="false">
      <c r="B151" s="34"/>
      <c r="F151" s="156"/>
      <c r="G151" s="134"/>
      <c r="H151" s="134"/>
      <c r="I151" s="134"/>
      <c r="J151" s="134"/>
      <c r="K151" s="134"/>
      <c r="L151" s="134"/>
      <c r="M151" s="135"/>
      <c r="O151" s="74"/>
    </row>
    <row r="152" customFormat="false" ht="12.75" hidden="false" customHeight="false" outlineLevel="0" collapsed="false">
      <c r="B152" s="34"/>
      <c r="O152" s="74"/>
    </row>
    <row r="153" customFormat="false" ht="12.75" hidden="false" customHeight="false" outlineLevel="0" collapsed="false">
      <c r="B153" s="34"/>
      <c r="C153" s="163" t="s">
        <v>221</v>
      </c>
      <c r="D153" s="166"/>
      <c r="E153" s="166"/>
      <c r="F153" s="166"/>
      <c r="G153" s="166"/>
      <c r="H153" s="207"/>
      <c r="J153" s="163" t="s">
        <v>222</v>
      </c>
      <c r="K153" s="166"/>
      <c r="L153" s="166"/>
      <c r="M153" s="166"/>
      <c r="N153" s="166"/>
      <c r="O153" s="208"/>
    </row>
    <row r="154" customFormat="false" ht="12.75" hidden="false" customHeight="false" outlineLevel="0" collapsed="false">
      <c r="B154" s="34"/>
      <c r="C154" s="138"/>
      <c r="H154" s="132"/>
      <c r="J154" s="138"/>
      <c r="O154" s="74"/>
    </row>
    <row r="155" customFormat="false" ht="12.75" hidden="false" customHeight="false" outlineLevel="0" collapsed="false">
      <c r="B155" s="34"/>
      <c r="C155" s="209" t="s">
        <v>206</v>
      </c>
      <c r="D155" s="162" t="s">
        <v>207</v>
      </c>
      <c r="E155" s="162" t="s">
        <v>207</v>
      </c>
      <c r="F155" s="210" t="s">
        <v>208</v>
      </c>
      <c r="G155" s="4" t="s">
        <v>209</v>
      </c>
      <c r="H155" s="184" t="s">
        <v>223</v>
      </c>
      <c r="J155" s="209" t="s">
        <v>206</v>
      </c>
      <c r="K155" s="162" t="s">
        <v>207</v>
      </c>
      <c r="L155" s="162" t="s">
        <v>207</v>
      </c>
      <c r="M155" s="210" t="s">
        <v>208</v>
      </c>
      <c r="N155" s="4" t="s">
        <v>224</v>
      </c>
      <c r="O155" s="58" t="s">
        <v>223</v>
      </c>
    </row>
    <row r="156" customFormat="false" ht="12.75" hidden="false" customHeight="false" outlineLevel="0" collapsed="false">
      <c r="B156" s="34"/>
      <c r="C156" s="138"/>
      <c r="D156" s="4" t="s">
        <v>211</v>
      </c>
      <c r="E156" s="4" t="s">
        <v>212</v>
      </c>
      <c r="F156" s="85" t="s">
        <v>213</v>
      </c>
      <c r="G156" s="4" t="s">
        <v>11</v>
      </c>
      <c r="H156" s="184" t="s">
        <v>11</v>
      </c>
      <c r="J156" s="138"/>
      <c r="K156" s="4" t="s">
        <v>211</v>
      </c>
      <c r="L156" s="4" t="s">
        <v>212</v>
      </c>
      <c r="M156" s="85" t="s">
        <v>213</v>
      </c>
      <c r="N156" s="211" t="s">
        <v>225</v>
      </c>
      <c r="O156" s="58" t="s">
        <v>11</v>
      </c>
    </row>
    <row r="157" customFormat="false" ht="12.75" hidden="false" customHeight="false" outlineLevel="0" collapsed="false">
      <c r="B157" s="34"/>
      <c r="C157" s="138"/>
      <c r="H157" s="132"/>
      <c r="J157" s="138"/>
      <c r="N157" s="212" t="n">
        <v>0.2</v>
      </c>
      <c r="O157" s="74"/>
    </row>
    <row r="158" customFormat="false" ht="12.75" hidden="false" customHeight="false" outlineLevel="0" collapsed="false">
      <c r="B158" s="34"/>
      <c r="C158" s="146" t="n">
        <f aca="false">$K$150</f>
        <v>0</v>
      </c>
      <c r="D158" s="205" t="n">
        <f aca="false">IF(ISNUMBER(C158),($K$131*'mass_rmd.mas'!$A$2*CALCULATOR!$N$133/$N$129-C158/$G$133)*$J$133," ")</f>
        <v>1.70706436880749</v>
      </c>
      <c r="E158" s="205" t="n">
        <f aca="false">IF(ISNUMBER(C158),C158-0.5*$K$131*'mass_rmd.mas'!$A$2*CALCULATOR!$N$133/CALCULATOR!$N$129*(CALCULATOR!$G$133-CALCULATOR!$J$133)-H158," ")</f>
        <v>-0.35268196936938</v>
      </c>
      <c r="F158" s="213" t="n">
        <f aca="false">IF(ISNUMBER(C158),D158-E158," ")</f>
        <v>2.05974633817687</v>
      </c>
      <c r="G158" s="140" t="n">
        <v>0</v>
      </c>
      <c r="H158" s="149" t="n">
        <f aca="false">$C$134/($N$129*$N$133)*($M$126-G158-1.44/$C$134*($I$124*$I$126-$I$121*$I$122))</f>
        <v>0.247630486492984</v>
      </c>
      <c r="J158" s="138"/>
      <c r="N158" s="4" t="s">
        <v>226</v>
      </c>
      <c r="O158" s="74"/>
    </row>
    <row r="159" customFormat="false" ht="12.75" hidden="false" customHeight="false" outlineLevel="0" collapsed="false">
      <c r="B159" s="34"/>
      <c r="C159" s="146" t="n">
        <f aca="false">$K$150</f>
        <v>0</v>
      </c>
      <c r="D159" s="205" t="n">
        <f aca="false">IF(ISNUMBER(C159),($K$131*'mass_rmd.mas'!$A$2*CALCULATOR!$N$133/$N$129-C159/$G$133)*$J$133," ")</f>
        <v>1.70706436880749</v>
      </c>
      <c r="E159" s="205" t="n">
        <f aca="false">IF(ISNUMBER(C159),C159-0.5*$K$131*'mass_rmd.mas'!$A$2*CALCULATOR!$N$133/CALCULATOR!$N$129*(CALCULATOR!$G$133-CALCULATOR!$J$133)-H159," ")</f>
        <v>0.947817596308767</v>
      </c>
      <c r="F159" s="213" t="n">
        <f aca="false">IF(ISNUMBER(C159),D159-E159," ")</f>
        <v>0.75924677249872</v>
      </c>
      <c r="G159" s="140" t="n">
        <f aca="false">G158+$N$131/10</f>
        <v>4.21837782346194</v>
      </c>
      <c r="H159" s="149" t="n">
        <f aca="false">$C$134/($N$129*$N$133)*($M$126-G159-1.44/$C$134*($I$124*$I$126-$I$121*$I$122))</f>
        <v>-1.05286907918516</v>
      </c>
      <c r="J159" s="146" t="n">
        <f aca="false">$K$150</f>
        <v>0</v>
      </c>
      <c r="K159" s="205" t="n">
        <f aca="false">IF(ISNUMBER(J159),($K$131*'mass_rmd.mas'!$A$2*CALCULATOR!$N$133/$N$129-J159/$G$133)*$J$133," ")</f>
        <v>1.70706436880749</v>
      </c>
      <c r="L159" s="205" t="n">
        <f aca="false">IF(ISNUMBER(J159),J159-0.5*$K$131*'mass_rmd.mas'!$A$2*CALCULATOR!$N$133/CALCULATOR!$N$129*(CALCULATOR!$G$133-CALCULATOR!$J$133)-O159," ")</f>
        <v>2.44354244540351</v>
      </c>
      <c r="M159" s="213" t="n">
        <f aca="false">IF(ISNUMBER(J159),K159-L159," ")</f>
        <v>-0.73647807659602</v>
      </c>
      <c r="N159" s="212" t="n">
        <v>9.07</v>
      </c>
      <c r="O159" s="214" t="n">
        <f aca="false">$C$134/($N$129*$N$133)*($M$126-N159-1.44/$C$134*($I$124*$I$126-$I$121*$I$122))</f>
        <v>-2.5485939282799</v>
      </c>
    </row>
    <row r="160" customFormat="false" ht="12.75" hidden="false" customHeight="false" outlineLevel="0" collapsed="false">
      <c r="B160" s="34"/>
      <c r="C160" s="146" t="n">
        <f aca="false">$K$150</f>
        <v>0</v>
      </c>
      <c r="D160" s="205" t="n">
        <f aca="false">IF(ISNUMBER(C160),($K$131*'mass_rmd.mas'!$A$2*CALCULATOR!$N$133/$N$129-C160/$G$133)*$J$133," ")</f>
        <v>1.70706436880749</v>
      </c>
      <c r="E160" s="205" t="n">
        <f aca="false">IF(ISNUMBER(C160),C160-0.5*$K$131*'mass_rmd.mas'!$A$2*CALCULATOR!$N$133/CALCULATOR!$N$129*(CALCULATOR!$G$133-CALCULATOR!$J$133)-H160," ")</f>
        <v>2.24831716198691</v>
      </c>
      <c r="F160" s="213" t="n">
        <f aca="false">IF(ISNUMBER(C160),D160-E160," ")</f>
        <v>-0.541252793179427</v>
      </c>
      <c r="G160" s="140" t="n">
        <f aca="false">G159+$N$131/10</f>
        <v>8.43675564692388</v>
      </c>
      <c r="H160" s="149" t="n">
        <f aca="false">$C$134/($N$129*$N$133)*($M$126-G160-1.44/$C$134*($I$124*$I$126-$I$121*$I$122))</f>
        <v>-2.35336864486331</v>
      </c>
      <c r="J160" s="146" t="n">
        <f aca="false">$K$150</f>
        <v>0</v>
      </c>
      <c r="K160" s="205" t="n">
        <f aca="false">IF(ISNUMBER(J160),($K$131*'mass_rmd.mas'!$A$2*CALCULATOR!$N$133/$N$129-J160/$G$133)*$J$133," ")</f>
        <v>1.70706436880749</v>
      </c>
      <c r="L160" s="205" t="n">
        <f aca="false">IF(ISNUMBER(J160),J160-0.5*$K$131*'mass_rmd.mas'!$A$2*CALCULATOR!$N$133/CALCULATOR!$N$129*(CALCULATOR!$G$133-CALCULATOR!$J$133)-O160," ")</f>
        <v>2.5052011976587</v>
      </c>
      <c r="M160" s="213" t="n">
        <f aca="false">IF(ISNUMBER(J160),K160-L160," ")</f>
        <v>-0.798136828851211</v>
      </c>
      <c r="N160" s="17" t="n">
        <f aca="false">N159+$N$157</f>
        <v>9.27</v>
      </c>
      <c r="O160" s="214" t="n">
        <f aca="false">$C$134/($N$129*$N$133)*($M$126-N160-1.44/$C$134*($I$124*$I$126-$I$121*$I$122))</f>
        <v>-2.61025268053509</v>
      </c>
    </row>
    <row r="161" customFormat="false" ht="12.75" hidden="false" customHeight="false" outlineLevel="0" collapsed="false">
      <c r="B161" s="34"/>
      <c r="C161" s="146" t="n">
        <f aca="false">$K$150</f>
        <v>0</v>
      </c>
      <c r="D161" s="205" t="n">
        <f aca="false">IF(ISNUMBER(C161),($K$131*'mass_rmd.mas'!$A$2*CALCULATOR!$N$133/$N$129-C161/$G$133)*$J$133," ")</f>
        <v>1.70706436880749</v>
      </c>
      <c r="E161" s="205" t="n">
        <f aca="false">IF(ISNUMBER(C161),C161-0.5*$K$131*'mass_rmd.mas'!$A$2*CALCULATOR!$N$133/CALCULATOR!$N$129*(CALCULATOR!$G$133-CALCULATOR!$J$133)-H161," ")</f>
        <v>3.54881672766506</v>
      </c>
      <c r="F161" s="213" t="n">
        <f aca="false">IF(ISNUMBER(C161),D161-E161," ")</f>
        <v>-1.84175235885757</v>
      </c>
      <c r="G161" s="140" t="n">
        <f aca="false">G160+$N$131/10</f>
        <v>12.6551334703858</v>
      </c>
      <c r="H161" s="149" t="n">
        <f aca="false">$C$134/($N$129*$N$133)*($M$126-G161-1.44/$C$134*($I$124*$I$126-$I$121*$I$122))</f>
        <v>-3.65386821054146</v>
      </c>
      <c r="J161" s="146" t="n">
        <f aca="false">$K$150</f>
        <v>0</v>
      </c>
      <c r="K161" s="205" t="n">
        <f aca="false">IF(ISNUMBER(J161),($K$131*'mass_rmd.mas'!$A$2*CALCULATOR!$N$133/$N$129-J161/$G$133)*$J$133," ")</f>
        <v>1.70706436880749</v>
      </c>
      <c r="L161" s="205" t="n">
        <f aca="false">IF(ISNUMBER(J161),J161-0.5*$K$131*'mass_rmd.mas'!$A$2*CALCULATOR!$N$133/CALCULATOR!$N$129*(CALCULATOR!$G$133-CALCULATOR!$J$133)-O161," ")</f>
        <v>2.56685994991389</v>
      </c>
      <c r="M161" s="213" t="n">
        <f aca="false">IF(ISNUMBER(J161),K161-L161," ")</f>
        <v>-0.859795581106402</v>
      </c>
      <c r="N161" s="17" t="n">
        <f aca="false">N160+$N$157</f>
        <v>9.47</v>
      </c>
      <c r="O161" s="214" t="n">
        <f aca="false">$C$134/($N$129*$N$133)*($M$126-N161-1.44/$C$134*($I$124*$I$126-$I$121*$I$122))</f>
        <v>-2.67191143279029</v>
      </c>
    </row>
    <row r="162" customFormat="false" ht="12.75" hidden="false" customHeight="false" outlineLevel="0" collapsed="false">
      <c r="B162" s="34"/>
      <c r="C162" s="146" t="n">
        <f aca="false">$K$150</f>
        <v>0</v>
      </c>
      <c r="D162" s="205" t="n">
        <f aca="false">IF(ISNUMBER(C162),($K$131*'mass_rmd.mas'!$A$2*CALCULATOR!$N$133/$N$129-C162/$G$133)*$J$133," ")</f>
        <v>1.70706436880749</v>
      </c>
      <c r="E162" s="205" t="n">
        <f aca="false">IF(ISNUMBER(C162),C162-0.5*$K$131*'mass_rmd.mas'!$A$2*CALCULATOR!$N$133/CALCULATOR!$N$129*(CALCULATOR!$G$133-CALCULATOR!$J$133)-H162," ")</f>
        <v>4.84931629334321</v>
      </c>
      <c r="F162" s="213" t="n">
        <f aca="false">IF(ISNUMBER(C162),D162-E162," ")</f>
        <v>-3.14225192453572</v>
      </c>
      <c r="G162" s="140" t="n">
        <f aca="false">G161+$N$131/10</f>
        <v>16.8735112938478</v>
      </c>
      <c r="H162" s="149" t="n">
        <f aca="false">$C$134/($N$129*$N$133)*($M$126-G162-1.44/$C$134*($I$124*$I$126-$I$121*$I$122))</f>
        <v>-4.95436777621961</v>
      </c>
      <c r="J162" s="146" t="n">
        <f aca="false">$K$150</f>
        <v>0</v>
      </c>
      <c r="K162" s="205" t="n">
        <f aca="false">IF(ISNUMBER(J162),($K$131*'mass_rmd.mas'!$A$2*CALCULATOR!$N$133/$N$129-J162/$G$133)*$J$133," ")</f>
        <v>1.70706436880749</v>
      </c>
      <c r="L162" s="205" t="n">
        <f aca="false">IF(ISNUMBER(J162),J162-0.5*$K$131*'mass_rmd.mas'!$A$2*CALCULATOR!$N$133/CALCULATOR!$N$129*(CALCULATOR!$G$133-CALCULATOR!$J$133)-O162," ")</f>
        <v>2.62851870216908</v>
      </c>
      <c r="M162" s="213" t="n">
        <f aca="false">IF(ISNUMBER(J162),K162-L162," ")</f>
        <v>-0.921454333361592</v>
      </c>
      <c r="N162" s="17" t="n">
        <f aca="false">N161+$N$157</f>
        <v>9.67</v>
      </c>
      <c r="O162" s="214" t="n">
        <f aca="false">$C$134/($N$129*$N$133)*($M$126-N162-1.44/$C$134*($I$124*$I$126-$I$121*$I$122))</f>
        <v>-2.73357018504548</v>
      </c>
    </row>
    <row r="163" customFormat="false" ht="12.75" hidden="false" customHeight="false" outlineLevel="0" collapsed="false">
      <c r="B163" s="34"/>
      <c r="C163" s="146" t="n">
        <f aca="false">$K$150</f>
        <v>0</v>
      </c>
      <c r="D163" s="205" t="n">
        <f aca="false">IF(ISNUMBER(C163),($K$131*'mass_rmd.mas'!$A$2*CALCULATOR!$N$133/$N$129-C163/$G$133)*$J$133," ")</f>
        <v>1.70706436880749</v>
      </c>
      <c r="E163" s="205" t="n">
        <f aca="false">IF(ISNUMBER(C163),C163-0.5*$K$131*'mass_rmd.mas'!$A$2*CALCULATOR!$N$133/CALCULATOR!$N$129*(CALCULATOR!$G$133-CALCULATOR!$J$133)-H163," ")</f>
        <v>6.14981585902136</v>
      </c>
      <c r="F163" s="213" t="n">
        <f aca="false">IF(ISNUMBER(C163),D163-E163," ")</f>
        <v>-4.44275149021387</v>
      </c>
      <c r="G163" s="140" t="n">
        <f aca="false">G162+$N$131/10</f>
        <v>21.0918891173097</v>
      </c>
      <c r="H163" s="149" t="n">
        <f aca="false">$C$134/($N$129*$N$133)*($M$126-G163-1.44/$C$134*($I$124*$I$126-$I$121*$I$122))</f>
        <v>-6.25486734189775</v>
      </c>
      <c r="J163" s="146" t="n">
        <f aca="false">$K$150</f>
        <v>0</v>
      </c>
      <c r="K163" s="205" t="n">
        <f aca="false">IF(ISNUMBER(J163),($K$131*'mass_rmd.mas'!$A$2*CALCULATOR!$N$133/$N$129-J163/$G$133)*$J$133," ")</f>
        <v>1.70706436880749</v>
      </c>
      <c r="L163" s="205" t="n">
        <f aca="false">IF(ISNUMBER(J163),J163-0.5*$K$131*'mass_rmd.mas'!$A$2*CALCULATOR!$N$133/CALCULATOR!$N$129*(CALCULATOR!$G$133-CALCULATOR!$J$133)-O163," ")</f>
        <v>2.69017745442427</v>
      </c>
      <c r="M163" s="213" t="n">
        <f aca="false">IF(ISNUMBER(J163),K163-L163," ")</f>
        <v>-0.983113085616783</v>
      </c>
      <c r="N163" s="17" t="n">
        <f aca="false">N162+$N$157</f>
        <v>9.87</v>
      </c>
      <c r="O163" s="214" t="n">
        <f aca="false">$C$134/($N$129*$N$133)*($M$126-N163-1.44/$C$134*($I$124*$I$126-$I$121*$I$122))</f>
        <v>-2.79522893730067</v>
      </c>
    </row>
    <row r="164" customFormat="false" ht="12.75" hidden="false" customHeight="false" outlineLevel="0" collapsed="false">
      <c r="B164" s="34"/>
      <c r="C164" s="146" t="n">
        <f aca="false">$K$150</f>
        <v>0</v>
      </c>
      <c r="D164" s="205" t="n">
        <f aca="false">IF(ISNUMBER(C164),($K$131*'mass_rmd.mas'!$A$2*CALCULATOR!$N$133/$N$129-C164/$G$133)*$J$133," ")</f>
        <v>1.70706436880749</v>
      </c>
      <c r="E164" s="205" t="n">
        <f aca="false">IF(ISNUMBER(C164),C164-0.5*$K$131*'mass_rmd.mas'!$A$2*CALCULATOR!$N$133/CALCULATOR!$N$129*(CALCULATOR!$G$133-CALCULATOR!$J$133)-H164," ")</f>
        <v>7.45031542469951</v>
      </c>
      <c r="F164" s="213" t="n">
        <f aca="false">IF(ISNUMBER(C164),D164-E164," ")</f>
        <v>-5.74325105589202</v>
      </c>
      <c r="G164" s="140" t="n">
        <f aca="false">G163+$N$131/10</f>
        <v>25.3102669407716</v>
      </c>
      <c r="H164" s="149" t="n">
        <f aca="false">$C$134/($N$129*$N$133)*($M$126-G164-1.44/$C$134*($I$124*$I$126-$I$121*$I$122))</f>
        <v>-7.5553669075759</v>
      </c>
      <c r="J164" s="146" t="n">
        <f aca="false">$K$150</f>
        <v>0</v>
      </c>
      <c r="K164" s="205" t="n">
        <f aca="false">IF(ISNUMBER(J164),($K$131*'mass_rmd.mas'!$A$2*CALCULATOR!$N$133/$N$129-J164/$G$133)*$J$133," ")</f>
        <v>1.70706436880749</v>
      </c>
      <c r="L164" s="205" t="n">
        <f aca="false">IF(ISNUMBER(J164),J164-0.5*$K$131*'mass_rmd.mas'!$A$2*CALCULATOR!$N$133/CALCULATOR!$N$129*(CALCULATOR!$G$133-CALCULATOR!$J$133)-O164," ")</f>
        <v>2.75183620667946</v>
      </c>
      <c r="M164" s="213" t="n">
        <f aca="false">IF(ISNUMBER(J164),K164-L164," ")</f>
        <v>-1.04477183787197</v>
      </c>
      <c r="N164" s="17" t="n">
        <f aca="false">N163+$N$157</f>
        <v>10.07</v>
      </c>
      <c r="O164" s="214" t="n">
        <f aca="false">$C$134/($N$129*$N$133)*($M$126-N164-1.44/$C$134*($I$124*$I$126-$I$121*$I$122))</f>
        <v>-2.85688768955586</v>
      </c>
    </row>
    <row r="165" customFormat="false" ht="12.75" hidden="false" customHeight="false" outlineLevel="0" collapsed="false">
      <c r="B165" s="34"/>
      <c r="C165" s="146" t="n">
        <f aca="false">$K$150</f>
        <v>0</v>
      </c>
      <c r="D165" s="205" t="n">
        <f aca="false">IF(ISNUMBER(C165),($K$131*'mass_rmd.mas'!$A$2*CALCULATOR!$N$133/$N$129-C165/$G$133)*$J$133," ")</f>
        <v>1.70706436880749</v>
      </c>
      <c r="E165" s="205" t="n">
        <f aca="false">IF(ISNUMBER(C165),C165-0.5*$K$131*'mass_rmd.mas'!$A$2*CALCULATOR!$N$133/CALCULATOR!$N$129*(CALCULATOR!$G$133-CALCULATOR!$J$133)-H165," ")</f>
        <v>8.75081499037765</v>
      </c>
      <c r="F165" s="213" t="n">
        <f aca="false">IF(ISNUMBER(C165),D165-E165," ")</f>
        <v>-7.04375062157016</v>
      </c>
      <c r="G165" s="140" t="n">
        <f aca="false">G164+$N$131/10</f>
        <v>29.5286447642336</v>
      </c>
      <c r="H165" s="149" t="n">
        <f aca="false">$C$134/($N$129*$N$133)*($M$126-G165-1.44/$C$134*($I$124*$I$126-$I$121*$I$122))</f>
        <v>-8.85586647325405</v>
      </c>
      <c r="J165" s="146" t="n">
        <f aca="false">$K$150</f>
        <v>0</v>
      </c>
      <c r="K165" s="205" t="n">
        <f aca="false">IF(ISNUMBER(J165),($K$131*'mass_rmd.mas'!$A$2*CALCULATOR!$N$133/$N$129-J165/$G$133)*$J$133," ")</f>
        <v>1.70706436880749</v>
      </c>
      <c r="L165" s="205" t="n">
        <f aca="false">IF(ISNUMBER(J165),J165-0.5*$K$131*'mass_rmd.mas'!$A$2*CALCULATOR!$N$133/CALCULATOR!$N$129*(CALCULATOR!$G$133-CALCULATOR!$J$133)-O165," ")</f>
        <v>2.81349495893465</v>
      </c>
      <c r="M165" s="213" t="n">
        <f aca="false">IF(ISNUMBER(J165),K165-L165," ")</f>
        <v>-1.10643059012716</v>
      </c>
      <c r="N165" s="17" t="n">
        <f aca="false">N164+$N$157</f>
        <v>10.27</v>
      </c>
      <c r="O165" s="214" t="n">
        <f aca="false">$C$134/($N$129*$N$133)*($M$126-N165-1.44/$C$134*($I$124*$I$126-$I$121*$I$122))</f>
        <v>-2.91854644181105</v>
      </c>
    </row>
    <row r="166" customFormat="false" ht="12.75" hidden="false" customHeight="false" outlineLevel="0" collapsed="false">
      <c r="B166" s="34"/>
      <c r="C166" s="146" t="n">
        <f aca="false">$K$150</f>
        <v>0</v>
      </c>
      <c r="D166" s="205" t="n">
        <f aca="false">IF(ISNUMBER(C166),($K$131*'mass_rmd.mas'!$A$2*CALCULATOR!$N$133/$N$129-C166/$G$133)*$J$133," ")</f>
        <v>1.70706436880749</v>
      </c>
      <c r="E166" s="205" t="n">
        <f aca="false">IF(ISNUMBER(C166),C166-0.5*$K$131*'mass_rmd.mas'!$A$2*CALCULATOR!$N$133/CALCULATOR!$N$129*(CALCULATOR!$G$133-CALCULATOR!$J$133)-H166," ")</f>
        <v>10.0513145560558</v>
      </c>
      <c r="F166" s="213" t="n">
        <f aca="false">IF(ISNUMBER(C166),D166-E166," ")</f>
        <v>-8.34425018724831</v>
      </c>
      <c r="G166" s="140" t="n">
        <f aca="false">G165+$N$131/10</f>
        <v>33.7470225876955</v>
      </c>
      <c r="H166" s="149" t="n">
        <f aca="false">$C$134/($N$129*$N$133)*($M$126-G166-1.44/$C$134*($I$124*$I$126-$I$121*$I$122))</f>
        <v>-10.1563660389322</v>
      </c>
      <c r="J166" s="146" t="n">
        <f aca="false">$K$150</f>
        <v>0</v>
      </c>
      <c r="K166" s="205" t="n">
        <f aca="false">IF(ISNUMBER(J166),($K$131*'mass_rmd.mas'!$A$2*CALCULATOR!$N$133/$N$129-J166/$G$133)*$J$133," ")</f>
        <v>1.70706436880749</v>
      </c>
      <c r="L166" s="205" t="n">
        <f aca="false">IF(ISNUMBER(J166),J166-0.5*$K$131*'mass_rmd.mas'!$A$2*CALCULATOR!$N$133/CALCULATOR!$N$129*(CALCULATOR!$G$133-CALCULATOR!$J$133)-O166," ")</f>
        <v>2.87515371118984</v>
      </c>
      <c r="M166" s="213" t="n">
        <f aca="false">IF(ISNUMBER(J166),K166-L166," ")</f>
        <v>-1.16808934238235</v>
      </c>
      <c r="N166" s="17" t="n">
        <f aca="false">N165+$N$157</f>
        <v>10.47</v>
      </c>
      <c r="O166" s="214" t="n">
        <f aca="false">$C$134/($N$129*$N$133)*($M$126-N166-1.44/$C$134*($I$124*$I$126-$I$121*$I$122))</f>
        <v>-2.98020519406624</v>
      </c>
    </row>
    <row r="167" customFormat="false" ht="12.75" hidden="false" customHeight="false" outlineLevel="0" collapsed="false">
      <c r="B167" s="34"/>
      <c r="C167" s="146" t="n">
        <f aca="false">$K$150</f>
        <v>0</v>
      </c>
      <c r="D167" s="205" t="n">
        <f aca="false">IF(ISNUMBER(C167),($K$131*'mass_rmd.mas'!$A$2*CALCULATOR!$N$133/$N$129-C167/$G$133)*$J$133," ")</f>
        <v>1.70706436880749</v>
      </c>
      <c r="E167" s="205" t="n">
        <f aca="false">IF(ISNUMBER(C167),C167-0.5*$K$131*'mass_rmd.mas'!$A$2*CALCULATOR!$N$133/CALCULATOR!$N$129*(CALCULATOR!$G$133-CALCULATOR!$J$133)-H167," ")</f>
        <v>11.3518141217339</v>
      </c>
      <c r="F167" s="213" t="n">
        <f aca="false">IF(ISNUMBER(C167),D167-E167," ")</f>
        <v>-9.64474975292646</v>
      </c>
      <c r="G167" s="140" t="n">
        <f aca="false">G166+$N$131/10</f>
        <v>37.9654004111575</v>
      </c>
      <c r="H167" s="149" t="n">
        <f aca="false">$C$134/($N$129*$N$133)*($M$126-G167-1.44/$C$134*($I$124*$I$126-$I$121*$I$122))</f>
        <v>-11.4568656046103</v>
      </c>
      <c r="J167" s="146" t="n">
        <f aca="false">$K$150</f>
        <v>0</v>
      </c>
      <c r="K167" s="205" t="n">
        <f aca="false">IF(ISNUMBER(J167),($K$131*'mass_rmd.mas'!$A$2*CALCULATOR!$N$133/$N$129-J167/$G$133)*$J$133," ")</f>
        <v>1.70706436880749</v>
      </c>
      <c r="L167" s="205" t="n">
        <f aca="false">IF(ISNUMBER(J167),J167-0.5*$K$131*'mass_rmd.mas'!$A$2*CALCULATOR!$N$133/CALCULATOR!$N$129*(CALCULATOR!$G$133-CALCULATOR!$J$133)-O167," ")</f>
        <v>2.93681246344503</v>
      </c>
      <c r="M167" s="213" t="n">
        <f aca="false">IF(ISNUMBER(J167),K167-L167," ")</f>
        <v>-1.22974809463754</v>
      </c>
      <c r="N167" s="17" t="n">
        <f aca="false">N166+$N$157</f>
        <v>10.67</v>
      </c>
      <c r="O167" s="214" t="n">
        <f aca="false">$C$134/($N$129*$N$133)*($M$126-N167-1.44/$C$134*($I$124*$I$126-$I$121*$I$122))</f>
        <v>-3.04186394632143</v>
      </c>
    </row>
    <row r="168" customFormat="false" ht="12.75" hidden="false" customHeight="false" outlineLevel="0" collapsed="false">
      <c r="B168" s="34"/>
      <c r="C168" s="146" t="n">
        <f aca="false">$K$150</f>
        <v>0</v>
      </c>
      <c r="D168" s="205" t="n">
        <f aca="false">IF(ISNUMBER(C168),($K$131*'mass_rmd.mas'!$A$2*CALCULATOR!$N$133/$N$129-C168/$G$133)*$J$133," ")</f>
        <v>1.70706436880749</v>
      </c>
      <c r="E168" s="205" t="n">
        <f aca="false">IF(ISNUMBER(C168),C168-0.5*$K$131*'mass_rmd.mas'!$A$2*CALCULATOR!$N$133/CALCULATOR!$N$129*(CALCULATOR!$G$133-CALCULATOR!$J$133)-H168," ")</f>
        <v>12.6523136874121</v>
      </c>
      <c r="F168" s="213" t="n">
        <f aca="false">IF(ISNUMBER(C168),D168-E168," ")</f>
        <v>-10.9452493186046</v>
      </c>
      <c r="G168" s="140" t="n">
        <f aca="false">G167+$N$131/10</f>
        <v>42.1837782346194</v>
      </c>
      <c r="H168" s="149" t="n">
        <f aca="false">$C$134/($N$129*$N$133)*($M$126-G168-1.44/$C$134*($I$124*$I$126-$I$121*$I$122))</f>
        <v>-12.7573651702885</v>
      </c>
      <c r="J168" s="146" t="n">
        <f aca="false">$K$150</f>
        <v>0</v>
      </c>
      <c r="K168" s="205" t="n">
        <f aca="false">IF(ISNUMBER(J168),($K$131*'mass_rmd.mas'!$A$2*CALCULATOR!$N$133/$N$129-J168/$G$133)*$J$133," ")</f>
        <v>1.70706436880749</v>
      </c>
      <c r="L168" s="205" t="n">
        <f aca="false">IF(ISNUMBER(J168),J168-0.5*$K$131*'mass_rmd.mas'!$A$2*CALCULATOR!$N$133/CALCULATOR!$N$129*(CALCULATOR!$G$133-CALCULATOR!$J$133)-O168," ")</f>
        <v>2.99847121570022</v>
      </c>
      <c r="M168" s="213" t="n">
        <f aca="false">IF(ISNUMBER(J168),K168-L168," ")</f>
        <v>-1.29140684689274</v>
      </c>
      <c r="N168" s="17" t="n">
        <f aca="false">N167+$N$157</f>
        <v>10.87</v>
      </c>
      <c r="O168" s="214" t="n">
        <f aca="false">$C$134/($N$129*$N$133)*($M$126-N168-1.44/$C$134*($I$124*$I$126-$I$121*$I$122))</f>
        <v>-3.10352269857662</v>
      </c>
    </row>
    <row r="169" customFormat="false" ht="12.75" hidden="false" customHeight="false" outlineLevel="0" collapsed="false">
      <c r="B169" s="34"/>
      <c r="C169" s="138"/>
      <c r="H169" s="132"/>
      <c r="J169" s="138"/>
      <c r="O169" s="74"/>
    </row>
    <row r="170" customFormat="false" ht="12.75" hidden="false" customHeight="false" outlineLevel="0" collapsed="false">
      <c r="B170" s="34"/>
      <c r="C170" s="138"/>
      <c r="D170" s="206" t="s">
        <v>214</v>
      </c>
      <c r="E170" s="147"/>
      <c r="F170" s="85" t="s">
        <v>215</v>
      </c>
      <c r="H170" s="132"/>
      <c r="J170" s="138"/>
      <c r="K170" s="206" t="s">
        <v>214</v>
      </c>
      <c r="L170" s="147"/>
      <c r="M170" s="85" t="s">
        <v>215</v>
      </c>
      <c r="O170" s="74"/>
      <c r="Q170" s="113" t="s">
        <v>128</v>
      </c>
    </row>
    <row r="171" customFormat="false" ht="12.75" hidden="false" customHeight="false" outlineLevel="0" collapsed="false">
      <c r="B171" s="34"/>
      <c r="C171" s="138"/>
      <c r="D171" s="206" t="s">
        <v>216</v>
      </c>
      <c r="E171" s="147"/>
      <c r="F171" s="85" t="s">
        <v>217</v>
      </c>
      <c r="H171" s="132"/>
      <c r="J171" s="138"/>
      <c r="K171" s="206" t="s">
        <v>216</v>
      </c>
      <c r="L171" s="147"/>
      <c r="M171" s="85" t="s">
        <v>217</v>
      </c>
      <c r="O171" s="74"/>
    </row>
    <row r="172" customFormat="false" ht="12.75" hidden="false" customHeight="false" outlineLevel="0" collapsed="false">
      <c r="B172" s="34"/>
      <c r="C172" s="156"/>
      <c r="D172" s="134"/>
      <c r="E172" s="134"/>
      <c r="F172" s="134"/>
      <c r="G172" s="134"/>
      <c r="H172" s="135"/>
      <c r="J172" s="156"/>
      <c r="K172" s="134"/>
      <c r="L172" s="134"/>
      <c r="M172" s="134"/>
      <c r="N172" s="134"/>
      <c r="O172" s="157"/>
    </row>
    <row r="173" customFormat="false" ht="12.75" hidden="false" customHeight="false" outlineLevel="0" collapsed="false">
      <c r="B173" s="34"/>
      <c r="O173" s="74"/>
    </row>
    <row r="174" customFormat="false" ht="12.75" hidden="false" customHeight="false" outlineLevel="0" collapsed="false">
      <c r="B174" s="34"/>
      <c r="F174" s="1" t="s">
        <v>227</v>
      </c>
      <c r="O174" s="74"/>
    </row>
    <row r="175" customFormat="false" ht="12.75" hidden="false" customHeight="false" outlineLevel="0" collapsed="false">
      <c r="B175" s="34"/>
      <c r="O175" s="74"/>
    </row>
    <row r="176" customFormat="false" ht="12.75" hidden="false" customHeight="false" outlineLevel="0" collapsed="false">
      <c r="B176" s="34"/>
      <c r="F176" s="1" t="s">
        <v>228</v>
      </c>
      <c r="O176" s="74"/>
    </row>
    <row r="177" customFormat="false" ht="12.75" hidden="false" customHeight="false" outlineLevel="0" collapsed="false">
      <c r="B177" s="34"/>
      <c r="F177" s="1" t="s">
        <v>229</v>
      </c>
      <c r="O177" s="74"/>
    </row>
    <row r="178" customFormat="false" ht="12.75" hidden="false" customHeight="false" outlineLevel="0" collapsed="false">
      <c r="B178" s="34"/>
      <c r="F178" s="1" t="s">
        <v>230</v>
      </c>
      <c r="O178" s="74"/>
    </row>
    <row r="179" customFormat="false" ht="12.75" hidden="false" customHeight="false" outlineLevel="0" collapsed="false">
      <c r="B179" s="34"/>
      <c r="F179" s="1" t="s">
        <v>231</v>
      </c>
      <c r="O179" s="74"/>
    </row>
    <row r="180" customFormat="false" ht="12.75" hidden="false" customHeight="false" outlineLevel="0" collapsed="false">
      <c r="B180" s="34"/>
      <c r="F180" s="1" t="s">
        <v>232</v>
      </c>
      <c r="O180" s="74"/>
    </row>
    <row r="181" customFormat="false" ht="12.75" hidden="false" customHeight="false" outlineLevel="0" collapsed="false">
      <c r="B181" s="34"/>
      <c r="O181" s="74"/>
    </row>
    <row r="182" customFormat="false" ht="12.75" hidden="false" customHeight="false" outlineLevel="0" collapsed="false">
      <c r="B182" s="34"/>
      <c r="F182" s="1" t="s">
        <v>233</v>
      </c>
      <c r="O182" s="74"/>
    </row>
    <row r="183" customFormat="false" ht="12.75" hidden="false" customHeight="false" outlineLevel="0" collapsed="false">
      <c r="B183" s="34"/>
      <c r="F183" s="1" t="s">
        <v>234</v>
      </c>
      <c r="O183" s="74"/>
    </row>
    <row r="184" customFormat="false" ht="12.75" hidden="false" customHeight="false" outlineLevel="0" collapsed="false">
      <c r="B184" s="34"/>
      <c r="F184" s="1" t="s">
        <v>235</v>
      </c>
      <c r="O184" s="74"/>
    </row>
    <row r="185" customFormat="false" ht="12.75" hidden="false" customHeight="false" outlineLevel="0" collapsed="false">
      <c r="B185" s="34"/>
      <c r="O185" s="74"/>
    </row>
    <row r="186" customFormat="false" ht="13.5" hidden="false" customHeight="false" outlineLevel="0" collapsed="false">
      <c r="B186" s="4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42"/>
    </row>
    <row r="187" customFormat="false" ht="13.5" hidden="false" customHeight="false" outlineLevel="0" collapsed="false"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</row>
    <row r="188" customFormat="false" ht="12.75" hidden="false" customHeight="false" outlineLevel="0" collapsed="false">
      <c r="B188" s="175" t="s">
        <v>236</v>
      </c>
      <c r="C188" s="176"/>
      <c r="D188" s="176"/>
      <c r="E188" s="176"/>
      <c r="F188" s="32"/>
      <c r="G188" s="32" t="s">
        <v>237</v>
      </c>
      <c r="H188" s="32"/>
      <c r="I188" s="32"/>
      <c r="J188" s="32"/>
      <c r="K188" s="32"/>
      <c r="L188" s="32"/>
      <c r="M188" s="32"/>
      <c r="N188" s="32"/>
      <c r="O188" s="33"/>
    </row>
    <row r="189" customFormat="false" ht="12.75" hidden="false" customHeight="false" outlineLevel="0" collapsed="false">
      <c r="B189" s="34"/>
      <c r="O189" s="74"/>
    </row>
    <row r="190" customFormat="false" ht="12.75" hidden="false" customHeight="false" outlineLevel="0" collapsed="false">
      <c r="B190" s="34"/>
      <c r="H190" s="162" t="s">
        <v>12</v>
      </c>
      <c r="I190" s="1" t="s">
        <v>150</v>
      </c>
      <c r="J190" s="2" t="s">
        <v>238</v>
      </c>
      <c r="K190" s="2" t="s">
        <v>239</v>
      </c>
      <c r="L190" s="79" t="s">
        <v>176</v>
      </c>
      <c r="O190" s="74"/>
    </row>
    <row r="191" customFormat="false" ht="12.75" hidden="false" customHeight="false" outlineLevel="0" collapsed="false">
      <c r="B191" s="34"/>
      <c r="C191" s="1" t="s">
        <v>153</v>
      </c>
      <c r="E191" s="45" t="s">
        <v>85</v>
      </c>
      <c r="F191" s="13" t="n">
        <v>4</v>
      </c>
      <c r="H191" s="1" t="n">
        <f aca="true">VLOOKUP(E191,INDIRECT(ADDRESS(MATCH(F191,A_values,0),4,1,TRUE(),"mass_rmd.mas")):INDIRECT(ADDRESS(MATCH(F191+1,A_values,0)-1,7,1,TRUE(),"mass_rmd.mas")),4,FALSE())/1000</f>
        <v>2.42491561</v>
      </c>
      <c r="I191" s="1" t="n">
        <f aca="false">F191+H191/'mass_rmd.mas'!$A$2</f>
        <v>4.00260323289837</v>
      </c>
      <c r="J191" s="1" t="n">
        <f aca="false">INDEX(Z_values,MATCH(E191,Symbol_values,0))</f>
        <v>2</v>
      </c>
      <c r="K191" s="1" t="n">
        <f aca="false">SQRT(0.1569*J193*(J193+1)*J191*J191*E198/(F193*(E195^2 + 2*E195*I191*'mass_rmd.mas'!$A$2)*L191^2))</f>
        <v>0.00409260897240758</v>
      </c>
      <c r="L191" s="1" t="n">
        <f aca="false">SQRT(1-1/(1+E195/I191/'mass_rmd.mas'!$A$2)^2)</f>
        <v>0.0541877317755288</v>
      </c>
      <c r="M191" s="2" t="s">
        <v>240</v>
      </c>
      <c r="N191" s="144" t="n">
        <f aca="false">LN( (2730*(J193+1)*(J193^0.33333)*J191*J191*E198)/(F193*L191^2))-0.1544</f>
        <v>6.31950333024703</v>
      </c>
      <c r="O191" s="74"/>
    </row>
    <row r="192" customFormat="false" ht="12.75" hidden="false" customHeight="false" outlineLevel="0" collapsed="false">
      <c r="B192" s="34"/>
      <c r="O192" s="74"/>
    </row>
    <row r="193" customFormat="false" ht="12.75" hidden="false" customHeight="false" outlineLevel="0" collapsed="false">
      <c r="B193" s="34"/>
      <c r="C193" s="1" t="s">
        <v>241</v>
      </c>
      <c r="E193" s="45" t="s">
        <v>242</v>
      </c>
      <c r="F193" s="13" t="n">
        <v>197</v>
      </c>
      <c r="H193" s="1" t="n">
        <f aca="true">VLOOKUP(E193,INDIRECT(ADDRESS(MATCH(F193,A_values,0),4,1,TRUE(),"mass_rmd.mas")):INDIRECT(ADDRESS(MATCH(F193+1,A_values,0)-1,7,1,TRUE(),"mass_rmd.mas")),4,FALSE())/1000</f>
        <v>-31.139738</v>
      </c>
      <c r="I193" s="1" t="n">
        <f aca="false">F193+H193/'mass_rmd.mas'!$A$2</f>
        <v>196.966570386997</v>
      </c>
      <c r="J193" s="1" t="n">
        <f aca="false">INDEX(Z_values,MATCH(E193,Symbol_values,0))</f>
        <v>79</v>
      </c>
      <c r="M193" s="2" t="s">
        <v>243</v>
      </c>
      <c r="N193" s="215" t="n">
        <v>8.45480805440927</v>
      </c>
      <c r="O193" s="74"/>
    </row>
    <row r="194" customFormat="false" ht="12.75" hidden="false" customHeight="false" outlineLevel="0" collapsed="false">
      <c r="B194" s="34"/>
      <c r="O194" s="74"/>
    </row>
    <row r="195" customFormat="false" ht="12.75" hidden="false" customHeight="false" outlineLevel="0" collapsed="false">
      <c r="B195" s="34"/>
      <c r="D195" s="1" t="s">
        <v>4</v>
      </c>
      <c r="E195" s="26" t="n">
        <v>5.486</v>
      </c>
      <c r="F195" s="1" t="s">
        <v>28</v>
      </c>
      <c r="H195" s="216" t="s">
        <v>244</v>
      </c>
      <c r="I195" s="216"/>
      <c r="J195" s="216"/>
      <c r="K195" s="216"/>
      <c r="L195" s="216"/>
      <c r="M195" s="2" t="s">
        <v>245</v>
      </c>
      <c r="N195" s="144" t="n">
        <f aca="false">N193-LN(N193)-N191</f>
        <v>0.000569444090766424</v>
      </c>
      <c r="O195" s="74"/>
    </row>
    <row r="196" customFormat="false" ht="12.75" hidden="false" customHeight="false" outlineLevel="0" collapsed="false">
      <c r="B196" s="34"/>
      <c r="H196" s="216" t="s">
        <v>246</v>
      </c>
      <c r="I196" s="216"/>
      <c r="J196" s="216"/>
      <c r="K196" s="216"/>
      <c r="L196" s="216"/>
      <c r="O196" s="74"/>
    </row>
    <row r="197" customFormat="false" ht="12.75" hidden="false" customHeight="false" outlineLevel="0" collapsed="false">
      <c r="B197" s="34"/>
      <c r="D197" s="1" t="s">
        <v>247</v>
      </c>
      <c r="E197" s="26" t="n">
        <v>100</v>
      </c>
      <c r="F197" s="115" t="s">
        <v>248</v>
      </c>
      <c r="H197" s="216" t="s">
        <v>249</v>
      </c>
      <c r="I197" s="216"/>
      <c r="J197" s="216"/>
      <c r="K197" s="216"/>
      <c r="L197" s="216"/>
      <c r="O197" s="74"/>
    </row>
    <row r="198" customFormat="false" ht="12.75" hidden="false" customHeight="false" outlineLevel="0" collapsed="false">
      <c r="B198" s="34"/>
      <c r="D198" s="2" t="s">
        <v>163</v>
      </c>
      <c r="E198" s="217" t="n">
        <f aca="false">E197/1000000</f>
        <v>0.0001</v>
      </c>
      <c r="F198" s="1" t="s">
        <v>130</v>
      </c>
      <c r="H198" s="216" t="s">
        <v>250</v>
      </c>
      <c r="I198" s="216"/>
      <c r="J198" s="216"/>
      <c r="K198" s="216"/>
      <c r="L198" s="216"/>
      <c r="O198" s="74"/>
    </row>
    <row r="199" customFormat="false" ht="12.75" hidden="false" customHeight="false" outlineLevel="0" collapsed="false">
      <c r="B199" s="34"/>
      <c r="H199" s="216" t="s">
        <v>251</v>
      </c>
      <c r="I199" s="216"/>
      <c r="J199" s="216"/>
      <c r="K199" s="216"/>
      <c r="L199" s="216"/>
      <c r="O199" s="74"/>
    </row>
    <row r="200" customFormat="false" ht="12.75" hidden="false" customHeight="false" outlineLevel="0" collapsed="false">
      <c r="B200" s="34"/>
      <c r="H200" s="216" t="s">
        <v>252</v>
      </c>
      <c r="I200" s="216"/>
      <c r="J200" s="216"/>
      <c r="K200" s="216"/>
      <c r="L200" s="216"/>
      <c r="M200" s="218" t="s">
        <v>253</v>
      </c>
      <c r="N200" s="218"/>
      <c r="O200" s="74"/>
    </row>
    <row r="201" customFormat="false" ht="12.75" hidden="false" customHeight="false" outlineLevel="0" collapsed="false">
      <c r="B201" s="34"/>
      <c r="H201" s="216" t="s">
        <v>254</v>
      </c>
      <c r="I201" s="216"/>
      <c r="J201" s="216"/>
      <c r="K201" s="216"/>
      <c r="L201" s="216"/>
      <c r="N201" s="85" t="s">
        <v>255</v>
      </c>
      <c r="O201" s="74"/>
    </row>
    <row r="202" customFormat="false" ht="12.75" hidden="false" customHeight="false" outlineLevel="0" collapsed="false">
      <c r="B202" s="34"/>
      <c r="D202" s="1" t="s">
        <v>256</v>
      </c>
      <c r="H202" s="216" t="s">
        <v>257</v>
      </c>
      <c r="I202" s="216"/>
      <c r="J202" s="216"/>
      <c r="K202" s="216"/>
      <c r="L202" s="216"/>
      <c r="N202" s="211" t="s">
        <v>258</v>
      </c>
      <c r="O202" s="74"/>
    </row>
    <row r="203" customFormat="false" ht="12.75" hidden="false" customHeight="false" outlineLevel="0" collapsed="false">
      <c r="B203" s="34"/>
      <c r="D203" s="1" t="s">
        <v>259</v>
      </c>
      <c r="H203" s="216" t="s">
        <v>260</v>
      </c>
      <c r="I203" s="216"/>
      <c r="J203" s="216"/>
      <c r="K203" s="216"/>
      <c r="L203" s="216"/>
      <c r="N203" s="211" t="s">
        <v>261</v>
      </c>
      <c r="O203" s="74"/>
    </row>
    <row r="204" customFormat="false" ht="12.75" hidden="false" customHeight="false" outlineLevel="0" collapsed="false">
      <c r="B204" s="34"/>
      <c r="D204" s="1" t="s">
        <v>262</v>
      </c>
      <c r="H204" s="216" t="s">
        <v>263</v>
      </c>
      <c r="I204" s="216"/>
      <c r="J204" s="216"/>
      <c r="K204" s="216"/>
      <c r="L204" s="216"/>
      <c r="N204" s="211" t="s">
        <v>264</v>
      </c>
      <c r="O204" s="74"/>
    </row>
    <row r="205" customFormat="false" ht="12.75" hidden="false" customHeight="false" outlineLevel="0" collapsed="false">
      <c r="B205" s="34"/>
      <c r="D205" s="1" t="s">
        <v>265</v>
      </c>
      <c r="H205" s="216" t="s">
        <v>266</v>
      </c>
      <c r="I205" s="216"/>
      <c r="J205" s="216"/>
      <c r="K205" s="216"/>
      <c r="L205" s="216"/>
      <c r="O205" s="74"/>
    </row>
    <row r="206" customFormat="false" ht="12.75" hidden="false" customHeight="false" outlineLevel="0" collapsed="false">
      <c r="B206" s="34"/>
      <c r="O206" s="74"/>
    </row>
    <row r="207" customFormat="false" ht="12.75" hidden="false" customHeight="false" outlineLevel="0" collapsed="false">
      <c r="B207" s="34"/>
      <c r="D207" s="136" t="s">
        <v>267</v>
      </c>
      <c r="E207" s="128"/>
      <c r="F207" s="179" t="s">
        <v>68</v>
      </c>
      <c r="G207" s="128"/>
      <c r="H207" s="179" t="s">
        <v>268</v>
      </c>
      <c r="I207" s="128"/>
      <c r="J207" s="179" t="s">
        <v>269</v>
      </c>
      <c r="K207" s="128"/>
      <c r="L207" s="179" t="s">
        <v>270</v>
      </c>
      <c r="M207" s="130"/>
      <c r="O207" s="74"/>
    </row>
    <row r="208" customFormat="false" ht="12.75" hidden="false" customHeight="false" outlineLevel="0" collapsed="false">
      <c r="B208" s="34"/>
      <c r="D208" s="138"/>
      <c r="M208" s="132"/>
      <c r="O208" s="74"/>
    </row>
    <row r="209" customFormat="false" ht="12.75" hidden="false" customHeight="false" outlineLevel="0" collapsed="false">
      <c r="B209" s="34"/>
      <c r="D209" s="138" t="s">
        <v>183</v>
      </c>
      <c r="F209" s="219" t="n">
        <f aca="false">L209*2/2.83</f>
        <v>7.7521763348493</v>
      </c>
      <c r="G209" s="80"/>
      <c r="H209" s="219" t="n">
        <f aca="false">2.3548*F209</f>
        <v>18.2548248333031</v>
      </c>
      <c r="I209" s="80"/>
      <c r="J209" s="219" t="n">
        <f aca="false">2.56*F209</f>
        <v>19.8455714172142</v>
      </c>
      <c r="K209" s="80"/>
      <c r="L209" s="219" t="n">
        <f aca="false">1000*((((-0.000012129*N193+0.00061864)*N193-0.012005)*N193+0.10969)*N193+0.54062)*K191*SQRT(N193)</f>
        <v>10.9693295138118</v>
      </c>
      <c r="M209" s="132"/>
      <c r="O209" s="74"/>
    </row>
    <row r="210" customFormat="false" ht="12.75" hidden="false" customHeight="false" outlineLevel="0" collapsed="false">
      <c r="B210" s="34"/>
      <c r="D210" s="138" t="s">
        <v>184</v>
      </c>
      <c r="F210" s="142" t="n">
        <f aca="false">0.18/3.14159*F209</f>
        <v>0.44416736120018</v>
      </c>
      <c r="G210" s="80"/>
      <c r="H210" s="142" t="n">
        <f aca="false">0.18/3.14159*H209</f>
        <v>1.04592530215418</v>
      </c>
      <c r="I210" s="80"/>
      <c r="J210" s="142" t="n">
        <f aca="false">0.18/3.14159*J209</f>
        <v>1.13706844467246</v>
      </c>
      <c r="K210" s="80"/>
      <c r="L210" s="142" t="n">
        <f aca="false">0.18/3.14159*L209</f>
        <v>0.628496816098255</v>
      </c>
      <c r="M210" s="132"/>
      <c r="O210" s="74"/>
    </row>
    <row r="211" customFormat="false" ht="12.75" hidden="false" customHeight="false" outlineLevel="0" collapsed="false">
      <c r="B211" s="34"/>
      <c r="D211" s="156"/>
      <c r="E211" s="134"/>
      <c r="F211" s="134"/>
      <c r="G211" s="134"/>
      <c r="H211" s="134"/>
      <c r="I211" s="134"/>
      <c r="J211" s="134"/>
      <c r="K211" s="134"/>
      <c r="L211" s="134"/>
      <c r="M211" s="135"/>
      <c r="O211" s="74"/>
    </row>
    <row r="212" customFormat="false" ht="13.5" hidden="false" customHeight="false" outlineLevel="0" collapsed="false">
      <c r="B212" s="4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42"/>
      <c r="Q212" s="113" t="s">
        <v>128</v>
      </c>
    </row>
    <row r="213" customFormat="false" ht="12.75" hidden="false" customHeight="false" outlineLevel="0" collapsed="false"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</row>
  </sheetData>
  <sheetProtection algorithmName="SHA-512" hashValue="8j7aG1jkApveCSz9h5sg2x6uobqsqvDIsbA8/acQbqcoWCmmkoFf2L92imx4ibONxhscC60VorKOFnOyQxl7vg==" saltValue="AMbD9c94DmWpJx0m5TykSg==" spinCount="100000" sheet="true" objects="true" scenarios="true"/>
  <mergeCells count="72">
    <mergeCell ref="N2:P2"/>
    <mergeCell ref="B4:C4"/>
    <mergeCell ref="J5:K5"/>
    <mergeCell ref="L5:M5"/>
    <mergeCell ref="N5:O5"/>
    <mergeCell ref="H6:I6"/>
    <mergeCell ref="J6:K6"/>
    <mergeCell ref="L6:M6"/>
    <mergeCell ref="N6:O6"/>
    <mergeCell ref="B9:C9"/>
    <mergeCell ref="G10:H10"/>
    <mergeCell ref="B11:C11"/>
    <mergeCell ref="G11:H11"/>
    <mergeCell ref="G12:H12"/>
    <mergeCell ref="B16:C16"/>
    <mergeCell ref="E16:F16"/>
    <mergeCell ref="G16:H16"/>
    <mergeCell ref="I16:J16"/>
    <mergeCell ref="L16:M16"/>
    <mergeCell ref="B17:C17"/>
    <mergeCell ref="E18:F18"/>
    <mergeCell ref="G18:H18"/>
    <mergeCell ref="I18:J18"/>
    <mergeCell ref="L18:M18"/>
    <mergeCell ref="H19:I19"/>
    <mergeCell ref="G20:J20"/>
    <mergeCell ref="L20:M20"/>
    <mergeCell ref="E22:F22"/>
    <mergeCell ref="H22:I22"/>
    <mergeCell ref="L22:M22"/>
    <mergeCell ref="N22:O22"/>
    <mergeCell ref="G23:J23"/>
    <mergeCell ref="B25:D25"/>
    <mergeCell ref="H26:I26"/>
    <mergeCell ref="L26:M26"/>
    <mergeCell ref="H27:I27"/>
    <mergeCell ref="L27:M27"/>
    <mergeCell ref="H30:I30"/>
    <mergeCell ref="L30:M30"/>
    <mergeCell ref="H31:I31"/>
    <mergeCell ref="E32:F32"/>
    <mergeCell ref="H32:I32"/>
    <mergeCell ref="L32:M32"/>
    <mergeCell ref="E33:F33"/>
    <mergeCell ref="H33:I33"/>
    <mergeCell ref="B36:C36"/>
    <mergeCell ref="H36:I36"/>
    <mergeCell ref="L36:M36"/>
    <mergeCell ref="H37:I37"/>
    <mergeCell ref="L37:M37"/>
    <mergeCell ref="H38:I38"/>
    <mergeCell ref="L38:M38"/>
    <mergeCell ref="H39:I39"/>
    <mergeCell ref="L39:M39"/>
    <mergeCell ref="B42:C42"/>
    <mergeCell ref="B43:C43"/>
    <mergeCell ref="H43:I43"/>
    <mergeCell ref="L43:M43"/>
    <mergeCell ref="H44:I44"/>
    <mergeCell ref="L44:M44"/>
    <mergeCell ref="H47:I47"/>
    <mergeCell ref="L47:M47"/>
    <mergeCell ref="H48:I48"/>
    <mergeCell ref="E49:F49"/>
    <mergeCell ref="H49:I49"/>
    <mergeCell ref="L49:M49"/>
    <mergeCell ref="E50:F50"/>
    <mergeCell ref="H50:I50"/>
    <mergeCell ref="B53:D53"/>
    <mergeCell ref="N58:O58"/>
    <mergeCell ref="B137:D137"/>
    <mergeCell ref="M200:N200"/>
  </mergeCells>
  <hyperlinks>
    <hyperlink ref="B2" location="'CALCULATOR'!E5" display="Mass"/>
    <hyperlink ref="C2" location="'CALCULATOR'!E10" display="E sep"/>
    <hyperlink ref="D2" location="'CALCULATOR'!E17" display="Q-value"/>
    <hyperlink ref="E2" location="'CALCULATOR'!E28" display="B-rho"/>
    <hyperlink ref="F2" location="'CALCULATOR'!E48" display="E/A"/>
    <hyperlink ref="G2" location="'CALCULATOR'!E59" display="sigma"/>
    <hyperlink ref="H2" location="'CALCULATOR'!E135" display="Brink"/>
    <hyperlink ref="I2" location="'CALCULATOR'!E209" display="M/Scatt"/>
    <hyperlink ref="J2" location="'CALCULATOR'!E94" display="Barrier"/>
    <hyperlink ref="K2" location="'CALCULATOR'!E108" display="Conesize"/>
    <hyperlink ref="Q51" location="'CALCULATOR'!a1" display="to TOP"/>
    <hyperlink ref="Q62" location="'CALCULATOR'!a1" display="to TOP"/>
    <hyperlink ref="Q97" location="'CALCULATOR'!a1" display="to TOP"/>
    <hyperlink ref="Q111" location="'CALCULATOR'!a1" display="to TOP"/>
    <hyperlink ref="Q138" location="'CALCULATOR'!a1" display="to TOP"/>
    <hyperlink ref="Q170" location="'CALCULATOR'!a1" display="to TOP"/>
    <hyperlink ref="Q212" location="'CALCULATOR'!a1" display="to TO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/>
  <sheetProtection sheet="true" objects="true"/>
  <printOptions headings="false" gridLines="false" gridLinesSet="true" horizontalCentered="false" verticalCentered="false"/>
  <pageMargins left="0.75" right="0.75" top="1" bottom="1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S3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83203125" defaultRowHeight="12.75" zeroHeight="false" outlineLevelRow="0" outlineLevelCol="0"/>
  <sheetData>
    <row r="3" customFormat="false" ht="13.5" hidden="false" customHeight="false" outlineLevel="0" collapsed="false">
      <c r="A3" s="220" t="s">
        <v>271</v>
      </c>
      <c r="B3" s="220"/>
      <c r="C3" s="220"/>
      <c r="D3" s="220"/>
      <c r="E3" s="220"/>
      <c r="G3" s="220" t="s">
        <v>272</v>
      </c>
      <c r="H3" s="220"/>
      <c r="I3" s="220"/>
      <c r="J3" s="220"/>
      <c r="K3" s="220"/>
      <c r="R3" s="1" t="s">
        <v>273</v>
      </c>
      <c r="S3" s="1" t="s">
        <v>274</v>
      </c>
    </row>
    <row r="5" customFormat="false" ht="12.75" hidden="false" customHeight="false" outlineLevel="0" collapsed="false">
      <c r="A5" s="1" t="s">
        <v>275</v>
      </c>
      <c r="C5" s="1" t="s">
        <v>276</v>
      </c>
      <c r="D5" s="1" t="s">
        <v>91</v>
      </c>
      <c r="E5" s="1" t="s">
        <v>92</v>
      </c>
      <c r="G5" s="1" t="s">
        <v>275</v>
      </c>
      <c r="I5" s="1" t="s">
        <v>276</v>
      </c>
      <c r="J5" s="1" t="s">
        <v>91</v>
      </c>
      <c r="K5" s="1" t="s">
        <v>92</v>
      </c>
      <c r="M5" s="1" t="s">
        <v>36</v>
      </c>
      <c r="N5" s="1" t="s">
        <v>37</v>
      </c>
      <c r="O5" s="1" t="s">
        <v>277</v>
      </c>
      <c r="P5" s="1" t="s">
        <v>278</v>
      </c>
      <c r="R5" s="1" t="s">
        <v>277</v>
      </c>
      <c r="S5" s="1" t="s">
        <v>278</v>
      </c>
    </row>
    <row r="6" customFormat="false" ht="12.75" hidden="false" customHeight="false" outlineLevel="0" collapsed="false">
      <c r="C6" s="27" t="n">
        <f aca="false">IF(ISNUMBER(kinematics!D30),kinematics!D30,MAX(kinematics!$D$30:$D$210))</f>
        <v>0</v>
      </c>
      <c r="D6" s="205" t="n">
        <f aca="false">IF(ISNUMBER(kinematics!D30),kinematics!B30,0)</f>
        <v>0</v>
      </c>
      <c r="E6" s="27" t="n">
        <f aca="false">IF(ISNUMBER(kinematics!J30),kinematics!J30,0)</f>
        <v>0</v>
      </c>
      <c r="I6" s="27" t="n">
        <f aca="false">C6</f>
        <v>0</v>
      </c>
      <c r="J6" s="205" t="n">
        <f aca="false">IF(ISNUMBER(kinematics!D30),kinematics!F30,0)</f>
        <v>482.727135397596</v>
      </c>
      <c r="K6" s="27" t="n">
        <f aca="false">IF(ISNUMBER(kinematics!L30),kinematics!L30,0)</f>
        <v>132.472864602404</v>
      </c>
      <c r="M6" s="205" t="n">
        <f aca="false">IF(ISNUMBER(kinematics!D30),kinematics!B30,MAX($D$6:$D$186))</f>
        <v>0</v>
      </c>
      <c r="N6" s="205" t="n">
        <f aca="false">IF(ISNUMBER(kinematics!D30),kinematics!F30,0)</f>
        <v>482.727135397596</v>
      </c>
      <c r="O6" s="205" t="n">
        <f aca="false">IF(ISNUMBER(kinematics!J30),kinematics!J30,0)</f>
        <v>0</v>
      </c>
      <c r="P6" s="27" t="n">
        <f aca="false">IF(ISNUMBER(kinematics!L30),kinematics!L30,0)</f>
        <v>132.472864602404</v>
      </c>
      <c r="R6" s="27" t="n">
        <f aca="false">O6</f>
        <v>0</v>
      </c>
      <c r="S6" s="27" t="n">
        <f aca="false">P6</f>
        <v>132.472864602404</v>
      </c>
    </row>
    <row r="7" customFormat="false" ht="12.75" hidden="false" customHeight="false" outlineLevel="0" collapsed="false">
      <c r="C7" s="27" t="n">
        <f aca="false">IF(ISNUMBER(kinematics!D31),kinematics!D31,MAX(kinematics!$D$30:$D$210))</f>
        <v>2.008</v>
      </c>
      <c r="D7" s="205" t="n">
        <f aca="false">IF(ISNUMBER(kinematics!D31),kinematics!B31,0)</f>
        <v>1</v>
      </c>
      <c r="E7" s="27" t="n">
        <f aca="false">IF(ISNUMBER(kinematics!J31),kinematics!J31,0)</f>
        <v>1.15769606445903</v>
      </c>
      <c r="I7" s="27" t="n">
        <f aca="false">C7</f>
        <v>2.008</v>
      </c>
      <c r="J7" s="205" t="n">
        <f aca="false">IF(ISNUMBER(kinematics!D31),kinematics!F31,0)</f>
        <v>482.578996856595</v>
      </c>
      <c r="K7" s="27" t="n">
        <f aca="false">IF(ISNUMBER(kinematics!L31),kinematics!L31,0)</f>
        <v>132.621003143405</v>
      </c>
      <c r="M7" s="205" t="n">
        <f aca="false">IF(ISNUMBER(kinematics!D31),kinematics!B31,MAX($D$6:$D$186))</f>
        <v>1</v>
      </c>
      <c r="N7" s="205" t="n">
        <f aca="false">IF(ISNUMBER(kinematics!D31),kinematics!F31,0)</f>
        <v>482.578996856595</v>
      </c>
      <c r="O7" s="205" t="n">
        <f aca="false">IF(ISNUMBER(kinematics!J31),kinematics!J31,0)</f>
        <v>1.15769606445903</v>
      </c>
      <c r="P7" s="27" t="n">
        <f aca="false">IF(ISNUMBER(kinematics!L31),kinematics!L31,0)</f>
        <v>132.621003143405</v>
      </c>
      <c r="R7" s="27" t="n">
        <f aca="false">O7</f>
        <v>1.15769606445903</v>
      </c>
      <c r="S7" s="27" t="n">
        <f aca="false">P7</f>
        <v>132.621003143405</v>
      </c>
    </row>
    <row r="8" customFormat="false" ht="12.75" hidden="false" customHeight="false" outlineLevel="0" collapsed="false">
      <c r="C8" s="27" t="n">
        <f aca="false">IF(ISNUMBER(kinematics!D32),kinematics!D32,MAX(kinematics!$D$30:$D$210))</f>
        <v>4.015</v>
      </c>
      <c r="D8" s="205" t="n">
        <f aca="false">IF(ISNUMBER(kinematics!D32),kinematics!B32,0)</f>
        <v>2</v>
      </c>
      <c r="E8" s="27" t="n">
        <f aca="false">IF(ISNUMBER(kinematics!J32),kinematics!J32,0)</f>
        <v>2.31057047114142</v>
      </c>
      <c r="I8" s="27" t="n">
        <f aca="false">C8</f>
        <v>4.015</v>
      </c>
      <c r="J8" s="205" t="n">
        <f aca="false">IF(ISNUMBER(kinematics!D32),kinematics!F32,0)</f>
        <v>482.134764143555</v>
      </c>
      <c r="K8" s="27" t="n">
        <f aca="false">IF(ISNUMBER(kinematics!L32),kinematics!L32,0)</f>
        <v>133.065235856445</v>
      </c>
      <c r="M8" s="205" t="n">
        <f aca="false">IF(ISNUMBER(kinematics!D32),kinematics!B32,MAX($D$6:$D$186))</f>
        <v>2</v>
      </c>
      <c r="N8" s="205" t="n">
        <f aca="false">IF(ISNUMBER(kinematics!D32),kinematics!F32,0)</f>
        <v>482.134764143555</v>
      </c>
      <c r="O8" s="205" t="n">
        <f aca="false">IF(ISNUMBER(kinematics!J32),kinematics!J32,0)</f>
        <v>2.31057047114142</v>
      </c>
      <c r="P8" s="27" t="n">
        <f aca="false">IF(ISNUMBER(kinematics!L32),kinematics!L32,0)</f>
        <v>133.065235856445</v>
      </c>
      <c r="R8" s="27" t="n">
        <f aca="false">O8</f>
        <v>2.31057047114142</v>
      </c>
      <c r="S8" s="27" t="n">
        <f aca="false">P8</f>
        <v>133.065235856445</v>
      </c>
    </row>
    <row r="9" customFormat="false" ht="12.75" hidden="false" customHeight="false" outlineLevel="0" collapsed="false">
      <c r="C9" s="27" t="n">
        <f aca="false">IF(ISNUMBER(kinematics!D33),kinematics!D33,MAX(kinematics!$D$30:$D$210))</f>
        <v>6.023</v>
      </c>
      <c r="D9" s="205" t="n">
        <f aca="false">IF(ISNUMBER(kinematics!D33),kinematics!B33,0)</f>
        <v>3</v>
      </c>
      <c r="E9" s="27" t="n">
        <f aca="false">IF(ISNUMBER(kinematics!J33),kinematics!J33,0)</f>
        <v>3.45387167139322</v>
      </c>
      <c r="I9" s="27" t="n">
        <f aca="false">C9</f>
        <v>6.023</v>
      </c>
      <c r="J9" s="205" t="n">
        <f aca="false">IF(ISNUMBER(kinematics!D33),kinematics!F33,0)</f>
        <v>481.394985753637</v>
      </c>
      <c r="K9" s="27" t="n">
        <f aca="false">IF(ISNUMBER(kinematics!L33),kinematics!L33,0)</f>
        <v>133.805014246363</v>
      </c>
      <c r="M9" s="205" t="n">
        <f aca="false">IF(ISNUMBER(kinematics!D33),kinematics!B33,MAX($D$6:$D$186))</f>
        <v>3</v>
      </c>
      <c r="N9" s="205" t="n">
        <f aca="false">IF(ISNUMBER(kinematics!D33),kinematics!F33,0)</f>
        <v>481.394985753637</v>
      </c>
      <c r="O9" s="205" t="n">
        <f aca="false">IF(ISNUMBER(kinematics!J33),kinematics!J33,0)</f>
        <v>3.45387167139322</v>
      </c>
      <c r="P9" s="27" t="n">
        <f aca="false">IF(ISNUMBER(kinematics!L33),kinematics!L33,0)</f>
        <v>133.805014246363</v>
      </c>
      <c r="R9" s="27" t="n">
        <f aca="false">O9</f>
        <v>3.45387167139322</v>
      </c>
      <c r="S9" s="27" t="n">
        <f aca="false">P9</f>
        <v>133.805014246363</v>
      </c>
    </row>
    <row r="10" customFormat="false" ht="12.75" hidden="false" customHeight="false" outlineLevel="0" collapsed="false">
      <c r="C10" s="27" t="n">
        <f aca="false">IF(ISNUMBER(kinematics!D34),kinematics!D34,MAX(kinematics!$D$30:$D$210))</f>
        <v>8.03</v>
      </c>
      <c r="D10" s="205" t="n">
        <f aca="false">IF(ISNUMBER(kinematics!D34),kinematics!B34,0)</f>
        <v>4</v>
      </c>
      <c r="E10" s="27" t="n">
        <f aca="false">IF(ISNUMBER(kinematics!J34),kinematics!J34,0)</f>
        <v>4.58298581737764</v>
      </c>
      <c r="I10" s="27" t="n">
        <f aca="false">C10</f>
        <v>8.03</v>
      </c>
      <c r="J10" s="205" t="n">
        <f aca="false">IF(ISNUMBER(kinematics!D34),kinematics!F34,0)</f>
        <v>480.36057506316</v>
      </c>
      <c r="K10" s="27" t="n">
        <f aca="false">IF(ISNUMBER(kinematics!L34),kinematics!L34,0)</f>
        <v>134.83942493684</v>
      </c>
      <c r="M10" s="205" t="n">
        <f aca="false">IF(ISNUMBER(kinematics!D34),kinematics!B34,MAX($D$6:$D$186))</f>
        <v>4</v>
      </c>
      <c r="N10" s="205" t="n">
        <f aca="false">IF(ISNUMBER(kinematics!D34),kinematics!F34,0)</f>
        <v>480.36057506316</v>
      </c>
      <c r="O10" s="205" t="n">
        <f aca="false">IF(ISNUMBER(kinematics!J34),kinematics!J34,0)</f>
        <v>4.58298581737764</v>
      </c>
      <c r="P10" s="27" t="n">
        <f aca="false">IF(ISNUMBER(kinematics!L34),kinematics!L34,0)</f>
        <v>134.83942493684</v>
      </c>
      <c r="R10" s="27" t="n">
        <f aca="false">O10</f>
        <v>4.58298581737764</v>
      </c>
      <c r="S10" s="27" t="n">
        <f aca="false">P10</f>
        <v>134.83942493684</v>
      </c>
    </row>
    <row r="11" customFormat="false" ht="12.75" hidden="false" customHeight="false" outlineLevel="0" collapsed="false">
      <c r="C11" s="27" t="n">
        <f aca="false">IF(ISNUMBER(kinematics!D35),kinematics!D35,MAX(kinematics!$D$30:$D$210))</f>
        <v>10.037</v>
      </c>
      <c r="D11" s="205" t="n">
        <f aca="false">IF(ISNUMBER(kinematics!D35),kinematics!B35,0)</f>
        <v>5</v>
      </c>
      <c r="E11" s="27" t="n">
        <f aca="false">IF(ISNUMBER(kinematics!J35),kinematics!J35,0)</f>
        <v>5.69349948599639</v>
      </c>
      <c r="I11" s="27" t="n">
        <f aca="false">C11</f>
        <v>10.037</v>
      </c>
      <c r="J11" s="205" t="n">
        <f aca="false">IF(ISNUMBER(kinematics!D35),kinematics!F35,0)</f>
        <v>479.032809157494</v>
      </c>
      <c r="K11" s="27" t="n">
        <f aca="false">IF(ISNUMBER(kinematics!L35),kinematics!L35,0)</f>
        <v>136.167190842506</v>
      </c>
      <c r="M11" s="205" t="n">
        <f aca="false">IF(ISNUMBER(kinematics!D35),kinematics!B35,MAX($D$6:$D$186))</f>
        <v>5</v>
      </c>
      <c r="N11" s="205" t="n">
        <f aca="false">IF(ISNUMBER(kinematics!D35),kinematics!F35,0)</f>
        <v>479.032809157494</v>
      </c>
      <c r="O11" s="205" t="n">
        <f aca="false">IF(ISNUMBER(kinematics!J35),kinematics!J35,0)</f>
        <v>5.69349948599639</v>
      </c>
      <c r="P11" s="27" t="n">
        <f aca="false">IF(ISNUMBER(kinematics!L35),kinematics!L35,0)</f>
        <v>136.167190842506</v>
      </c>
      <c r="R11" s="27" t="n">
        <f aca="false">O11</f>
        <v>5.69349948599639</v>
      </c>
      <c r="S11" s="27" t="n">
        <f aca="false">P11</f>
        <v>136.167190842506</v>
      </c>
    </row>
    <row r="12" customFormat="false" ht="12.75" hidden="false" customHeight="false" outlineLevel="0" collapsed="false">
      <c r="C12" s="27" t="n">
        <f aca="false">IF(ISNUMBER(kinematics!D36),kinematics!D36,MAX(kinematics!$D$30:$D$210))</f>
        <v>12.045</v>
      </c>
      <c r="D12" s="205" t="n">
        <f aca="false">IF(ISNUMBER(kinematics!D36),kinematics!B36,0)</f>
        <v>6</v>
      </c>
      <c r="E12" s="27" t="n">
        <f aca="false">IF(ISNUMBER(kinematics!J36),kinematics!J36,0)</f>
        <v>6.78125550124549</v>
      </c>
      <c r="I12" s="27" t="n">
        <f aca="false">C12</f>
        <v>12.045</v>
      </c>
      <c r="J12" s="205" t="n">
        <f aca="false">IF(ISNUMBER(kinematics!D36),kinematics!F36,0)</f>
        <v>477.41332719241</v>
      </c>
      <c r="K12" s="27" t="n">
        <f aca="false">IF(ISNUMBER(kinematics!L36),kinematics!L36,0)</f>
        <v>137.786672807591</v>
      </c>
      <c r="M12" s="205" t="n">
        <f aca="false">IF(ISNUMBER(kinematics!D36),kinematics!B36,MAX($D$6:$D$186))</f>
        <v>6</v>
      </c>
      <c r="N12" s="205" t="n">
        <f aca="false">IF(ISNUMBER(kinematics!D36),kinematics!F36,0)</f>
        <v>477.41332719241</v>
      </c>
      <c r="O12" s="205" t="n">
        <f aca="false">IF(ISNUMBER(kinematics!J36),kinematics!J36,0)</f>
        <v>6.78125550124549</v>
      </c>
      <c r="P12" s="27" t="n">
        <f aca="false">IF(ISNUMBER(kinematics!L36),kinematics!L36,0)</f>
        <v>137.786672807591</v>
      </c>
      <c r="R12" s="27" t="n">
        <f aca="false">O12</f>
        <v>6.78125550124549</v>
      </c>
      <c r="S12" s="27" t="n">
        <f aca="false">P12</f>
        <v>137.786672807591</v>
      </c>
    </row>
    <row r="13" customFormat="false" ht="12.75" hidden="false" customHeight="false" outlineLevel="0" collapsed="false">
      <c r="C13" s="27" t="n">
        <f aca="false">IF(ISNUMBER(kinematics!D37),kinematics!D37,MAX(kinematics!$D$30:$D$210))</f>
        <v>14.052</v>
      </c>
      <c r="D13" s="205" t="n">
        <f aca="false">IF(ISNUMBER(kinematics!D37),kinematics!B37,0)</f>
        <v>7</v>
      </c>
      <c r="E13" s="27" t="n">
        <f aca="false">IF(ISNUMBER(kinematics!J37),kinematics!J37,0)</f>
        <v>7.84240025471724</v>
      </c>
      <c r="I13" s="27" t="n">
        <f aca="false">C13</f>
        <v>14.052</v>
      </c>
      <c r="J13" s="205" t="n">
        <f aca="false">IF(ISNUMBER(kinematics!D37),kinematics!F37,0)</f>
        <v>475.504128291416</v>
      </c>
      <c r="K13" s="27" t="n">
        <f aca="false">IF(ISNUMBER(kinematics!L37),kinematics!L37,0)</f>
        <v>139.695871708585</v>
      </c>
      <c r="M13" s="205" t="n">
        <f aca="false">IF(ISNUMBER(kinematics!D37),kinematics!B37,MAX($D$6:$D$186))</f>
        <v>7</v>
      </c>
      <c r="N13" s="205" t="n">
        <f aca="false">IF(ISNUMBER(kinematics!D37),kinematics!F37,0)</f>
        <v>475.504128291416</v>
      </c>
      <c r="O13" s="205" t="n">
        <f aca="false">IF(ISNUMBER(kinematics!J37),kinematics!J37,0)</f>
        <v>7.84240025471724</v>
      </c>
      <c r="P13" s="27" t="n">
        <f aca="false">IF(ISNUMBER(kinematics!L37),kinematics!L37,0)</f>
        <v>139.695871708585</v>
      </c>
      <c r="R13" s="27" t="n">
        <f aca="false">O13</f>
        <v>7.84240025471724</v>
      </c>
      <c r="S13" s="27" t="n">
        <f aca="false">P13</f>
        <v>139.695871708585</v>
      </c>
    </row>
    <row r="14" customFormat="false" ht="12.75" hidden="false" customHeight="false" outlineLevel="0" collapsed="false">
      <c r="C14" s="27" t="n">
        <f aca="false">IF(ISNUMBER(kinematics!D38),kinematics!D38,MAX(kinematics!$D$30:$D$210))</f>
        <v>16.06</v>
      </c>
      <c r="D14" s="205" t="n">
        <f aca="false">IF(ISNUMBER(kinematics!D38),kinematics!B38,0)</f>
        <v>8</v>
      </c>
      <c r="E14" s="27" t="n">
        <f aca="false">IF(ISNUMBER(kinematics!J38),kinematics!J38,0)</f>
        <v>8.87342143176175</v>
      </c>
      <c r="I14" s="27" t="n">
        <f aca="false">C14</f>
        <v>16.06</v>
      </c>
      <c r="J14" s="205" t="n">
        <f aca="false">IF(ISNUMBER(kinematics!D38),kinematics!F38,0)</f>
        <v>473.307568982175</v>
      </c>
      <c r="K14" s="27" t="n">
        <f aca="false">IF(ISNUMBER(kinematics!L38),kinematics!L38,0)</f>
        <v>141.892431017825</v>
      </c>
      <c r="M14" s="205" t="n">
        <f aca="false">IF(ISNUMBER(kinematics!D38),kinematics!B38,MAX($D$6:$D$186))</f>
        <v>8</v>
      </c>
      <c r="N14" s="205" t="n">
        <f aca="false">IF(ISNUMBER(kinematics!D38),kinematics!F38,0)</f>
        <v>473.307568982175</v>
      </c>
      <c r="O14" s="205" t="n">
        <f aca="false">IF(ISNUMBER(kinematics!J38),kinematics!J38,0)</f>
        <v>8.87342143176175</v>
      </c>
      <c r="P14" s="27" t="n">
        <f aca="false">IF(ISNUMBER(kinematics!L38),kinematics!L38,0)</f>
        <v>141.892431017825</v>
      </c>
      <c r="R14" s="27" t="n">
        <f aca="false">O14</f>
        <v>8.87342143176175</v>
      </c>
      <c r="S14" s="27" t="n">
        <f aca="false">P14</f>
        <v>141.892431017825</v>
      </c>
    </row>
    <row r="15" customFormat="false" ht="12.75" hidden="false" customHeight="false" outlineLevel="0" collapsed="false">
      <c r="C15" s="27" t="n">
        <f aca="false">IF(ISNUMBER(kinematics!D39),kinematics!D39,MAX(kinematics!$D$30:$D$210))</f>
        <v>18.067</v>
      </c>
      <c r="D15" s="205" t="n">
        <f aca="false">IF(ISNUMBER(kinematics!D39),kinematics!B39,0)</f>
        <v>9</v>
      </c>
      <c r="E15" s="27" t="n">
        <f aca="false">IF(ISNUMBER(kinematics!J39),kinematics!J39,0)</f>
        <v>9.87117558613755</v>
      </c>
      <c r="I15" s="27" t="n">
        <f aca="false">C15</f>
        <v>18.067</v>
      </c>
      <c r="J15" s="205" t="n">
        <f aca="false">IF(ISNUMBER(kinematics!D39),kinematics!F39,0)</f>
        <v>470.826360175614</v>
      </c>
      <c r="K15" s="27" t="n">
        <f aca="false">IF(ISNUMBER(kinematics!L39),kinematics!L39,0)</f>
        <v>144.373639824386</v>
      </c>
      <c r="M15" s="205" t="n">
        <f aca="false">IF(ISNUMBER(kinematics!D39),kinematics!B39,MAX($D$6:$D$186))</f>
        <v>9</v>
      </c>
      <c r="N15" s="205" t="n">
        <f aca="false">IF(ISNUMBER(kinematics!D39),kinematics!F39,0)</f>
        <v>470.826360175614</v>
      </c>
      <c r="O15" s="205" t="n">
        <f aca="false">IF(ISNUMBER(kinematics!J39),kinematics!J39,0)</f>
        <v>9.87117558613755</v>
      </c>
      <c r="P15" s="27" t="n">
        <f aca="false">IF(ISNUMBER(kinematics!L39),kinematics!L39,0)</f>
        <v>144.373639824386</v>
      </c>
      <c r="R15" s="27" t="n">
        <f aca="false">O15</f>
        <v>9.87117558613755</v>
      </c>
      <c r="S15" s="27" t="n">
        <f aca="false">P15</f>
        <v>144.373639824386</v>
      </c>
    </row>
    <row r="16" customFormat="false" ht="12.75" hidden="false" customHeight="false" outlineLevel="0" collapsed="false">
      <c r="C16" s="27" t="n">
        <f aca="false">IF(ISNUMBER(kinematics!D40),kinematics!D40,MAX(kinematics!$D$30:$D$210))</f>
        <v>20.075</v>
      </c>
      <c r="D16" s="205" t="n">
        <f aca="false">IF(ISNUMBER(kinematics!D40),kinematics!B40,0)</f>
        <v>10</v>
      </c>
      <c r="E16" s="27" t="n">
        <f aca="false">IF(ISNUMBER(kinematics!J40),kinematics!J40,0)</f>
        <v>10.8329055239524</v>
      </c>
      <c r="I16" s="27" t="n">
        <f aca="false">C16</f>
        <v>20.075</v>
      </c>
      <c r="J16" s="205" t="n">
        <f aca="false">IF(ISNUMBER(kinematics!D40),kinematics!F40,0)</f>
        <v>468.063563692396</v>
      </c>
      <c r="K16" s="27" t="n">
        <f aca="false">IF(ISNUMBER(kinematics!L40),kinematics!L40,0)</f>
        <v>147.136436307604</v>
      </c>
      <c r="M16" s="205" t="n">
        <f aca="false">IF(ISNUMBER(kinematics!D40),kinematics!B40,MAX($D$6:$D$186))</f>
        <v>10</v>
      </c>
      <c r="N16" s="205" t="n">
        <f aca="false">IF(ISNUMBER(kinematics!D40),kinematics!F40,0)</f>
        <v>468.063563692396</v>
      </c>
      <c r="O16" s="205" t="n">
        <f aca="false">IF(ISNUMBER(kinematics!J40),kinematics!J40,0)</f>
        <v>10.8329055239524</v>
      </c>
      <c r="P16" s="27" t="n">
        <f aca="false">IF(ISNUMBER(kinematics!L40),kinematics!L40,0)</f>
        <v>147.136436307604</v>
      </c>
      <c r="R16" s="27" t="n">
        <f aca="false">O16</f>
        <v>10.8329055239524</v>
      </c>
      <c r="S16" s="27" t="n">
        <f aca="false">P16</f>
        <v>147.136436307604</v>
      </c>
    </row>
    <row r="17" customFormat="false" ht="12.75" hidden="false" customHeight="false" outlineLevel="0" collapsed="false">
      <c r="C17" s="27" t="n">
        <f aca="false">IF(ISNUMBER(kinematics!D41),kinematics!D41,MAX(kinematics!$D$30:$D$210))</f>
        <v>22.082</v>
      </c>
      <c r="D17" s="205" t="n">
        <f aca="false">IF(ISNUMBER(kinematics!D41),kinematics!B41,0)</f>
        <v>11</v>
      </c>
      <c r="E17" s="27" t="n">
        <f aca="false">IF(ISNUMBER(kinematics!J41),kinematics!J41,0)</f>
        <v>11.7562479203319</v>
      </c>
      <c r="I17" s="27" t="n">
        <f aca="false">C17</f>
        <v>22.082</v>
      </c>
      <c r="J17" s="205" t="n">
        <f aca="false">IF(ISNUMBER(kinematics!D41),kinematics!F41,0)</f>
        <v>465.022588341526</v>
      </c>
      <c r="K17" s="27" t="n">
        <f aca="false">IF(ISNUMBER(kinematics!L41),kinematics!L41,0)</f>
        <v>150.177411658474</v>
      </c>
      <c r="M17" s="205" t="n">
        <f aca="false">IF(ISNUMBER(kinematics!D41),kinematics!B41,MAX($D$6:$D$186))</f>
        <v>11</v>
      </c>
      <c r="N17" s="205" t="n">
        <f aca="false">IF(ISNUMBER(kinematics!D41),kinematics!F41,0)</f>
        <v>465.022588341526</v>
      </c>
      <c r="O17" s="205" t="n">
        <f aca="false">IF(ISNUMBER(kinematics!J41),kinematics!J41,0)</f>
        <v>11.7562479203319</v>
      </c>
      <c r="P17" s="27" t="n">
        <f aca="false">IF(ISNUMBER(kinematics!L41),kinematics!L41,0)</f>
        <v>150.177411658474</v>
      </c>
      <c r="R17" s="27" t="n">
        <f aca="false">O17</f>
        <v>11.7562479203319</v>
      </c>
      <c r="S17" s="27" t="n">
        <f aca="false">P17</f>
        <v>150.177411658474</v>
      </c>
    </row>
    <row r="18" customFormat="false" ht="12.75" hidden="false" customHeight="false" outlineLevel="0" collapsed="false">
      <c r="C18" s="27" t="n">
        <f aca="false">IF(ISNUMBER(kinematics!D42),kinematics!D42,MAX(kinematics!$D$30:$D$210))</f>
        <v>24.089</v>
      </c>
      <c r="D18" s="205" t="n">
        <f aca="false">IF(ISNUMBER(kinematics!D42),kinematics!B42,0)</f>
        <v>12</v>
      </c>
      <c r="E18" s="27" t="n">
        <f aca="false">IF(ISNUMBER(kinematics!J42),kinematics!J42,0)</f>
        <v>12.6392319720688</v>
      </c>
      <c r="I18" s="27" t="n">
        <f aca="false">C18</f>
        <v>24.089</v>
      </c>
      <c r="J18" s="205" t="n">
        <f aca="false">IF(ISNUMBER(kinematics!D42),kinematics!F42,0)</f>
        <v>461.707185557145</v>
      </c>
      <c r="K18" s="27" t="n">
        <f aca="false">IF(ISNUMBER(kinematics!L42),kinematics!L42,0)</f>
        <v>153.492814442855</v>
      </c>
      <c r="M18" s="205" t="n">
        <f aca="false">IF(ISNUMBER(kinematics!D42),kinematics!B42,MAX($D$6:$D$186))</f>
        <v>12</v>
      </c>
      <c r="N18" s="205" t="n">
        <f aca="false">IF(ISNUMBER(kinematics!D42),kinematics!F42,0)</f>
        <v>461.707185557145</v>
      </c>
      <c r="O18" s="205" t="n">
        <f aca="false">IF(ISNUMBER(kinematics!J42),kinematics!J42,0)</f>
        <v>12.6392319720688</v>
      </c>
      <c r="P18" s="27" t="n">
        <f aca="false">IF(ISNUMBER(kinematics!L42),kinematics!L42,0)</f>
        <v>153.492814442855</v>
      </c>
      <c r="R18" s="27" t="n">
        <f aca="false">O18</f>
        <v>12.6392319720688</v>
      </c>
      <c r="S18" s="27" t="n">
        <f aca="false">P18</f>
        <v>153.492814442855</v>
      </c>
    </row>
    <row r="19" customFormat="false" ht="12.75" hidden="false" customHeight="false" outlineLevel="0" collapsed="false">
      <c r="C19" s="27" t="n">
        <f aca="false">IF(ISNUMBER(kinematics!D43),kinematics!D43,MAX(kinematics!$D$30:$D$210))</f>
        <v>26.096</v>
      </c>
      <c r="D19" s="205" t="n">
        <f aca="false">IF(ISNUMBER(kinematics!D43),kinematics!B43,0)</f>
        <v>13</v>
      </c>
      <c r="E19" s="27" t="n">
        <f aca="false">IF(ISNUMBER(kinematics!J43),kinematics!J43,0)</f>
        <v>13.4802701706473</v>
      </c>
      <c r="I19" s="27" t="n">
        <f aca="false">C19</f>
        <v>26.096</v>
      </c>
      <c r="J19" s="205" t="n">
        <f aca="false">IF(ISNUMBER(kinematics!D43),kinematics!F43,0)</f>
        <v>458.121444599531</v>
      </c>
      <c r="K19" s="27" t="n">
        <f aca="false">IF(ISNUMBER(kinematics!L43),kinematics!L43,0)</f>
        <v>157.078555400469</v>
      </c>
      <c r="M19" s="205" t="n">
        <f aca="false">IF(ISNUMBER(kinematics!D43),kinematics!B43,MAX($D$6:$D$186))</f>
        <v>13</v>
      </c>
      <c r="N19" s="205" t="n">
        <f aca="false">IF(ISNUMBER(kinematics!D43),kinematics!F43,0)</f>
        <v>458.121444599531</v>
      </c>
      <c r="O19" s="205" t="n">
        <f aca="false">IF(ISNUMBER(kinematics!J43),kinematics!J43,0)</f>
        <v>13.4802701706473</v>
      </c>
      <c r="P19" s="27" t="n">
        <f aca="false">IF(ISNUMBER(kinematics!L43),kinematics!L43,0)</f>
        <v>157.078555400469</v>
      </c>
      <c r="R19" s="27" t="n">
        <f aca="false">O19</f>
        <v>13.4802701706473</v>
      </c>
      <c r="S19" s="27" t="n">
        <f aca="false">P19</f>
        <v>157.078555400469</v>
      </c>
    </row>
    <row r="20" customFormat="false" ht="12.75" hidden="false" customHeight="false" outlineLevel="0" collapsed="false">
      <c r="C20" s="27" t="n">
        <f aca="false">IF(ISNUMBER(kinematics!D44),kinematics!D44,MAX(kinematics!$D$30:$D$210))</f>
        <v>28.104</v>
      </c>
      <c r="D20" s="205" t="n">
        <f aca="false">IF(ISNUMBER(kinematics!D44),kinematics!B44,0)</f>
        <v>14</v>
      </c>
      <c r="E20" s="27" t="n">
        <f aca="false">IF(ISNUMBER(kinematics!J44),kinematics!J44,0)</f>
        <v>14.2781424583719</v>
      </c>
      <c r="I20" s="27" t="n">
        <f aca="false">C20</f>
        <v>28.104</v>
      </c>
      <c r="J20" s="205" t="n">
        <f aca="false">IF(ISNUMBER(kinematics!D44),kinematics!F44,0)</f>
        <v>454.269787327589</v>
      </c>
      <c r="K20" s="27" t="n">
        <f aca="false">IF(ISNUMBER(kinematics!L44),kinematics!L44,0)</f>
        <v>160.930212672411</v>
      </c>
      <c r="M20" s="205" t="n">
        <f aca="false">IF(ISNUMBER(kinematics!D44),kinematics!B44,MAX($D$6:$D$186))</f>
        <v>14</v>
      </c>
      <c r="N20" s="205" t="n">
        <f aca="false">IF(ISNUMBER(kinematics!D44),kinematics!F44,0)</f>
        <v>454.269787327589</v>
      </c>
      <c r="O20" s="205" t="n">
        <f aca="false">IF(ISNUMBER(kinematics!J44),kinematics!J44,0)</f>
        <v>14.2781424583719</v>
      </c>
      <c r="P20" s="27" t="n">
        <f aca="false">IF(ISNUMBER(kinematics!L44),kinematics!L44,0)</f>
        <v>160.930212672411</v>
      </c>
      <c r="R20" s="27" t="n">
        <f aca="false">O20</f>
        <v>14.2781424583719</v>
      </c>
      <c r="S20" s="27" t="n">
        <f aca="false">P20</f>
        <v>160.930212672411</v>
      </c>
    </row>
    <row r="21" customFormat="false" ht="12.75" hidden="false" customHeight="false" outlineLevel="0" collapsed="false">
      <c r="C21" s="27" t="n">
        <f aca="false">IF(ISNUMBER(kinematics!D45),kinematics!D45,MAX(kinematics!$D$30:$D$210))</f>
        <v>30.111</v>
      </c>
      <c r="D21" s="205" t="n">
        <f aca="false">IF(ISNUMBER(kinematics!D45),kinematics!B45,0)</f>
        <v>15</v>
      </c>
      <c r="E21" s="27" t="n">
        <f aca="false">IF(ISNUMBER(kinematics!J45),kinematics!J45,0)</f>
        <v>15.031975111204</v>
      </c>
      <c r="I21" s="27" t="n">
        <f aca="false">C21</f>
        <v>30.111</v>
      </c>
      <c r="J21" s="205" t="n">
        <f aca="false">IF(ISNUMBER(kinematics!D45),kinematics!F45,0)</f>
        <v>450.1569625502</v>
      </c>
      <c r="K21" s="27" t="n">
        <f aca="false">IF(ISNUMBER(kinematics!L45),kinematics!L45,0)</f>
        <v>165.0430374498</v>
      </c>
      <c r="M21" s="205" t="n">
        <f aca="false">IF(ISNUMBER(kinematics!D45),kinematics!B45,MAX($D$6:$D$186))</f>
        <v>15</v>
      </c>
      <c r="N21" s="205" t="n">
        <f aca="false">IF(ISNUMBER(kinematics!D45),kinematics!F45,0)</f>
        <v>450.1569625502</v>
      </c>
      <c r="O21" s="205" t="n">
        <f aca="false">IF(ISNUMBER(kinematics!J45),kinematics!J45,0)</f>
        <v>15.031975111204</v>
      </c>
      <c r="P21" s="27" t="n">
        <f aca="false">IF(ISNUMBER(kinematics!L45),kinematics!L45,0)</f>
        <v>165.0430374498</v>
      </c>
      <c r="R21" s="27" t="n">
        <f aca="false">O21</f>
        <v>15.031975111204</v>
      </c>
      <c r="S21" s="27" t="n">
        <f aca="false">P21</f>
        <v>165.0430374498</v>
      </c>
    </row>
    <row r="22" customFormat="false" ht="12.75" hidden="false" customHeight="false" outlineLevel="0" collapsed="false">
      <c r="C22" s="27" t="n">
        <f aca="false">IF(ISNUMBER(kinematics!D46),kinematics!D46,MAX(kinematics!$D$30:$D$210))</f>
        <v>32.118</v>
      </c>
      <c r="D22" s="205" t="n">
        <f aca="false">IF(ISNUMBER(kinematics!D46),kinematics!B46,0)</f>
        <v>16</v>
      </c>
      <c r="E22" s="27" t="n">
        <f aca="false">IF(ISNUMBER(kinematics!J46),kinematics!J46,0)</f>
        <v>15.7412156880868</v>
      </c>
      <c r="I22" s="27" t="n">
        <f aca="false">C22</f>
        <v>32.118</v>
      </c>
      <c r="J22" s="205" t="n">
        <f aca="false">IF(ISNUMBER(kinematics!D46),kinematics!F46,0)</f>
        <v>445.788039964698</v>
      </c>
      <c r="K22" s="27" t="n">
        <f aca="false">IF(ISNUMBER(kinematics!L46),kinematics!L46,0)</f>
        <v>169.411960035302</v>
      </c>
      <c r="M22" s="205" t="n">
        <f aca="false">IF(ISNUMBER(kinematics!D46),kinematics!B46,MAX($D$6:$D$186))</f>
        <v>16</v>
      </c>
      <c r="N22" s="205" t="n">
        <f aca="false">IF(ISNUMBER(kinematics!D46),kinematics!F46,0)</f>
        <v>445.788039964698</v>
      </c>
      <c r="O22" s="205" t="n">
        <f aca="false">IF(ISNUMBER(kinematics!J46),kinematics!J46,0)</f>
        <v>15.7412156880868</v>
      </c>
      <c r="P22" s="27" t="n">
        <f aca="false">IF(ISNUMBER(kinematics!L46),kinematics!L46,0)</f>
        <v>169.411960035302</v>
      </c>
      <c r="R22" s="27" t="n">
        <f aca="false">O22</f>
        <v>15.7412156880868</v>
      </c>
      <c r="S22" s="27" t="n">
        <f aca="false">P22</f>
        <v>169.411960035302</v>
      </c>
    </row>
    <row r="23" customFormat="false" ht="12.75" hidden="false" customHeight="false" outlineLevel="0" collapsed="false">
      <c r="C23" s="27" t="n">
        <f aca="false">IF(ISNUMBER(kinematics!D47),kinematics!D47,MAX(kinematics!$D$30:$D$210))</f>
        <v>34.125</v>
      </c>
      <c r="D23" s="205" t="n">
        <f aca="false">IF(ISNUMBER(kinematics!D47),kinematics!B47,0)</f>
        <v>17</v>
      </c>
      <c r="E23" s="27" t="n">
        <f aca="false">IF(ISNUMBER(kinematics!J47),kinematics!J47,0)</f>
        <v>16.4056053148705</v>
      </c>
      <c r="I23" s="27" t="n">
        <f aca="false">C23</f>
        <v>34.125</v>
      </c>
      <c r="J23" s="205" t="n">
        <f aca="false">IF(ISNUMBER(kinematics!D47),kinematics!F47,0)</f>
        <v>441.168403691178</v>
      </c>
      <c r="K23" s="27" t="n">
        <f aca="false">IF(ISNUMBER(kinematics!L47),kinematics!L47,0)</f>
        <v>174.031596308822</v>
      </c>
      <c r="M23" s="205" t="n">
        <f aca="false">IF(ISNUMBER(kinematics!D47),kinematics!B47,MAX($D$6:$D$186))</f>
        <v>17</v>
      </c>
      <c r="N23" s="205" t="n">
        <f aca="false">IF(ISNUMBER(kinematics!D47),kinematics!F47,0)</f>
        <v>441.168403691178</v>
      </c>
      <c r="O23" s="205" t="n">
        <f aca="false">IF(ISNUMBER(kinematics!J47),kinematics!J47,0)</f>
        <v>16.4056053148705</v>
      </c>
      <c r="P23" s="27" t="n">
        <f aca="false">IF(ISNUMBER(kinematics!L47),kinematics!L47,0)</f>
        <v>174.031596308822</v>
      </c>
      <c r="R23" s="27" t="n">
        <f aca="false">O23</f>
        <v>16.4056053148705</v>
      </c>
      <c r="S23" s="27" t="n">
        <f aca="false">P23</f>
        <v>174.031596308822</v>
      </c>
    </row>
    <row r="24" customFormat="false" ht="12.75" hidden="false" customHeight="false" outlineLevel="0" collapsed="false">
      <c r="C24" s="27" t="n">
        <f aca="false">IF(ISNUMBER(kinematics!D48),kinematics!D48,MAX(kinematics!$D$30:$D$210))</f>
        <v>36.132</v>
      </c>
      <c r="D24" s="205" t="n">
        <f aca="false">IF(ISNUMBER(kinematics!D48),kinematics!B48,0)</f>
        <v>18</v>
      </c>
      <c r="E24" s="27" t="n">
        <f aca="false">IF(ISNUMBER(kinematics!J48),kinematics!J48,0)</f>
        <v>17.0251494501236</v>
      </c>
      <c r="I24" s="27" t="n">
        <f aca="false">C24</f>
        <v>36.132</v>
      </c>
      <c r="J24" s="205" t="n">
        <f aca="false">IF(ISNUMBER(kinematics!D48),kinematics!F48,0)</f>
        <v>436.303745412018</v>
      </c>
      <c r="K24" s="27" t="n">
        <f aca="false">IF(ISNUMBER(kinematics!L48),kinematics!L48,0)</f>
        <v>178.896254587982</v>
      </c>
      <c r="M24" s="205" t="n">
        <f aca="false">IF(ISNUMBER(kinematics!D48),kinematics!B48,MAX($D$6:$D$186))</f>
        <v>18</v>
      </c>
      <c r="N24" s="205" t="n">
        <f aca="false">IF(ISNUMBER(kinematics!D48),kinematics!F48,0)</f>
        <v>436.303745412018</v>
      </c>
      <c r="O24" s="205" t="n">
        <f aca="false">IF(ISNUMBER(kinematics!J48),kinematics!J48,0)</f>
        <v>17.0251494501236</v>
      </c>
      <c r="P24" s="27" t="n">
        <f aca="false">IF(ISNUMBER(kinematics!L48),kinematics!L48,0)</f>
        <v>178.896254587982</v>
      </c>
      <c r="R24" s="27" t="n">
        <f aca="false">O24</f>
        <v>17.0251494501236</v>
      </c>
      <c r="S24" s="27" t="n">
        <f aca="false">P24</f>
        <v>178.896254587982</v>
      </c>
    </row>
    <row r="25" customFormat="false" ht="12.75" hidden="false" customHeight="false" outlineLevel="0" collapsed="false">
      <c r="C25" s="27" t="n">
        <f aca="false">IF(ISNUMBER(kinematics!D49),kinematics!D49,MAX(kinematics!$D$30:$D$210))</f>
        <v>38.139</v>
      </c>
      <c r="D25" s="205" t="n">
        <f aca="false">IF(ISNUMBER(kinematics!D49),kinematics!B49,0)</f>
        <v>19</v>
      </c>
      <c r="E25" s="27" t="n">
        <f aca="false">IF(ISNUMBER(kinematics!J49),kinematics!J49,0)</f>
        <v>17.6000881281478</v>
      </c>
      <c r="I25" s="27" t="n">
        <f aca="false">C25</f>
        <v>38.139</v>
      </c>
      <c r="J25" s="205" t="n">
        <f aca="false">IF(ISNUMBER(kinematics!D49),kinematics!F49,0)</f>
        <v>431.200057126305</v>
      </c>
      <c r="K25" s="27" t="n">
        <f aca="false">IF(ISNUMBER(kinematics!L49),kinematics!L49,0)</f>
        <v>183.999942873695</v>
      </c>
      <c r="M25" s="205" t="n">
        <f aca="false">IF(ISNUMBER(kinematics!D49),kinematics!B49,MAX($D$6:$D$186))</f>
        <v>19</v>
      </c>
      <c r="N25" s="205" t="n">
        <f aca="false">IF(ISNUMBER(kinematics!D49),kinematics!F49,0)</f>
        <v>431.200057126305</v>
      </c>
      <c r="O25" s="205" t="n">
        <f aca="false">IF(ISNUMBER(kinematics!J49),kinematics!J49,0)</f>
        <v>17.6000881281478</v>
      </c>
      <c r="P25" s="27" t="n">
        <f aca="false">IF(ISNUMBER(kinematics!L49),kinematics!L49,0)</f>
        <v>183.999942873695</v>
      </c>
      <c r="R25" s="27" t="n">
        <f aca="false">O25</f>
        <v>17.6000881281478</v>
      </c>
      <c r="S25" s="27" t="n">
        <f aca="false">P25</f>
        <v>183.999942873695</v>
      </c>
    </row>
    <row r="26" customFormat="false" ht="12.75" hidden="false" customHeight="false" outlineLevel="0" collapsed="false">
      <c r="C26" s="27" t="n">
        <f aca="false">IF(ISNUMBER(kinematics!D50),kinematics!D50,MAX(kinematics!$D$30:$D$210))</f>
        <v>40.146</v>
      </c>
      <c r="D26" s="205" t="n">
        <f aca="false">IF(ISNUMBER(kinematics!D50),kinematics!B50,0)</f>
        <v>20</v>
      </c>
      <c r="E26" s="27" t="n">
        <f aca="false">IF(ISNUMBER(kinematics!J50),kinematics!J50,0)</f>
        <v>18.1308665075662</v>
      </c>
      <c r="I26" s="27" t="n">
        <f aca="false">C26</f>
        <v>40.146</v>
      </c>
      <c r="J26" s="205" t="n">
        <f aca="false">IF(ISNUMBER(kinematics!D50),kinematics!F50,0)</f>
        <v>425.863623529702</v>
      </c>
      <c r="K26" s="27" t="n">
        <f aca="false">IF(ISNUMBER(kinematics!L50),kinematics!L50,0)</f>
        <v>189.336376470298</v>
      </c>
      <c r="M26" s="205" t="n">
        <f aca="false">IF(ISNUMBER(kinematics!D50),kinematics!B50,MAX($D$6:$D$186))</f>
        <v>20</v>
      </c>
      <c r="N26" s="205" t="n">
        <f aca="false">IF(ISNUMBER(kinematics!D50),kinematics!F50,0)</f>
        <v>425.863623529702</v>
      </c>
      <c r="O26" s="205" t="n">
        <f aca="false">IF(ISNUMBER(kinematics!J50),kinematics!J50,0)</f>
        <v>18.1308665075662</v>
      </c>
      <c r="P26" s="27" t="n">
        <f aca="false">IF(ISNUMBER(kinematics!L50),kinematics!L50,0)</f>
        <v>189.336376470298</v>
      </c>
      <c r="R26" s="27" t="n">
        <f aca="false">O26</f>
        <v>18.1308665075662</v>
      </c>
      <c r="S26" s="27" t="n">
        <f aca="false">P26</f>
        <v>189.336376470298</v>
      </c>
    </row>
    <row r="27" customFormat="false" ht="12.75" hidden="false" customHeight="false" outlineLevel="0" collapsed="false">
      <c r="C27" s="27" t="n">
        <f aca="false">IF(ISNUMBER(kinematics!D51),kinematics!D51,MAX(kinematics!$D$30:$D$210))</f>
        <v>42.153</v>
      </c>
      <c r="D27" s="205" t="n">
        <f aca="false">IF(ISNUMBER(kinematics!D51),kinematics!B51,0)</f>
        <v>21</v>
      </c>
      <c r="E27" s="27" t="n">
        <f aca="false">IF(ISNUMBER(kinematics!J51),kinematics!J51,0)</f>
        <v>18.6181063849784</v>
      </c>
      <c r="I27" s="27" t="n">
        <f aca="false">C27</f>
        <v>42.153</v>
      </c>
      <c r="J27" s="205" t="n">
        <f aca="false">IF(ISNUMBER(kinematics!D51),kinematics!F51,0)</f>
        <v>420.301014030505</v>
      </c>
      <c r="K27" s="27" t="n">
        <f aca="false">IF(ISNUMBER(kinematics!L51),kinematics!L51,0)</f>
        <v>194.898985969495</v>
      </c>
      <c r="M27" s="205" t="n">
        <f aca="false">IF(ISNUMBER(kinematics!D51),kinematics!B51,MAX($D$6:$D$186))</f>
        <v>21</v>
      </c>
      <c r="N27" s="205" t="n">
        <f aca="false">IF(ISNUMBER(kinematics!D51),kinematics!F51,0)</f>
        <v>420.301014030505</v>
      </c>
      <c r="O27" s="205" t="n">
        <f aca="false">IF(ISNUMBER(kinematics!J51),kinematics!J51,0)</f>
        <v>18.6181063849784</v>
      </c>
      <c r="P27" s="27" t="n">
        <f aca="false">IF(ISNUMBER(kinematics!L51),kinematics!L51,0)</f>
        <v>194.898985969495</v>
      </c>
      <c r="R27" s="27" t="n">
        <f aca="false">O27</f>
        <v>18.6181063849784</v>
      </c>
      <c r="S27" s="27" t="n">
        <f aca="false">P27</f>
        <v>194.898985969495</v>
      </c>
    </row>
    <row r="28" customFormat="false" ht="12.75" hidden="false" customHeight="false" outlineLevel="0" collapsed="false">
      <c r="C28" s="27" t="n">
        <f aca="false">IF(ISNUMBER(kinematics!D52),kinematics!D52,MAX(kinematics!$D$30:$D$210))</f>
        <v>44.159</v>
      </c>
      <c r="D28" s="205" t="n">
        <f aca="false">IF(ISNUMBER(kinematics!D52),kinematics!B52,0)</f>
        <v>22</v>
      </c>
      <c r="E28" s="27" t="n">
        <f aca="false">IF(ISNUMBER(kinematics!J52),kinematics!J52,0)</f>
        <v>19.0625791723571</v>
      </c>
      <c r="I28" s="27" t="n">
        <f aca="false">C28</f>
        <v>44.159</v>
      </c>
      <c r="J28" s="205" t="n">
        <f aca="false">IF(ISNUMBER(kinematics!D52),kinematics!F52,0)</f>
        <v>414.519074413223</v>
      </c>
      <c r="K28" s="27" t="n">
        <f aca="false">IF(ISNUMBER(kinematics!L52),kinematics!L52,0)</f>
        <v>200.680925586778</v>
      </c>
      <c r="M28" s="205" t="n">
        <f aca="false">IF(ISNUMBER(kinematics!D52),kinematics!B52,MAX($D$6:$D$186))</f>
        <v>22</v>
      </c>
      <c r="N28" s="205" t="n">
        <f aca="false">IF(ISNUMBER(kinematics!D52),kinematics!F52,0)</f>
        <v>414.519074413223</v>
      </c>
      <c r="O28" s="205" t="n">
        <f aca="false">IF(ISNUMBER(kinematics!J52),kinematics!J52,0)</f>
        <v>19.0625791723571</v>
      </c>
      <c r="P28" s="27" t="n">
        <f aca="false">IF(ISNUMBER(kinematics!L52),kinematics!L52,0)</f>
        <v>200.680925586778</v>
      </c>
      <c r="R28" s="27" t="n">
        <f aca="false">O28</f>
        <v>19.0625791723571</v>
      </c>
      <c r="S28" s="27" t="n">
        <f aca="false">P28</f>
        <v>200.680925586778</v>
      </c>
    </row>
    <row r="29" customFormat="false" ht="12.75" hidden="false" customHeight="false" outlineLevel="0" collapsed="false">
      <c r="C29" s="27" t="n">
        <f aca="false">IF(ISNUMBER(kinematics!D53),kinematics!D53,MAX(kinematics!$D$30:$D$210))</f>
        <v>46.166</v>
      </c>
      <c r="D29" s="205" t="n">
        <f aca="false">IF(ISNUMBER(kinematics!D53),kinematics!B53,0)</f>
        <v>23</v>
      </c>
      <c r="E29" s="27" t="n">
        <f aca="false">IF(ISNUMBER(kinematics!J53),kinematics!J53,0)</f>
        <v>19.4651806908228</v>
      </c>
      <c r="I29" s="27" t="n">
        <f aca="false">C29</f>
        <v>46.166</v>
      </c>
      <c r="J29" s="205" t="n">
        <f aca="false">IF(ISNUMBER(kinematics!D53),kinematics!F53,0)</f>
        <v>408.524918161529</v>
      </c>
      <c r="K29" s="27" t="n">
        <f aca="false">IF(ISNUMBER(kinematics!L53),kinematics!L53,0)</f>
        <v>206.675081838471</v>
      </c>
      <c r="M29" s="205" t="n">
        <f aca="false">IF(ISNUMBER(kinematics!D53),kinematics!B53,MAX($D$6:$D$186))</f>
        <v>23</v>
      </c>
      <c r="N29" s="205" t="n">
        <f aca="false">IF(ISNUMBER(kinematics!D53),kinematics!F53,0)</f>
        <v>408.524918161529</v>
      </c>
      <c r="O29" s="205" t="n">
        <f aca="false">IF(ISNUMBER(kinematics!J53),kinematics!J53,0)</f>
        <v>19.4651806908228</v>
      </c>
      <c r="P29" s="27" t="n">
        <f aca="false">IF(ISNUMBER(kinematics!L53),kinematics!L53,0)</f>
        <v>206.675081838471</v>
      </c>
      <c r="R29" s="27" t="n">
        <f aca="false">O29</f>
        <v>19.4651806908228</v>
      </c>
      <c r="S29" s="27" t="n">
        <f aca="false">P29</f>
        <v>206.675081838471</v>
      </c>
    </row>
    <row r="30" customFormat="false" ht="12.75" hidden="false" customHeight="false" outlineLevel="0" collapsed="false">
      <c r="C30" s="27" t="n">
        <f aca="false">IF(ISNUMBER(kinematics!D54),kinematics!D54,MAX(kinematics!$D$30:$D$210))</f>
        <v>48.173</v>
      </c>
      <c r="D30" s="205" t="n">
        <f aca="false">IF(ISNUMBER(kinematics!D54),kinematics!B54,0)</f>
        <v>24</v>
      </c>
      <c r="E30" s="27" t="n">
        <f aca="false">IF(ISNUMBER(kinematics!J54),kinematics!J54,0)</f>
        <v>19.8269080061442</v>
      </c>
      <c r="I30" s="27" t="n">
        <f aca="false">C30</f>
        <v>48.173</v>
      </c>
      <c r="J30" s="205" t="n">
        <f aca="false">IF(ISNUMBER(kinematics!D54),kinematics!F54,0)</f>
        <v>402.325917452765</v>
      </c>
      <c r="K30" s="27" t="n">
        <f aca="false">IF(ISNUMBER(kinematics!L54),kinematics!L54,0)</f>
        <v>212.874082547236</v>
      </c>
      <c r="M30" s="205" t="n">
        <f aca="false">IF(ISNUMBER(kinematics!D54),kinematics!B54,MAX($D$6:$D$186))</f>
        <v>24</v>
      </c>
      <c r="N30" s="205" t="n">
        <f aca="false">IF(ISNUMBER(kinematics!D54),kinematics!F54,0)</f>
        <v>402.325917452765</v>
      </c>
      <c r="O30" s="205" t="n">
        <f aca="false">IF(ISNUMBER(kinematics!J54),kinematics!J54,0)</f>
        <v>19.8269080061442</v>
      </c>
      <c r="P30" s="27" t="n">
        <f aca="false">IF(ISNUMBER(kinematics!L54),kinematics!L54,0)</f>
        <v>212.874082547236</v>
      </c>
      <c r="R30" s="27" t="n">
        <f aca="false">O30</f>
        <v>19.8269080061442</v>
      </c>
      <c r="S30" s="27" t="n">
        <f aca="false">P30</f>
        <v>212.874082547236</v>
      </c>
    </row>
    <row r="31" customFormat="false" ht="12.75" hidden="false" customHeight="false" outlineLevel="0" collapsed="false">
      <c r="C31" s="27" t="n">
        <f aca="false">IF(ISNUMBER(kinematics!D55),kinematics!D55,MAX(kinematics!$D$30:$D$210))</f>
        <v>50.179</v>
      </c>
      <c r="D31" s="205" t="n">
        <f aca="false">IF(ISNUMBER(kinematics!D55),kinematics!B55,0)</f>
        <v>25</v>
      </c>
      <c r="E31" s="27" t="n">
        <f aca="false">IF(ISNUMBER(kinematics!J55),kinematics!J55,0)</f>
        <v>20.1488384244919</v>
      </c>
      <c r="I31" s="27" t="n">
        <f aca="false">C31</f>
        <v>50.179</v>
      </c>
      <c r="J31" s="205" t="n">
        <f aca="false">IF(ISNUMBER(kinematics!D55),kinematics!F55,0)</f>
        <v>395.929693836628</v>
      </c>
      <c r="K31" s="27" t="n">
        <f aca="false">IF(ISNUMBER(kinematics!L55),kinematics!L55,0)</f>
        <v>219.270306163372</v>
      </c>
      <c r="M31" s="205" t="n">
        <f aca="false">IF(ISNUMBER(kinematics!D55),kinematics!B55,MAX($D$6:$D$186))</f>
        <v>25</v>
      </c>
      <c r="N31" s="205" t="n">
        <f aca="false">IF(ISNUMBER(kinematics!D55),kinematics!F55,0)</f>
        <v>395.929693836628</v>
      </c>
      <c r="O31" s="205" t="n">
        <f aca="false">IF(ISNUMBER(kinematics!J55),kinematics!J55,0)</f>
        <v>20.1488384244919</v>
      </c>
      <c r="P31" s="27" t="n">
        <f aca="false">IF(ISNUMBER(kinematics!L55),kinematics!L55,0)</f>
        <v>219.270306163372</v>
      </c>
      <c r="R31" s="27" t="n">
        <f aca="false">O31</f>
        <v>20.1488384244919</v>
      </c>
      <c r="S31" s="27" t="n">
        <f aca="false">P31</f>
        <v>219.270306163372</v>
      </c>
    </row>
    <row r="32" customFormat="false" ht="12.75" hidden="false" customHeight="false" outlineLevel="0" collapsed="false">
      <c r="C32" s="27" t="n">
        <f aca="false">IF(ISNUMBER(kinematics!D56),kinematics!D56,MAX(kinematics!$D$30:$D$210))</f>
        <v>52.186</v>
      </c>
      <c r="D32" s="205" t="n">
        <f aca="false">IF(ISNUMBER(kinematics!D56),kinematics!B56,0)</f>
        <v>26</v>
      </c>
      <c r="E32" s="27" t="n">
        <f aca="false">IF(ISNUMBER(kinematics!J56),kinematics!J56,0)</f>
        <v>20.4321106805731</v>
      </c>
      <c r="I32" s="27" t="n">
        <f aca="false">C32</f>
        <v>52.186</v>
      </c>
      <c r="J32" s="205" t="n">
        <f aca="false">IF(ISNUMBER(kinematics!D56),kinematics!F56,0)</f>
        <v>389.3441086111</v>
      </c>
      <c r="K32" s="27" t="n">
        <f aca="false">IF(ISNUMBER(kinematics!L56),kinematics!L56,0)</f>
        <v>225.8558913889</v>
      </c>
      <c r="M32" s="205" t="n">
        <f aca="false">IF(ISNUMBER(kinematics!D56),kinematics!B56,MAX($D$6:$D$186))</f>
        <v>26</v>
      </c>
      <c r="N32" s="205" t="n">
        <f aca="false">IF(ISNUMBER(kinematics!D56),kinematics!F56,0)</f>
        <v>389.3441086111</v>
      </c>
      <c r="O32" s="205" t="n">
        <f aca="false">IF(ISNUMBER(kinematics!J56),kinematics!J56,0)</f>
        <v>20.4321106805731</v>
      </c>
      <c r="P32" s="27" t="n">
        <f aca="false">IF(ISNUMBER(kinematics!L56),kinematics!L56,0)</f>
        <v>225.8558913889</v>
      </c>
      <c r="R32" s="27" t="n">
        <f aca="false">O32</f>
        <v>20.4321106805731</v>
      </c>
      <c r="S32" s="27" t="n">
        <f aca="false">P32</f>
        <v>225.8558913889</v>
      </c>
    </row>
    <row r="33" customFormat="false" ht="12.75" hidden="false" customHeight="false" outlineLevel="0" collapsed="false">
      <c r="C33" s="27" t="n">
        <f aca="false">IF(ISNUMBER(kinematics!D57),kinematics!D57,MAX(kinematics!$D$30:$D$210))</f>
        <v>54.192</v>
      </c>
      <c r="D33" s="205" t="n">
        <f aca="false">IF(ISNUMBER(kinematics!D57),kinematics!B57,0)</f>
        <v>27</v>
      </c>
      <c r="E33" s="27" t="n">
        <f aca="false">IF(ISNUMBER(kinematics!J57),kinematics!J57,0)</f>
        <v>20.6779082830892</v>
      </c>
      <c r="I33" s="27" t="n">
        <f aca="false">C33</f>
        <v>54.192</v>
      </c>
      <c r="J33" s="205" t="n">
        <f aca="false">IF(ISNUMBER(kinematics!D57),kinematics!F57,0)</f>
        <v>382.577252908912</v>
      </c>
      <c r="K33" s="27" t="n">
        <f aca="false">IF(ISNUMBER(kinematics!L57),kinematics!L57,0)</f>
        <v>232.622747091088</v>
      </c>
      <c r="M33" s="205" t="n">
        <f aca="false">IF(ISNUMBER(kinematics!D57),kinematics!B57,MAX($D$6:$D$186))</f>
        <v>27</v>
      </c>
      <c r="N33" s="205" t="n">
        <f aca="false">IF(ISNUMBER(kinematics!D57),kinematics!F57,0)</f>
        <v>382.577252908912</v>
      </c>
      <c r="O33" s="205" t="n">
        <f aca="false">IF(ISNUMBER(kinematics!J57),kinematics!J57,0)</f>
        <v>20.6779082830892</v>
      </c>
      <c r="P33" s="27" t="n">
        <f aca="false">IF(ISNUMBER(kinematics!L57),kinematics!L57,0)</f>
        <v>232.622747091088</v>
      </c>
      <c r="R33" s="27" t="n">
        <f aca="false">O33</f>
        <v>20.6779082830892</v>
      </c>
      <c r="S33" s="27" t="n">
        <f aca="false">P33</f>
        <v>232.622747091088</v>
      </c>
    </row>
    <row r="34" customFormat="false" ht="12.75" hidden="false" customHeight="false" outlineLevel="0" collapsed="false">
      <c r="C34" s="27" t="n">
        <f aca="false">IF(ISNUMBER(kinematics!D58),kinematics!D58,MAX(kinematics!$D$30:$D$210))</f>
        <v>56.199</v>
      </c>
      <c r="D34" s="205" t="n">
        <f aca="false">IF(ISNUMBER(kinematics!D58),kinematics!B58,0)</f>
        <v>28</v>
      </c>
      <c r="E34" s="27" t="n">
        <f aca="false">IF(ISNUMBER(kinematics!J58),kinematics!J58,0)</f>
        <v>20.8874449325119</v>
      </c>
      <c r="I34" s="27" t="n">
        <f aca="false">C34</f>
        <v>56.199</v>
      </c>
      <c r="J34" s="205" t="n">
        <f aca="false">IF(ISNUMBER(kinematics!D58),kinematics!F58,0)</f>
        <v>375.637437508345</v>
      </c>
      <c r="K34" s="27" t="n">
        <f aca="false">IF(ISNUMBER(kinematics!L58),kinematics!L58,0)</f>
        <v>239.562562491656</v>
      </c>
      <c r="M34" s="205" t="n">
        <f aca="false">IF(ISNUMBER(kinematics!D58),kinematics!B58,MAX($D$6:$D$186))</f>
        <v>28</v>
      </c>
      <c r="N34" s="205" t="n">
        <f aca="false">IF(ISNUMBER(kinematics!D58),kinematics!F58,0)</f>
        <v>375.637437508345</v>
      </c>
      <c r="O34" s="205" t="n">
        <f aca="false">IF(ISNUMBER(kinematics!J58),kinematics!J58,0)</f>
        <v>20.8874449325119</v>
      </c>
      <c r="P34" s="27" t="n">
        <f aca="false">IF(ISNUMBER(kinematics!L58),kinematics!L58,0)</f>
        <v>239.562562491656</v>
      </c>
      <c r="R34" s="27" t="n">
        <f aca="false">O34</f>
        <v>20.8874449325119</v>
      </c>
      <c r="S34" s="27" t="n">
        <f aca="false">P34</f>
        <v>239.562562491656</v>
      </c>
    </row>
    <row r="35" customFormat="false" ht="12.75" hidden="false" customHeight="false" outlineLevel="0" collapsed="false">
      <c r="C35" s="27" t="n">
        <f aca="false">IF(ISNUMBER(kinematics!D59),kinematics!D59,MAX(kinematics!$D$30:$D$210))</f>
        <v>58.205</v>
      </c>
      <c r="D35" s="205" t="n">
        <f aca="false">IF(ISNUMBER(kinematics!D59),kinematics!B59,0)</f>
        <v>29</v>
      </c>
      <c r="E35" s="27" t="n">
        <f aca="false">IF(ISNUMBER(kinematics!J59),kinematics!J59,0)</f>
        <v>21.0619518911057</v>
      </c>
      <c r="I35" s="27" t="n">
        <f aca="false">C35</f>
        <v>58.205</v>
      </c>
      <c r="J35" s="205" t="n">
        <f aca="false">IF(ISNUMBER(kinematics!D59),kinematics!F59,0)</f>
        <v>368.533182382379</v>
      </c>
      <c r="K35" s="27" t="n">
        <f aca="false">IF(ISNUMBER(kinematics!L59),kinematics!L59,0)</f>
        <v>246.666817617621</v>
      </c>
      <c r="M35" s="205" t="n">
        <f aca="false">IF(ISNUMBER(kinematics!D59),kinematics!B59,MAX($D$6:$D$186))</f>
        <v>29</v>
      </c>
      <c r="N35" s="205" t="n">
        <f aca="false">IF(ISNUMBER(kinematics!D59),kinematics!F59,0)</f>
        <v>368.533182382379</v>
      </c>
      <c r="O35" s="205" t="n">
        <f aca="false">IF(ISNUMBER(kinematics!J59),kinematics!J59,0)</f>
        <v>21.0619518911057</v>
      </c>
      <c r="P35" s="27" t="n">
        <f aca="false">IF(ISNUMBER(kinematics!L59),kinematics!L59,0)</f>
        <v>246.666817617621</v>
      </c>
      <c r="R35" s="27" t="n">
        <f aca="false">O35</f>
        <v>21.0619518911057</v>
      </c>
      <c r="S35" s="27" t="n">
        <f aca="false">P35</f>
        <v>246.666817617621</v>
      </c>
    </row>
    <row r="36" customFormat="false" ht="12.75" hidden="false" customHeight="false" outlineLevel="0" collapsed="false">
      <c r="C36" s="27" t="n">
        <f aca="false">IF(ISNUMBER(kinematics!D60),kinematics!D60,MAX(kinematics!$D$30:$D$210))</f>
        <v>60.212</v>
      </c>
      <c r="D36" s="205" t="n">
        <f aca="false">IF(ISNUMBER(kinematics!D60),kinematics!B60,0)</f>
        <v>30</v>
      </c>
      <c r="E36" s="27" t="n">
        <f aca="false">IF(ISNUMBER(kinematics!J60),kinematics!J60,0)</f>
        <v>21.2026671624743</v>
      </c>
      <c r="I36" s="27" t="n">
        <f aca="false">C36</f>
        <v>60.212</v>
      </c>
      <c r="J36" s="205" t="n">
        <f aca="false">IF(ISNUMBER(kinematics!D60),kinematics!F60,0)</f>
        <v>361.273206000469</v>
      </c>
      <c r="K36" s="27" t="n">
        <f aca="false">IF(ISNUMBER(kinematics!L60),kinematics!L60,0)</f>
        <v>253.926793999531</v>
      </c>
      <c r="M36" s="205" t="n">
        <f aca="false">IF(ISNUMBER(kinematics!D60),kinematics!B60,MAX($D$6:$D$186))</f>
        <v>30</v>
      </c>
      <c r="N36" s="205" t="n">
        <f aca="false">IF(ISNUMBER(kinematics!D60),kinematics!F60,0)</f>
        <v>361.273206000469</v>
      </c>
      <c r="O36" s="205" t="n">
        <f aca="false">IF(ISNUMBER(kinematics!J60),kinematics!J60,0)</f>
        <v>21.2026671624743</v>
      </c>
      <c r="P36" s="27" t="n">
        <f aca="false">IF(ISNUMBER(kinematics!L60),kinematics!L60,0)</f>
        <v>253.926793999531</v>
      </c>
      <c r="R36" s="27" t="n">
        <f aca="false">O36</f>
        <v>21.2026671624743</v>
      </c>
      <c r="S36" s="27" t="n">
        <f aca="false">P36</f>
        <v>253.926793999531</v>
      </c>
    </row>
    <row r="37" customFormat="false" ht="12.75" hidden="false" customHeight="false" outlineLevel="0" collapsed="false">
      <c r="C37" s="27" t="n">
        <f aca="false">IF(ISNUMBER(kinematics!D61),kinematics!D61,MAX(kinematics!$D$30:$D$210))</f>
        <v>62.218</v>
      </c>
      <c r="D37" s="205" t="n">
        <f aca="false">IF(ISNUMBER(kinematics!D61),kinematics!B61,0)</f>
        <v>31</v>
      </c>
      <c r="E37" s="27" t="n">
        <f aca="false">IF(ISNUMBER(kinematics!J61),kinematics!J61,0)</f>
        <v>21.3108263252976</v>
      </c>
      <c r="I37" s="27" t="n">
        <f aca="false">C37</f>
        <v>62.218</v>
      </c>
      <c r="J37" s="205" t="n">
        <f aca="false">IF(ISNUMBER(kinematics!D61),kinematics!F61,0)</f>
        <v>353.866414397457</v>
      </c>
      <c r="K37" s="27" t="n">
        <f aca="false">IF(ISNUMBER(kinematics!L61),kinematics!L61,0)</f>
        <v>261.333585602543</v>
      </c>
      <c r="M37" s="205" t="n">
        <f aca="false">IF(ISNUMBER(kinematics!D61),kinematics!B61,MAX($D$6:$D$186))</f>
        <v>31</v>
      </c>
      <c r="N37" s="205" t="n">
        <f aca="false">IF(ISNUMBER(kinematics!D61),kinematics!F61,0)</f>
        <v>353.866414397457</v>
      </c>
      <c r="O37" s="205" t="n">
        <f aca="false">IF(ISNUMBER(kinematics!J61),kinematics!J61,0)</f>
        <v>21.3108263252976</v>
      </c>
      <c r="P37" s="27" t="n">
        <f aca="false">IF(ISNUMBER(kinematics!L61),kinematics!L61,0)</f>
        <v>261.333585602543</v>
      </c>
      <c r="R37" s="27" t="n">
        <f aca="false">O37</f>
        <v>21.3108263252976</v>
      </c>
      <c r="S37" s="27" t="n">
        <f aca="false">P37</f>
        <v>261.333585602543</v>
      </c>
    </row>
    <row r="38" customFormat="false" ht="12.75" hidden="false" customHeight="false" outlineLevel="0" collapsed="false">
      <c r="C38" s="27" t="n">
        <f aca="false">IF(ISNUMBER(kinematics!D62),kinematics!D62,MAX(kinematics!$D$30:$D$210))</f>
        <v>64.224</v>
      </c>
      <c r="D38" s="205" t="n">
        <f aca="false">IF(ISNUMBER(kinematics!D62),kinematics!B62,0)</f>
        <v>32</v>
      </c>
      <c r="E38" s="27" t="n">
        <f aca="false">IF(ISNUMBER(kinematics!J62),kinematics!J62,0)</f>
        <v>21.3876548611814</v>
      </c>
      <c r="I38" s="27" t="n">
        <f aca="false">C38</f>
        <v>64.224</v>
      </c>
      <c r="J38" s="205" t="n">
        <f aca="false">IF(ISNUMBER(kinematics!D62),kinematics!F62,0)</f>
        <v>346.321890024663</v>
      </c>
      <c r="K38" s="27" t="n">
        <f aca="false">IF(ISNUMBER(kinematics!L62),kinematics!L62,0)</f>
        <v>268.878109975337</v>
      </c>
      <c r="M38" s="205" t="n">
        <f aca="false">IF(ISNUMBER(kinematics!D62),kinematics!B62,MAX($D$6:$D$186))</f>
        <v>32</v>
      </c>
      <c r="N38" s="205" t="n">
        <f aca="false">IF(ISNUMBER(kinematics!D62),kinematics!F62,0)</f>
        <v>346.321890024663</v>
      </c>
      <c r="O38" s="205" t="n">
        <f aca="false">IF(ISNUMBER(kinematics!J62),kinematics!J62,0)</f>
        <v>21.3876548611814</v>
      </c>
      <c r="P38" s="27" t="n">
        <f aca="false">IF(ISNUMBER(kinematics!L62),kinematics!L62,0)</f>
        <v>268.878109975337</v>
      </c>
      <c r="R38" s="27" t="n">
        <f aca="false">O38</f>
        <v>21.3876548611814</v>
      </c>
      <c r="S38" s="27" t="n">
        <f aca="false">P38</f>
        <v>268.878109975337</v>
      </c>
    </row>
    <row r="39" customFormat="false" ht="12.75" hidden="false" customHeight="false" outlineLevel="0" collapsed="false">
      <c r="C39" s="27" t="n">
        <f aca="false">IF(ISNUMBER(kinematics!D63),kinematics!D63,MAX(kinematics!$D$30:$D$210))</f>
        <v>66.23</v>
      </c>
      <c r="D39" s="205" t="n">
        <f aca="false">IF(ISNUMBER(kinematics!D63),kinematics!B63,0)</f>
        <v>33</v>
      </c>
      <c r="E39" s="27" t="n">
        <f aca="false">IF(ISNUMBER(kinematics!J63),kinematics!J63,0)</f>
        <v>21.4343618176682</v>
      </c>
      <c r="I39" s="27" t="n">
        <f aca="false">C39</f>
        <v>66.23</v>
      </c>
      <c r="J39" s="205" t="n">
        <f aca="false">IF(ISNUMBER(kinematics!D63),kinematics!F63,0)</f>
        <v>338.648880397886</v>
      </c>
      <c r="K39" s="27" t="n">
        <f aca="false">IF(ISNUMBER(kinematics!L63),kinematics!L63,0)</f>
        <v>276.551119602114</v>
      </c>
      <c r="M39" s="205" t="n">
        <f aca="false">IF(ISNUMBER(kinematics!D63),kinematics!B63,MAX($D$6:$D$186))</f>
        <v>33</v>
      </c>
      <c r="N39" s="205" t="n">
        <f aca="false">IF(ISNUMBER(kinematics!D63),kinematics!F63,0)</f>
        <v>338.648880397886</v>
      </c>
      <c r="O39" s="205" t="n">
        <f aca="false">IF(ISNUMBER(kinematics!J63),kinematics!J63,0)</f>
        <v>21.4343618176682</v>
      </c>
      <c r="P39" s="27" t="n">
        <f aca="false">IF(ISNUMBER(kinematics!L63),kinematics!L63,0)</f>
        <v>276.551119602114</v>
      </c>
      <c r="R39" s="27" t="n">
        <f aca="false">O39</f>
        <v>21.4343618176682</v>
      </c>
      <c r="S39" s="27" t="n">
        <f aca="false">P39</f>
        <v>276.551119602114</v>
      </c>
    </row>
    <row r="40" customFormat="false" ht="12.75" hidden="false" customHeight="false" outlineLevel="0" collapsed="false">
      <c r="C40" s="27" t="n">
        <f aca="false">IF(ISNUMBER(kinematics!D64),kinematics!D64,MAX(kinematics!$D$30:$D$210))</f>
        <v>68.236</v>
      </c>
      <c r="D40" s="205" t="n">
        <f aca="false">IF(ISNUMBER(kinematics!D64),kinematics!B64,0)</f>
        <v>34</v>
      </c>
      <c r="E40" s="27" t="n">
        <f aca="false">IF(ISNUMBER(kinematics!J64),kinematics!J64,0)</f>
        <v>21.4521346529384</v>
      </c>
      <c r="I40" s="27" t="n">
        <f aca="false">C40</f>
        <v>68.236</v>
      </c>
      <c r="J40" s="205" t="n">
        <f aca="false">IF(ISNUMBER(kinematics!D64),kinematics!F64,0)</f>
        <v>330.856786557677</v>
      </c>
      <c r="K40" s="27" t="n">
        <f aca="false">IF(ISNUMBER(kinematics!L64),kinematics!L64,0)</f>
        <v>284.343213442324</v>
      </c>
      <c r="M40" s="205" t="n">
        <f aca="false">IF(ISNUMBER(kinematics!D64),kinematics!B64,MAX($D$6:$D$186))</f>
        <v>34</v>
      </c>
      <c r="N40" s="205" t="n">
        <f aca="false">IF(ISNUMBER(kinematics!D64),kinematics!F64,0)</f>
        <v>330.856786557677</v>
      </c>
      <c r="O40" s="205" t="n">
        <f aca="false">IF(ISNUMBER(kinematics!J64),kinematics!J64,0)</f>
        <v>21.4521346529384</v>
      </c>
      <c r="P40" s="27" t="n">
        <f aca="false">IF(ISNUMBER(kinematics!L64),kinematics!L64,0)</f>
        <v>284.343213442324</v>
      </c>
      <c r="R40" s="27" t="n">
        <f aca="false">O40</f>
        <v>21.4521346529384</v>
      </c>
      <c r="S40" s="27" t="n">
        <f aca="false">P40</f>
        <v>284.343213442324</v>
      </c>
    </row>
    <row r="41" customFormat="false" ht="12.75" hidden="false" customHeight="false" outlineLevel="0" collapsed="false">
      <c r="C41" s="27" t="n">
        <f aca="false">IF(ISNUMBER(kinematics!D65),kinematics!D65,MAX(kinematics!$D$30:$D$210))</f>
        <v>70.242</v>
      </c>
      <c r="D41" s="205" t="n">
        <f aca="false">IF(ISNUMBER(kinematics!D65),kinematics!B65,0)</f>
        <v>35</v>
      </c>
      <c r="E41" s="27" t="n">
        <f aca="false">IF(ISNUMBER(kinematics!J65),kinematics!J65,0)</f>
        <v>21.4421351171209</v>
      </c>
      <c r="I41" s="27" t="n">
        <f aca="false">C41</f>
        <v>70.242</v>
      </c>
      <c r="J41" s="205" t="n">
        <f aca="false">IF(ISNUMBER(kinematics!D65),kinematics!F65,0)</f>
        <v>322.955151357261</v>
      </c>
      <c r="K41" s="27" t="n">
        <f aca="false">IF(ISNUMBER(kinematics!L65),kinematics!L65,0)</f>
        <v>292.244848642739</v>
      </c>
      <c r="M41" s="205" t="n">
        <f aca="false">IF(ISNUMBER(kinematics!D65),kinematics!B65,MAX($D$6:$D$186))</f>
        <v>35</v>
      </c>
      <c r="N41" s="205" t="n">
        <f aca="false">IF(ISNUMBER(kinematics!D65),kinematics!F65,0)</f>
        <v>322.955151357261</v>
      </c>
      <c r="O41" s="205" t="n">
        <f aca="false">IF(ISNUMBER(kinematics!J65),kinematics!J65,0)</f>
        <v>21.4421351171209</v>
      </c>
      <c r="P41" s="27" t="n">
        <f aca="false">IF(ISNUMBER(kinematics!L65),kinematics!L65,0)</f>
        <v>292.244848642739</v>
      </c>
      <c r="R41" s="27" t="n">
        <f aca="false">O41</f>
        <v>21.4421351171209</v>
      </c>
      <c r="S41" s="27" t="n">
        <f aca="false">P41</f>
        <v>292.244848642739</v>
      </c>
    </row>
    <row r="42" customFormat="false" ht="12.75" hidden="false" customHeight="false" outlineLevel="0" collapsed="false">
      <c r="C42" s="27" t="n">
        <f aca="false">IF(ISNUMBER(kinematics!D66),kinematics!D66,MAX(kinematics!$D$30:$D$210))</f>
        <v>72.248</v>
      </c>
      <c r="D42" s="205" t="n">
        <f aca="false">IF(ISNUMBER(kinematics!D66),kinematics!B66,0)</f>
        <v>36</v>
      </c>
      <c r="E42" s="27" t="n">
        <f aca="false">IF(ISNUMBER(kinematics!J66),kinematics!J66,0)</f>
        <v>21.4054960353773</v>
      </c>
      <c r="I42" s="27" t="n">
        <f aca="false">C42</f>
        <v>72.248</v>
      </c>
      <c r="J42" s="205" t="n">
        <f aca="false">IF(ISNUMBER(kinematics!D66),kinematics!F66,0)</f>
        <v>314.953647593471</v>
      </c>
      <c r="K42" s="27" t="n">
        <f aca="false">IF(ISNUMBER(kinematics!L66),kinematics!L66,0)</f>
        <v>300.246352406529</v>
      </c>
      <c r="M42" s="205" t="n">
        <f aca="false">IF(ISNUMBER(kinematics!D66),kinematics!B66,MAX($D$6:$D$186))</f>
        <v>36</v>
      </c>
      <c r="N42" s="205" t="n">
        <f aca="false">IF(ISNUMBER(kinematics!D66),kinematics!F66,0)</f>
        <v>314.953647593471</v>
      </c>
      <c r="O42" s="205" t="n">
        <f aca="false">IF(ISNUMBER(kinematics!J66),kinematics!J66,0)</f>
        <v>21.4054960353773</v>
      </c>
      <c r="P42" s="27" t="n">
        <f aca="false">IF(ISNUMBER(kinematics!L66),kinematics!L66,0)</f>
        <v>300.246352406529</v>
      </c>
      <c r="R42" s="27" t="n">
        <f aca="false">O42</f>
        <v>21.4054960353773</v>
      </c>
      <c r="S42" s="27" t="n">
        <f aca="false">P42</f>
        <v>300.246352406529</v>
      </c>
    </row>
    <row r="43" customFormat="false" ht="12.75" hidden="false" customHeight="false" outlineLevel="0" collapsed="false">
      <c r="C43" s="27" t="n">
        <f aca="false">IF(ISNUMBER(kinematics!D67),kinematics!D67,MAX(kinematics!$D$30:$D$210))</f>
        <v>74.254</v>
      </c>
      <c r="D43" s="205" t="n">
        <f aca="false">IF(ISNUMBER(kinematics!D67),kinematics!B67,0)</f>
        <v>37</v>
      </c>
      <c r="E43" s="27" t="n">
        <f aca="false">IF(ISNUMBER(kinematics!J67),kinematics!J67,0)</f>
        <v>21.3433188692288</v>
      </c>
      <c r="I43" s="27" t="n">
        <f aca="false">C43</f>
        <v>74.254</v>
      </c>
      <c r="J43" s="205" t="n">
        <f aca="false">IF(ISNUMBER(kinematics!D67),kinematics!F67,0)</f>
        <v>306.862065996491</v>
      </c>
      <c r="K43" s="27" t="n">
        <f aca="false">IF(ISNUMBER(kinematics!L67),kinematics!L67,0)</f>
        <v>308.337934003509</v>
      </c>
      <c r="M43" s="205" t="n">
        <f aca="false">IF(ISNUMBER(kinematics!D67),kinematics!B67,MAX($D$6:$D$186))</f>
        <v>37</v>
      </c>
      <c r="N43" s="205" t="n">
        <f aca="false">IF(ISNUMBER(kinematics!D67),kinematics!F67,0)</f>
        <v>306.862065996491</v>
      </c>
      <c r="O43" s="205" t="n">
        <f aca="false">IF(ISNUMBER(kinematics!J67),kinematics!J67,0)</f>
        <v>21.3433188692288</v>
      </c>
      <c r="P43" s="27" t="n">
        <f aca="false">IF(ISNUMBER(kinematics!L67),kinematics!L67,0)</f>
        <v>308.337934003509</v>
      </c>
      <c r="R43" s="27" t="n">
        <f aca="false">O43</f>
        <v>21.3433188692288</v>
      </c>
      <c r="S43" s="27" t="n">
        <f aca="false">P43</f>
        <v>308.337934003509</v>
      </c>
    </row>
    <row r="44" customFormat="false" ht="12.75" hidden="false" customHeight="false" outlineLevel="0" collapsed="false">
      <c r="C44" s="27" t="n">
        <f aca="false">IF(ISNUMBER(kinematics!D68),kinematics!D68,MAX(kinematics!$D$30:$D$210))</f>
        <v>76.26</v>
      </c>
      <c r="D44" s="205" t="n">
        <f aca="false">IF(ISNUMBER(kinematics!D68),kinematics!B68,0)</f>
        <v>38</v>
      </c>
      <c r="E44" s="27" t="n">
        <f aca="false">IF(ISNUMBER(kinematics!J68),kinematics!J68,0)</f>
        <v>21.2566719442202</v>
      </c>
      <c r="I44" s="27" t="n">
        <f aca="false">C44</f>
        <v>76.26</v>
      </c>
      <c r="J44" s="205" t="n">
        <f aca="false">IF(ISNUMBER(kinematics!D68),kinematics!F68,0)</f>
        <v>298.690303093762</v>
      </c>
      <c r="K44" s="27" t="n">
        <f aca="false">IF(ISNUMBER(kinematics!L68),kinematics!L68,0)</f>
        <v>316.509696906238</v>
      </c>
      <c r="M44" s="205" t="n">
        <f aca="false">IF(ISNUMBER(kinematics!D68),kinematics!B68,MAX($D$6:$D$186))</f>
        <v>38</v>
      </c>
      <c r="N44" s="205" t="n">
        <f aca="false">IF(ISNUMBER(kinematics!D68),kinematics!F68,0)</f>
        <v>298.690303093762</v>
      </c>
      <c r="O44" s="205" t="n">
        <f aca="false">IF(ISNUMBER(kinematics!J68),kinematics!J68,0)</f>
        <v>21.2566719442202</v>
      </c>
      <c r="P44" s="27" t="n">
        <f aca="false">IF(ISNUMBER(kinematics!L68),kinematics!L68,0)</f>
        <v>316.509696906238</v>
      </c>
      <c r="R44" s="27" t="n">
        <f aca="false">O44</f>
        <v>21.2566719442202</v>
      </c>
      <c r="S44" s="27" t="n">
        <f aca="false">P44</f>
        <v>316.509696906238</v>
      </c>
    </row>
    <row r="45" customFormat="false" ht="12.75" hidden="false" customHeight="false" outlineLevel="0" collapsed="false">
      <c r="C45" s="27" t="n">
        <f aca="false">IF(ISNUMBER(kinematics!D69),kinematics!D69,MAX(kinematics!$D$30:$D$210))</f>
        <v>78.266</v>
      </c>
      <c r="D45" s="205" t="n">
        <f aca="false">IF(ISNUMBER(kinematics!D69),kinematics!B69,0)</f>
        <v>39</v>
      </c>
      <c r="E45" s="27" t="n">
        <f aca="false">IF(ISNUMBER(kinematics!J69),kinematics!J69,0)</f>
        <v>21.1465892436526</v>
      </c>
      <c r="I45" s="27" t="n">
        <f aca="false">C45</f>
        <v>78.266</v>
      </c>
      <c r="J45" s="205" t="n">
        <f aca="false">IF(ISNUMBER(kinematics!D69),kinematics!F69,0)</f>
        <v>290.448348964306</v>
      </c>
      <c r="K45" s="27" t="n">
        <f aca="false">IF(ISNUMBER(kinematics!L69),kinematics!L69,0)</f>
        <v>324.751651035694</v>
      </c>
      <c r="M45" s="205" t="n">
        <f aca="false">IF(ISNUMBER(kinematics!D69),kinematics!B69,MAX($D$6:$D$186))</f>
        <v>39</v>
      </c>
      <c r="N45" s="205" t="n">
        <f aca="false">IF(ISNUMBER(kinematics!D69),kinematics!F69,0)</f>
        <v>290.448348964306</v>
      </c>
      <c r="O45" s="205" t="n">
        <f aca="false">IF(ISNUMBER(kinematics!J69),kinematics!J69,0)</f>
        <v>21.1465892436526</v>
      </c>
      <c r="P45" s="27" t="n">
        <f aca="false">IF(ISNUMBER(kinematics!L69),kinematics!L69,0)</f>
        <v>324.751651035694</v>
      </c>
      <c r="R45" s="27" t="n">
        <f aca="false">O45</f>
        <v>21.1465892436526</v>
      </c>
      <c r="S45" s="27" t="n">
        <f aca="false">P45</f>
        <v>324.751651035694</v>
      </c>
    </row>
    <row r="46" customFormat="false" ht="12.75" hidden="false" customHeight="false" outlineLevel="0" collapsed="false">
      <c r="C46" s="27" t="n">
        <f aca="false">IF(ISNUMBER(kinematics!D70),kinematics!D70,MAX(kinematics!$D$30:$D$210))</f>
        <v>80.272</v>
      </c>
      <c r="D46" s="205" t="n">
        <f aca="false">IF(ISNUMBER(kinematics!D70),kinematics!B70,0)</f>
        <v>40</v>
      </c>
      <c r="E46" s="27" t="n">
        <f aca="false">IF(ISNUMBER(kinematics!J70),kinematics!J70,0)</f>
        <v>21.0140696791917</v>
      </c>
      <c r="I46" s="27" t="n">
        <f aca="false">C46</f>
        <v>80.272</v>
      </c>
      <c r="J46" s="205" t="n">
        <f aca="false">IF(ISNUMBER(kinematics!D70),kinematics!F70,0)</f>
        <v>282.14627489856</v>
      </c>
      <c r="K46" s="27" t="n">
        <f aca="false">IF(ISNUMBER(kinematics!L70),kinematics!L70,0)</f>
        <v>333.05372510144</v>
      </c>
      <c r="M46" s="205" t="n">
        <f aca="false">IF(ISNUMBER(kinematics!D70),kinematics!B70,MAX($D$6:$D$186))</f>
        <v>40</v>
      </c>
      <c r="N46" s="205" t="n">
        <f aca="false">IF(ISNUMBER(kinematics!D70),kinematics!F70,0)</f>
        <v>282.14627489856</v>
      </c>
      <c r="O46" s="205" t="n">
        <f aca="false">IF(ISNUMBER(kinematics!J70),kinematics!J70,0)</f>
        <v>21.0140696791917</v>
      </c>
      <c r="P46" s="27" t="n">
        <f aca="false">IF(ISNUMBER(kinematics!L70),kinematics!L70,0)</f>
        <v>333.05372510144</v>
      </c>
      <c r="R46" s="27" t="n">
        <f aca="false">O46</f>
        <v>21.0140696791917</v>
      </c>
      <c r="S46" s="27" t="n">
        <f aca="false">P46</f>
        <v>333.05372510144</v>
      </c>
    </row>
    <row r="47" customFormat="false" ht="12.75" hidden="false" customHeight="false" outlineLevel="0" collapsed="false">
      <c r="C47" s="27" t="n">
        <f aca="false">IF(ISNUMBER(kinematics!D71),kinematics!D71,MAX(kinematics!$D$30:$D$210))</f>
        <v>82.278</v>
      </c>
      <c r="D47" s="205" t="n">
        <f aca="false">IF(ISNUMBER(kinematics!D71),kinematics!B71,0)</f>
        <v>41</v>
      </c>
      <c r="E47" s="27" t="n">
        <f aca="false">IF(ISNUMBER(kinematics!J71),kinematics!J71,0)</f>
        <v>20.8600767597826</v>
      </c>
      <c r="I47" s="27" t="n">
        <f aca="false">C47</f>
        <v>82.278</v>
      </c>
      <c r="J47" s="205" t="n">
        <f aca="false">IF(ISNUMBER(kinematics!D71),kinematics!F71,0)</f>
        <v>273.794220980171</v>
      </c>
      <c r="K47" s="27" t="n">
        <f aca="false">IF(ISNUMBER(kinematics!L71),kinematics!L71,0)</f>
        <v>341.405779019829</v>
      </c>
      <c r="M47" s="205" t="n">
        <f aca="false">IF(ISNUMBER(kinematics!D71),kinematics!B71,MAX($D$6:$D$186))</f>
        <v>41</v>
      </c>
      <c r="N47" s="205" t="n">
        <f aca="false">IF(ISNUMBER(kinematics!D71),kinematics!F71,0)</f>
        <v>273.794220980171</v>
      </c>
      <c r="O47" s="205" t="n">
        <f aca="false">IF(ISNUMBER(kinematics!J71),kinematics!J71,0)</f>
        <v>20.8600767597826</v>
      </c>
      <c r="P47" s="27" t="n">
        <f aca="false">IF(ISNUMBER(kinematics!L71),kinematics!L71,0)</f>
        <v>341.405779019829</v>
      </c>
      <c r="R47" s="27" t="n">
        <f aca="false">O47</f>
        <v>20.8600767597826</v>
      </c>
      <c r="S47" s="27" t="n">
        <f aca="false">P47</f>
        <v>341.405779019829</v>
      </c>
    </row>
    <row r="48" customFormat="false" ht="12.75" hidden="false" customHeight="false" outlineLevel="0" collapsed="false">
      <c r="C48" s="27" t="n">
        <f aca="false">IF(ISNUMBER(kinematics!D72),kinematics!D72,MAX(kinematics!$D$30:$D$210))</f>
        <v>84.284</v>
      </c>
      <c r="D48" s="205" t="n">
        <f aca="false">IF(ISNUMBER(kinematics!D72),kinematics!B72,0)</f>
        <v>42</v>
      </c>
      <c r="E48" s="27" t="n">
        <f aca="false">IF(ISNUMBER(kinematics!J72),kinematics!J72,0)</f>
        <v>20.6855385899722</v>
      </c>
      <c r="I48" s="27" t="n">
        <f aca="false">C48</f>
        <v>84.284</v>
      </c>
      <c r="J48" s="205" t="n">
        <f aca="false">IF(ISNUMBER(kinematics!D72),kinematics!F72,0)</f>
        <v>265.402383605</v>
      </c>
      <c r="K48" s="27" t="n">
        <f aca="false">IF(ISNUMBER(kinematics!L72),kinematics!L72,0)</f>
        <v>349.797616395</v>
      </c>
      <c r="M48" s="205" t="n">
        <f aca="false">IF(ISNUMBER(kinematics!D72),kinematics!B72,MAX($D$6:$D$186))</f>
        <v>42</v>
      </c>
      <c r="N48" s="205" t="n">
        <f aca="false">IF(ISNUMBER(kinematics!D72),kinematics!F72,0)</f>
        <v>265.402383605</v>
      </c>
      <c r="O48" s="205" t="n">
        <f aca="false">IF(ISNUMBER(kinematics!J72),kinematics!J72,0)</f>
        <v>20.6855385899722</v>
      </c>
      <c r="P48" s="27" t="n">
        <f aca="false">IF(ISNUMBER(kinematics!L72),kinematics!L72,0)</f>
        <v>349.797616395</v>
      </c>
      <c r="R48" s="27" t="n">
        <f aca="false">O48</f>
        <v>20.6855385899722</v>
      </c>
      <c r="S48" s="27" t="n">
        <f aca="false">P48</f>
        <v>349.797616395</v>
      </c>
    </row>
    <row r="49" customFormat="false" ht="12.75" hidden="false" customHeight="false" outlineLevel="0" collapsed="false">
      <c r="C49" s="27" t="n">
        <f aca="false">IF(ISNUMBER(kinematics!D73),kinematics!D73,MAX(kinematics!$D$30:$D$210))</f>
        <v>86.29</v>
      </c>
      <c r="D49" s="205" t="n">
        <f aca="false">IF(ISNUMBER(kinematics!D73),kinematics!B73,0)</f>
        <v>43</v>
      </c>
      <c r="E49" s="27" t="n">
        <f aca="false">IF(ISNUMBER(kinematics!J73),kinematics!J73,0)</f>
        <v>20.4913481377073</v>
      </c>
      <c r="I49" s="27" t="n">
        <f aca="false">C49</f>
        <v>86.29</v>
      </c>
      <c r="J49" s="205" t="n">
        <f aca="false">IF(ISNUMBER(kinematics!D73),kinematics!F73,0)</f>
        <v>256.981002953326</v>
      </c>
      <c r="K49" s="27" t="n">
        <f aca="false">IF(ISNUMBER(kinematics!L73),kinematics!L73,0)</f>
        <v>358.218997046675</v>
      </c>
      <c r="M49" s="205" t="n">
        <f aca="false">IF(ISNUMBER(kinematics!D73),kinematics!B73,MAX($D$6:$D$186))</f>
        <v>43</v>
      </c>
      <c r="N49" s="205" t="n">
        <f aca="false">IF(ISNUMBER(kinematics!D73),kinematics!F73,0)</f>
        <v>256.981002953326</v>
      </c>
      <c r="O49" s="205" t="n">
        <f aca="false">IF(ISNUMBER(kinematics!J73),kinematics!J73,0)</f>
        <v>20.4913481377073</v>
      </c>
      <c r="P49" s="27" t="n">
        <f aca="false">IF(ISNUMBER(kinematics!L73),kinematics!L73,0)</f>
        <v>358.218997046675</v>
      </c>
      <c r="R49" s="27" t="n">
        <f aca="false">O49</f>
        <v>20.4913481377073</v>
      </c>
      <c r="S49" s="27" t="n">
        <f aca="false">P49</f>
        <v>358.218997046675</v>
      </c>
    </row>
    <row r="50" customFormat="false" ht="12.75" hidden="false" customHeight="false" outlineLevel="0" collapsed="false">
      <c r="C50" s="27" t="n">
        <f aca="false">IF(ISNUMBER(kinematics!D74),kinematics!D74,MAX(kinematics!$D$30:$D$210))</f>
        <v>88.296</v>
      </c>
      <c r="D50" s="205" t="n">
        <f aca="false">IF(ISNUMBER(kinematics!D74),kinematics!B74,0)</f>
        <v>44</v>
      </c>
      <c r="E50" s="27" t="n">
        <f aca="false">IF(ISNUMBER(kinematics!J74),kinematics!J74,0)</f>
        <v>20.2783637196986</v>
      </c>
      <c r="I50" s="27" t="n">
        <f aca="false">C50</f>
        <v>88.296</v>
      </c>
      <c r="J50" s="205" t="n">
        <f aca="false">IF(ISNUMBER(kinematics!D74),kinematics!F74,0)</f>
        <v>248.540350430749</v>
      </c>
      <c r="K50" s="27" t="n">
        <f aca="false">IF(ISNUMBER(kinematics!L74),kinematics!L74,0)</f>
        <v>366.659649569251</v>
      </c>
      <c r="M50" s="205" t="n">
        <f aca="false">IF(ISNUMBER(kinematics!D74),kinematics!B74,MAX($D$6:$D$186))</f>
        <v>44</v>
      </c>
      <c r="N50" s="205" t="n">
        <f aca="false">IF(ISNUMBER(kinematics!D74),kinematics!F74,0)</f>
        <v>248.540350430749</v>
      </c>
      <c r="O50" s="205" t="n">
        <f aca="false">IF(ISNUMBER(kinematics!J74),kinematics!J74,0)</f>
        <v>20.2783637196986</v>
      </c>
      <c r="P50" s="27" t="n">
        <f aca="false">IF(ISNUMBER(kinematics!L74),kinematics!L74,0)</f>
        <v>366.659649569251</v>
      </c>
      <c r="R50" s="27" t="n">
        <f aca="false">O50</f>
        <v>20.2783637196986</v>
      </c>
      <c r="S50" s="27" t="n">
        <f aca="false">P50</f>
        <v>366.659649569251</v>
      </c>
    </row>
    <row r="51" customFormat="false" ht="12.75" hidden="false" customHeight="false" outlineLevel="0" collapsed="false">
      <c r="C51" s="27" t="n">
        <f aca="false">IF(ISNUMBER(kinematics!D75),kinematics!D75,MAX(kinematics!$D$30:$D$210))</f>
        <v>90.302</v>
      </c>
      <c r="D51" s="205" t="n">
        <f aca="false">IF(ISNUMBER(kinematics!D75),kinematics!B75,0)</f>
        <v>45</v>
      </c>
      <c r="E51" s="27" t="n">
        <f aca="false">IF(ISNUMBER(kinematics!J75),kinematics!J75,0)</f>
        <v>20.0474096596433</v>
      </c>
      <c r="I51" s="27" t="n">
        <f aca="false">C51</f>
        <v>90.302</v>
      </c>
      <c r="J51" s="205" t="n">
        <f aca="false">IF(ISNUMBER(kinematics!D75),kinematics!F75,0)</f>
        <v>240.090716093474</v>
      </c>
      <c r="K51" s="27" t="n">
        <f aca="false">IF(ISNUMBER(kinematics!L75),kinematics!L75,0)</f>
        <v>375.109283906526</v>
      </c>
      <c r="M51" s="205" t="n">
        <f aca="false">IF(ISNUMBER(kinematics!D75),kinematics!B75,MAX($D$6:$D$186))</f>
        <v>45</v>
      </c>
      <c r="N51" s="205" t="n">
        <f aca="false">IF(ISNUMBER(kinematics!D75),kinematics!F75,0)</f>
        <v>240.090716093474</v>
      </c>
      <c r="O51" s="205" t="n">
        <f aca="false">IF(ISNUMBER(kinematics!J75),kinematics!J75,0)</f>
        <v>20.0474096596433</v>
      </c>
      <c r="P51" s="27" t="n">
        <f aca="false">IF(ISNUMBER(kinematics!L75),kinematics!L75,0)</f>
        <v>375.109283906526</v>
      </c>
      <c r="R51" s="27" t="n">
        <f aca="false">O51</f>
        <v>20.0474096596433</v>
      </c>
      <c r="S51" s="27" t="n">
        <f aca="false">P51</f>
        <v>375.109283906526</v>
      </c>
    </row>
    <row r="52" customFormat="false" ht="12.75" hidden="false" customHeight="false" outlineLevel="0" collapsed="false">
      <c r="C52" s="27" t="n">
        <f aca="false">IF(ISNUMBER(kinematics!D76),kinematics!D76,MAX(kinematics!$D$30:$D$210))</f>
        <v>92.308</v>
      </c>
      <c r="D52" s="205" t="n">
        <f aca="false">IF(ISNUMBER(kinematics!D76),kinematics!B76,0)</f>
        <v>46</v>
      </c>
      <c r="E52" s="27" t="n">
        <f aca="false">IF(ISNUMBER(kinematics!J76),kinematics!J76,0)</f>
        <v>19.7992770809534</v>
      </c>
      <c r="I52" s="27" t="n">
        <f aca="false">C52</f>
        <v>92.308</v>
      </c>
      <c r="J52" s="205" t="n">
        <f aca="false">IF(ISNUMBER(kinematics!D76),kinematics!F76,0)</f>
        <v>231.642396073244</v>
      </c>
      <c r="K52" s="27" t="n">
        <f aca="false">IF(ISNUMBER(kinematics!L76),kinematics!L76,0)</f>
        <v>383.557603926757</v>
      </c>
      <c r="M52" s="205" t="n">
        <f aca="false">IF(ISNUMBER(kinematics!D76),kinematics!B76,MAX($D$6:$D$186))</f>
        <v>46</v>
      </c>
      <c r="N52" s="205" t="n">
        <f aca="false">IF(ISNUMBER(kinematics!D76),kinematics!F76,0)</f>
        <v>231.642396073244</v>
      </c>
      <c r="O52" s="205" t="n">
        <f aca="false">IF(ISNUMBER(kinematics!J76),kinematics!J76,0)</f>
        <v>19.7992770809534</v>
      </c>
      <c r="P52" s="27" t="n">
        <f aca="false">IF(ISNUMBER(kinematics!L76),kinematics!L76,0)</f>
        <v>383.557603926757</v>
      </c>
      <c r="R52" s="27" t="n">
        <f aca="false">O52</f>
        <v>19.7992770809534</v>
      </c>
      <c r="S52" s="27" t="n">
        <f aca="false">P52</f>
        <v>383.557603926757</v>
      </c>
    </row>
    <row r="53" customFormat="false" ht="12.75" hidden="false" customHeight="false" outlineLevel="0" collapsed="false">
      <c r="C53" s="27" t="n">
        <f aca="false">IF(ISNUMBER(kinematics!D77),kinematics!D77,MAX(kinematics!$D$30:$D$210))</f>
        <v>94.315</v>
      </c>
      <c r="D53" s="205" t="n">
        <f aca="false">IF(ISNUMBER(kinematics!D77),kinematics!B77,0)</f>
        <v>47</v>
      </c>
      <c r="E53" s="27" t="n">
        <f aca="false">IF(ISNUMBER(kinematics!J77),kinematics!J77,0)</f>
        <v>19.5347248012379</v>
      </c>
      <c r="I53" s="27" t="n">
        <f aca="false">C53</f>
        <v>94.315</v>
      </c>
      <c r="J53" s="205" t="n">
        <f aca="false">IF(ISNUMBER(kinematics!D77),kinematics!F77,0)</f>
        <v>223.205680017398</v>
      </c>
      <c r="K53" s="27" t="n">
        <f aca="false">IF(ISNUMBER(kinematics!L77),kinematics!L77,0)</f>
        <v>391.994319982602</v>
      </c>
      <c r="M53" s="205" t="n">
        <f aca="false">IF(ISNUMBER(kinematics!D77),kinematics!B77,MAX($D$6:$D$186))</f>
        <v>47</v>
      </c>
      <c r="N53" s="205" t="n">
        <f aca="false">IF(ISNUMBER(kinematics!D77),kinematics!F77,0)</f>
        <v>223.205680017398</v>
      </c>
      <c r="O53" s="205" t="n">
        <f aca="false">IF(ISNUMBER(kinematics!J77),kinematics!J77,0)</f>
        <v>19.5347248012379</v>
      </c>
      <c r="P53" s="27" t="n">
        <f aca="false">IF(ISNUMBER(kinematics!L77),kinematics!L77,0)</f>
        <v>391.994319982602</v>
      </c>
      <c r="R53" s="27" t="n">
        <f aca="false">O53</f>
        <v>19.5347248012379</v>
      </c>
      <c r="S53" s="27" t="n">
        <f aca="false">P53</f>
        <v>391.994319982602</v>
      </c>
    </row>
    <row r="54" customFormat="false" ht="12.75" hidden="false" customHeight="false" outlineLevel="0" collapsed="false">
      <c r="C54" s="27" t="n">
        <f aca="false">IF(ISNUMBER(kinematics!D78),kinematics!D78,MAX(kinematics!$D$30:$D$210))</f>
        <v>96.321</v>
      </c>
      <c r="D54" s="205" t="n">
        <f aca="false">IF(ISNUMBER(kinematics!D78),kinematics!B78,0)</f>
        <v>48</v>
      </c>
      <c r="E54" s="27" t="n">
        <f aca="false">IF(ISNUMBER(kinematics!J78),kinematics!J78,0)</f>
        <v>19.2544803006331</v>
      </c>
      <c r="I54" s="27" t="n">
        <f aca="false">C54</f>
        <v>96.321</v>
      </c>
      <c r="J54" s="205" t="n">
        <f aca="false">IF(ISNUMBER(kinematics!D78),kinematics!F78,0)</f>
        <v>214.790838559055</v>
      </c>
      <c r="K54" s="27" t="n">
        <f aca="false">IF(ISNUMBER(kinematics!L78),kinematics!L78,0)</f>
        <v>400.409161440945</v>
      </c>
      <c r="M54" s="205" t="n">
        <f aca="false">IF(ISNUMBER(kinematics!D78),kinematics!B78,MAX($D$6:$D$186))</f>
        <v>48</v>
      </c>
      <c r="N54" s="205" t="n">
        <f aca="false">IF(ISNUMBER(kinematics!D78),kinematics!F78,0)</f>
        <v>214.790838559055</v>
      </c>
      <c r="O54" s="205" t="n">
        <f aca="false">IF(ISNUMBER(kinematics!J78),kinematics!J78,0)</f>
        <v>19.2544803006331</v>
      </c>
      <c r="P54" s="27" t="n">
        <f aca="false">IF(ISNUMBER(kinematics!L78),kinematics!L78,0)</f>
        <v>400.409161440945</v>
      </c>
      <c r="R54" s="27" t="n">
        <f aca="false">O54</f>
        <v>19.2544803006331</v>
      </c>
      <c r="S54" s="27" t="n">
        <f aca="false">P54</f>
        <v>400.409161440945</v>
      </c>
    </row>
    <row r="55" customFormat="false" ht="12.75" hidden="false" customHeight="false" outlineLevel="0" collapsed="false">
      <c r="C55" s="27" t="n">
        <f aca="false">IF(ISNUMBER(kinematics!D79),kinematics!D79,MAX(kinematics!$D$30:$D$210))</f>
        <v>98.327</v>
      </c>
      <c r="D55" s="205" t="n">
        <f aca="false">IF(ISNUMBER(kinematics!D79),kinematics!B79,0)</f>
        <v>49</v>
      </c>
      <c r="E55" s="27" t="n">
        <f aca="false">IF(ISNUMBER(kinematics!J79),kinematics!J79,0)</f>
        <v>18.9592407402709</v>
      </c>
      <c r="I55" s="27" t="n">
        <f aca="false">C55</f>
        <v>98.327</v>
      </c>
      <c r="J55" s="205" t="n">
        <f aca="false">IF(ISNUMBER(kinematics!D79),kinematics!F79,0)</f>
        <v>206.408110832333</v>
      </c>
      <c r="K55" s="27" t="n">
        <f aca="false">IF(ISNUMBER(kinematics!L79),kinematics!L79,0)</f>
        <v>408.791889167667</v>
      </c>
      <c r="M55" s="205" t="n">
        <f aca="false">IF(ISNUMBER(kinematics!D79),kinematics!B79,MAX($D$6:$D$186))</f>
        <v>49</v>
      </c>
      <c r="N55" s="205" t="n">
        <f aca="false">IF(ISNUMBER(kinematics!D79),kinematics!F79,0)</f>
        <v>206.408110832333</v>
      </c>
      <c r="O55" s="205" t="n">
        <f aca="false">IF(ISNUMBER(kinematics!J79),kinematics!J79,0)</f>
        <v>18.9592407402709</v>
      </c>
      <c r="P55" s="27" t="n">
        <f aca="false">IF(ISNUMBER(kinematics!L79),kinematics!L79,0)</f>
        <v>408.791889167667</v>
      </c>
      <c r="R55" s="27" t="n">
        <f aca="false">O55</f>
        <v>18.9592407402709</v>
      </c>
      <c r="S55" s="27" t="n">
        <f aca="false">P55</f>
        <v>408.791889167667</v>
      </c>
    </row>
    <row r="56" customFormat="false" ht="12.75" hidden="false" customHeight="false" outlineLevel="0" collapsed="false">
      <c r="C56" s="27" t="n">
        <f aca="false">IF(ISNUMBER(kinematics!D80),kinematics!D80,MAX(kinematics!$D$30:$D$210))</f>
        <v>100.334</v>
      </c>
      <c r="D56" s="205" t="n">
        <f aca="false">IF(ISNUMBER(kinematics!D80),kinematics!B80,0)</f>
        <v>50</v>
      </c>
      <c r="E56" s="27" t="n">
        <f aca="false">IF(ISNUMBER(kinematics!J80),kinematics!J80,0)</f>
        <v>18.6496740107615</v>
      </c>
      <c r="I56" s="27" t="n">
        <f aca="false">C56</f>
        <v>100.334</v>
      </c>
      <c r="J56" s="205" t="n">
        <f aca="false">IF(ISNUMBER(kinematics!D80),kinematics!F80,0)</f>
        <v>198.067692047455</v>
      </c>
      <c r="K56" s="27" t="n">
        <f aca="false">IF(ISNUMBER(kinematics!L80),kinematics!L80,0)</f>
        <v>417.132307952545</v>
      </c>
      <c r="M56" s="205" t="n">
        <f aca="false">IF(ISNUMBER(kinematics!D80),kinematics!B80,MAX($D$6:$D$186))</f>
        <v>50</v>
      </c>
      <c r="N56" s="205" t="n">
        <f aca="false">IF(ISNUMBER(kinematics!D80),kinematics!F80,0)</f>
        <v>198.067692047455</v>
      </c>
      <c r="O56" s="205" t="n">
        <f aca="false">IF(ISNUMBER(kinematics!J80),kinematics!J80,0)</f>
        <v>18.6496740107615</v>
      </c>
      <c r="P56" s="27" t="n">
        <f aca="false">IF(ISNUMBER(kinematics!L80),kinematics!L80,0)</f>
        <v>417.132307952545</v>
      </c>
      <c r="R56" s="27" t="n">
        <f aca="false">O56</f>
        <v>18.6496740107615</v>
      </c>
      <c r="S56" s="27" t="n">
        <f aca="false">P56</f>
        <v>417.132307952545</v>
      </c>
    </row>
    <row r="57" customFormat="false" ht="12.75" hidden="false" customHeight="false" outlineLevel="0" collapsed="false">
      <c r="C57" s="27" t="n">
        <f aca="false">IF(ISNUMBER(kinematics!D81),kinematics!D81,MAX(kinematics!$D$30:$D$210))</f>
        <v>102.341</v>
      </c>
      <c r="D57" s="205" t="n">
        <f aca="false">IF(ISNUMBER(kinematics!D81),kinematics!B81,0)</f>
        <v>51</v>
      </c>
      <c r="E57" s="27" t="n">
        <f aca="false">IF(ISNUMBER(kinematics!J81),kinematics!J81,0)</f>
        <v>18.3264197935563</v>
      </c>
      <c r="I57" s="27" t="n">
        <f aca="false">C57</f>
        <v>102.341</v>
      </c>
      <c r="J57" s="205" t="n">
        <f aca="false">IF(ISNUMBER(kinematics!D81),kinematics!F81,0)</f>
        <v>189.779721139985</v>
      </c>
      <c r="K57" s="27" t="n">
        <f aca="false">IF(ISNUMBER(kinematics!L81),kinematics!L81,0)</f>
        <v>425.420278860015</v>
      </c>
      <c r="M57" s="205" t="n">
        <f aca="false">IF(ISNUMBER(kinematics!D81),kinematics!B81,MAX($D$6:$D$186))</f>
        <v>51</v>
      </c>
      <c r="N57" s="205" t="n">
        <f aca="false">IF(ISNUMBER(kinematics!D81),kinematics!F81,0)</f>
        <v>189.779721139985</v>
      </c>
      <c r="O57" s="205" t="n">
        <f aca="false">IF(ISNUMBER(kinematics!J81),kinematics!J81,0)</f>
        <v>18.3264197935563</v>
      </c>
      <c r="P57" s="27" t="n">
        <f aca="false">IF(ISNUMBER(kinematics!L81),kinematics!L81,0)</f>
        <v>425.420278860015</v>
      </c>
      <c r="R57" s="27" t="n">
        <f aca="false">O57</f>
        <v>18.3264197935563</v>
      </c>
      <c r="S57" s="27" t="n">
        <f aca="false">P57</f>
        <v>425.420278860015</v>
      </c>
    </row>
    <row r="58" customFormat="false" ht="12.75" hidden="false" customHeight="false" outlineLevel="0" collapsed="false">
      <c r="C58" s="27" t="n">
        <f aca="false">IF(ISNUMBER(kinematics!D82),kinematics!D82,MAX(kinematics!$D$30:$D$210))</f>
        <v>104.347</v>
      </c>
      <c r="D58" s="205" t="n">
        <f aca="false">IF(ISNUMBER(kinematics!D82),kinematics!B82,0)</f>
        <v>52</v>
      </c>
      <c r="E58" s="27" t="n">
        <f aca="false">IF(ISNUMBER(kinematics!J82),kinematics!J82,0)</f>
        <v>17.9900906205837</v>
      </c>
      <c r="I58" s="27" t="n">
        <f aca="false">C58</f>
        <v>104.347</v>
      </c>
      <c r="J58" s="205" t="n">
        <f aca="false">IF(ISNUMBER(kinematics!D82),kinematics!F82,0)</f>
        <v>181.554268508568</v>
      </c>
      <c r="K58" s="27" t="n">
        <f aca="false">IF(ISNUMBER(kinematics!L82),kinematics!L82,0)</f>
        <v>433.645731491432</v>
      </c>
      <c r="M58" s="205" t="n">
        <f aca="false">IF(ISNUMBER(kinematics!D82),kinematics!B82,MAX($D$6:$D$186))</f>
        <v>52</v>
      </c>
      <c r="N58" s="205" t="n">
        <f aca="false">IF(ISNUMBER(kinematics!D82),kinematics!F82,0)</f>
        <v>181.554268508568</v>
      </c>
      <c r="O58" s="205" t="n">
        <f aca="false">IF(ISNUMBER(kinematics!J82),kinematics!J82,0)</f>
        <v>17.9900906205837</v>
      </c>
      <c r="P58" s="27" t="n">
        <f aca="false">IF(ISNUMBER(kinematics!L82),kinematics!L82,0)</f>
        <v>433.645731491432</v>
      </c>
      <c r="R58" s="27" t="n">
        <f aca="false">O58</f>
        <v>17.9900906205837</v>
      </c>
      <c r="S58" s="27" t="n">
        <f aca="false">P58</f>
        <v>433.645731491432</v>
      </c>
    </row>
    <row r="59" customFormat="false" ht="12.75" hidden="false" customHeight="false" outlineLevel="0" collapsed="false">
      <c r="C59" s="27" t="n">
        <f aca="false">IF(ISNUMBER(kinematics!D83),kinematics!D83,MAX(kinematics!$D$30:$D$210))</f>
        <v>106.354</v>
      </c>
      <c r="D59" s="205" t="n">
        <f aca="false">IF(ISNUMBER(kinematics!D83),kinematics!B83,0)</f>
        <v>53</v>
      </c>
      <c r="E59" s="27" t="n">
        <f aca="false">IF(ISNUMBER(kinematics!J83),kinematics!J83,0)</f>
        <v>17.6412729195279</v>
      </c>
      <c r="I59" s="27" t="n">
        <f aca="false">C59</f>
        <v>106.354</v>
      </c>
      <c r="J59" s="205" t="n">
        <f aca="false">IF(ISNUMBER(kinematics!D83),kinematics!F83,0)</f>
        <v>173.401323854773</v>
      </c>
      <c r="K59" s="27" t="n">
        <f aca="false">IF(ISNUMBER(kinematics!L83),kinematics!L83,0)</f>
        <v>441.798676145227</v>
      </c>
      <c r="M59" s="205" t="n">
        <f aca="false">IF(ISNUMBER(kinematics!D83),kinematics!B83,MAX($D$6:$D$186))</f>
        <v>53</v>
      </c>
      <c r="N59" s="205" t="n">
        <f aca="false">IF(ISNUMBER(kinematics!D83),kinematics!F83,0)</f>
        <v>173.401323854773</v>
      </c>
      <c r="O59" s="205" t="n">
        <f aca="false">IF(ISNUMBER(kinematics!J83),kinematics!J83,0)</f>
        <v>17.6412729195279</v>
      </c>
      <c r="P59" s="27" t="n">
        <f aca="false">IF(ISNUMBER(kinematics!L83),kinematics!L83,0)</f>
        <v>441.798676145227</v>
      </c>
      <c r="R59" s="27" t="n">
        <f aca="false">O59</f>
        <v>17.6412729195279</v>
      </c>
      <c r="S59" s="27" t="n">
        <f aca="false">P59</f>
        <v>441.798676145227</v>
      </c>
    </row>
    <row r="60" customFormat="false" ht="12.75" hidden="false" customHeight="false" outlineLevel="0" collapsed="false">
      <c r="C60" s="27" t="n">
        <f aca="false">IF(ISNUMBER(kinematics!D84),kinematics!D84,MAX(kinematics!$D$30:$D$210))</f>
        <v>108.362</v>
      </c>
      <c r="D60" s="205" t="n">
        <f aca="false">IF(ISNUMBER(kinematics!D84),kinematics!B84,0)</f>
        <v>54</v>
      </c>
      <c r="E60" s="27" t="n">
        <f aca="false">IF(ISNUMBER(kinematics!J84),kinematics!J84,0)</f>
        <v>17.2805280337229</v>
      </c>
      <c r="I60" s="27" t="n">
        <f aca="false">C60</f>
        <v>108.362</v>
      </c>
      <c r="J60" s="205" t="n">
        <f aca="false">IF(ISNUMBER(kinematics!D84),kinematics!F84,0)</f>
        <v>165.3307841387</v>
      </c>
      <c r="K60" s="27" t="n">
        <f aca="false">IF(ISNUMBER(kinematics!L84),kinematics!L84,0)</f>
        <v>449.8692158613</v>
      </c>
      <c r="M60" s="205" t="n">
        <f aca="false">IF(ISNUMBER(kinematics!D84),kinematics!B84,MAX($D$6:$D$186))</f>
        <v>54</v>
      </c>
      <c r="N60" s="205" t="n">
        <f aca="false">IF(ISNUMBER(kinematics!D84),kinematics!F84,0)</f>
        <v>165.3307841387</v>
      </c>
      <c r="O60" s="205" t="n">
        <f aca="false">IF(ISNUMBER(kinematics!J84),kinematics!J84,0)</f>
        <v>17.2805280337229</v>
      </c>
      <c r="P60" s="27" t="n">
        <f aca="false">IF(ISNUMBER(kinematics!L84),kinematics!L84,0)</f>
        <v>449.8692158613</v>
      </c>
      <c r="R60" s="27" t="n">
        <f aca="false">O60</f>
        <v>17.2805280337229</v>
      </c>
      <c r="S60" s="27" t="n">
        <f aca="false">P60</f>
        <v>449.8692158613</v>
      </c>
    </row>
    <row r="61" customFormat="false" ht="12.75" hidden="false" customHeight="false" outlineLevel="0" collapsed="false">
      <c r="C61" s="27" t="n">
        <f aca="false">IF(ISNUMBER(kinematics!D85),kinematics!D85,MAX(kinematics!$D$30:$D$210))</f>
        <v>110.369</v>
      </c>
      <c r="D61" s="205" t="n">
        <f aca="false">IF(ISNUMBER(kinematics!D85),kinematics!B85,0)</f>
        <v>55</v>
      </c>
      <c r="E61" s="27" t="n">
        <f aca="false">IF(ISNUMBER(kinematics!J85),kinematics!J85,0)</f>
        <v>16.9083932067218</v>
      </c>
      <c r="I61" s="27" t="n">
        <f aca="false">C61</f>
        <v>110.369</v>
      </c>
      <c r="J61" s="205" t="n">
        <f aca="false">IF(ISNUMBER(kinematics!D85),kinematics!F85,0)</f>
        <v>157.352441663167</v>
      </c>
      <c r="K61" s="27" t="n">
        <f aca="false">IF(ISNUMBER(kinematics!L85),kinematics!L85,0)</f>
        <v>457.847558336833</v>
      </c>
      <c r="M61" s="205" t="n">
        <f aca="false">IF(ISNUMBER(kinematics!D85),kinematics!B85,MAX($D$6:$D$186))</f>
        <v>55</v>
      </c>
      <c r="N61" s="205" t="n">
        <f aca="false">IF(ISNUMBER(kinematics!D85),kinematics!F85,0)</f>
        <v>157.352441663167</v>
      </c>
      <c r="O61" s="205" t="n">
        <f aca="false">IF(ISNUMBER(kinematics!J85),kinematics!J85,0)</f>
        <v>16.9083932067218</v>
      </c>
      <c r="P61" s="27" t="n">
        <f aca="false">IF(ISNUMBER(kinematics!L85),kinematics!L85,0)</f>
        <v>457.847558336833</v>
      </c>
      <c r="R61" s="27" t="n">
        <f aca="false">O61</f>
        <v>16.9083932067218</v>
      </c>
      <c r="S61" s="27" t="n">
        <f aca="false">P61</f>
        <v>457.847558336833</v>
      </c>
    </row>
    <row r="62" customFormat="false" ht="12.75" hidden="false" customHeight="false" outlineLevel="0" collapsed="false">
      <c r="C62" s="27" t="n">
        <f aca="false">IF(ISNUMBER(kinematics!D86),kinematics!D86,MAX(kinematics!$D$30:$D$210))</f>
        <v>112.377</v>
      </c>
      <c r="D62" s="205" t="n">
        <f aca="false">IF(ISNUMBER(kinematics!D86),kinematics!B86,0)</f>
        <v>56</v>
      </c>
      <c r="E62" s="27" t="n">
        <f aca="false">IF(ISNUMBER(kinematics!J86),kinematics!J86,0)</f>
        <v>16.5253825223303</v>
      </c>
      <c r="I62" s="27" t="n">
        <f aca="false">C62</f>
        <v>112.377</v>
      </c>
      <c r="J62" s="205" t="n">
        <f aca="false">IF(ISNUMBER(kinematics!D86),kinematics!F86,0)</f>
        <v>149.475972299183</v>
      </c>
      <c r="K62" s="27" t="n">
        <f aca="false">IF(ISNUMBER(kinematics!L86),kinematics!L86,0)</f>
        <v>465.724027700817</v>
      </c>
      <c r="M62" s="205" t="n">
        <f aca="false">IF(ISNUMBER(kinematics!D86),kinematics!B86,MAX($D$6:$D$186))</f>
        <v>56</v>
      </c>
      <c r="N62" s="205" t="n">
        <f aca="false">IF(ISNUMBER(kinematics!D86),kinematics!F86,0)</f>
        <v>149.475972299183</v>
      </c>
      <c r="O62" s="205" t="n">
        <f aca="false">IF(ISNUMBER(kinematics!J86),kinematics!J86,0)</f>
        <v>16.5253825223303</v>
      </c>
      <c r="P62" s="27" t="n">
        <f aca="false">IF(ISNUMBER(kinematics!L86),kinematics!L86,0)</f>
        <v>465.724027700817</v>
      </c>
      <c r="R62" s="27" t="n">
        <f aca="false">O62</f>
        <v>16.5253825223303</v>
      </c>
      <c r="S62" s="27" t="n">
        <f aca="false">P62</f>
        <v>465.724027700817</v>
      </c>
    </row>
    <row r="63" customFormat="false" ht="12.75" hidden="false" customHeight="false" outlineLevel="0" collapsed="false">
      <c r="C63" s="27" t="n">
        <f aca="false">IF(ISNUMBER(kinematics!D87),kinematics!D87,MAX(kinematics!$D$30:$D$210))</f>
        <v>114.386</v>
      </c>
      <c r="D63" s="205" t="n">
        <f aca="false">IF(ISNUMBER(kinematics!D87),kinematics!B87,0)</f>
        <v>57</v>
      </c>
      <c r="E63" s="27" t="n">
        <f aca="false">IF(ISNUMBER(kinematics!J87),kinematics!J87,0)</f>
        <v>16.1319877910958</v>
      </c>
      <c r="I63" s="27" t="n">
        <f aca="false">C63</f>
        <v>114.386</v>
      </c>
      <c r="J63" s="205" t="n">
        <f aca="false">IF(ISNUMBER(kinematics!D87),kinematics!F87,0)</f>
        <v>141.710923864434</v>
      </c>
      <c r="K63" s="27" t="n">
        <f aca="false">IF(ISNUMBER(kinematics!L87),kinematics!L87,0)</f>
        <v>473.489076135566</v>
      </c>
      <c r="M63" s="205" t="n">
        <f aca="false">IF(ISNUMBER(kinematics!D87),kinematics!B87,MAX($D$6:$D$186))</f>
        <v>57</v>
      </c>
      <c r="N63" s="205" t="n">
        <f aca="false">IF(ISNUMBER(kinematics!D87),kinematics!F87,0)</f>
        <v>141.710923864434</v>
      </c>
      <c r="O63" s="205" t="n">
        <f aca="false">IF(ISNUMBER(kinematics!J87),kinematics!J87,0)</f>
        <v>16.1319877910958</v>
      </c>
      <c r="P63" s="27" t="n">
        <f aca="false">IF(ISNUMBER(kinematics!L87),kinematics!L87,0)</f>
        <v>473.489076135566</v>
      </c>
      <c r="R63" s="27" t="n">
        <f aca="false">O63</f>
        <v>16.1319877910958</v>
      </c>
      <c r="S63" s="27" t="n">
        <f aca="false">P63</f>
        <v>473.489076135566</v>
      </c>
    </row>
    <row r="64" customFormat="false" ht="12.75" hidden="false" customHeight="false" outlineLevel="0" collapsed="false">
      <c r="C64" s="27" t="n">
        <f aca="false">IF(ISNUMBER(kinematics!D88),kinematics!D88,MAX(kinematics!$D$30:$D$210))</f>
        <v>116.394</v>
      </c>
      <c r="D64" s="205" t="n">
        <f aca="false">IF(ISNUMBER(kinematics!D88),kinematics!B88,0)</f>
        <v>58</v>
      </c>
      <c r="E64" s="27" t="n">
        <f aca="false">IF(ISNUMBER(kinematics!J88),kinematics!J88,0)</f>
        <v>15.72867937402</v>
      </c>
      <c r="I64" s="27" t="n">
        <f aca="false">C64</f>
        <v>116.394</v>
      </c>
      <c r="J64" s="205" t="n">
        <f aca="false">IF(ISNUMBER(kinematics!D88),kinematics!F88,0)</f>
        <v>134.066704666064</v>
      </c>
      <c r="K64" s="27" t="n">
        <f aca="false">IF(ISNUMBER(kinematics!L88),kinematics!L88,0)</f>
        <v>481.133295333936</v>
      </c>
      <c r="M64" s="205" t="n">
        <f aca="false">IF(ISNUMBER(kinematics!D88),kinematics!B88,MAX($D$6:$D$186))</f>
        <v>58</v>
      </c>
      <c r="N64" s="205" t="n">
        <f aca="false">IF(ISNUMBER(kinematics!D88),kinematics!F88,0)</f>
        <v>134.066704666064</v>
      </c>
      <c r="O64" s="205" t="n">
        <f aca="false">IF(ISNUMBER(kinematics!J88),kinematics!J88,0)</f>
        <v>15.72867937402</v>
      </c>
      <c r="P64" s="27" t="n">
        <f aca="false">IF(ISNUMBER(kinematics!L88),kinematics!L88,0)</f>
        <v>481.133295333936</v>
      </c>
      <c r="R64" s="27" t="n">
        <f aca="false">O64</f>
        <v>15.72867937402</v>
      </c>
      <c r="S64" s="27" t="n">
        <f aca="false">P64</f>
        <v>481.133295333936</v>
      </c>
    </row>
    <row r="65" customFormat="false" ht="12.75" hidden="false" customHeight="false" outlineLevel="0" collapsed="false">
      <c r="C65" s="27" t="n">
        <f aca="false">IF(ISNUMBER(kinematics!D89),kinematics!D89,MAX(kinematics!$D$30:$D$210))</f>
        <v>118.404</v>
      </c>
      <c r="D65" s="205" t="n">
        <f aca="false">IF(ISNUMBER(kinematics!D89),kinematics!B89,0)</f>
        <v>59</v>
      </c>
      <c r="E65" s="27" t="n">
        <f aca="false">IF(ISNUMBER(kinematics!J89),kinematics!J89,0)</f>
        <v>15.315906933439</v>
      </c>
      <c r="I65" s="27" t="n">
        <f aca="false">C65</f>
        <v>118.404</v>
      </c>
      <c r="J65" s="205" t="n">
        <f aca="false">IF(ISNUMBER(kinematics!D89),kinematics!F89,0)</f>
        <v>126.552572218122</v>
      </c>
      <c r="K65" s="27" t="n">
        <f aca="false">IF(ISNUMBER(kinematics!L89),kinematics!L89,0)</f>
        <v>488.647427781878</v>
      </c>
      <c r="M65" s="205" t="n">
        <f aca="false">IF(ISNUMBER(kinematics!D89),kinematics!B89,MAX($D$6:$D$186))</f>
        <v>59</v>
      </c>
      <c r="N65" s="205" t="n">
        <f aca="false">IF(ISNUMBER(kinematics!D89),kinematics!F89,0)</f>
        <v>126.552572218122</v>
      </c>
      <c r="O65" s="205" t="n">
        <f aca="false">IF(ISNUMBER(kinematics!J89),kinematics!J89,0)</f>
        <v>15.315906933439</v>
      </c>
      <c r="P65" s="27" t="n">
        <f aca="false">IF(ISNUMBER(kinematics!L89),kinematics!L89,0)</f>
        <v>488.647427781878</v>
      </c>
      <c r="R65" s="27" t="n">
        <f aca="false">O65</f>
        <v>15.315906933439</v>
      </c>
      <c r="S65" s="27" t="n">
        <f aca="false">P65</f>
        <v>488.647427781878</v>
      </c>
    </row>
    <row r="66" customFormat="false" ht="12.75" hidden="false" customHeight="false" outlineLevel="0" collapsed="false">
      <c r="C66" s="27" t="n">
        <f aca="false">IF(ISNUMBER(kinematics!D90),kinematics!D90,MAX(kinematics!$D$30:$D$210))</f>
        <v>120.413</v>
      </c>
      <c r="D66" s="205" t="n">
        <f aca="false">IF(ISNUMBER(kinematics!D90),kinematics!B90,0)</f>
        <v>60</v>
      </c>
      <c r="E66" s="27" t="n">
        <f aca="false">IF(ISNUMBER(kinematics!J90),kinematics!J90,0)</f>
        <v>14.8941000995239</v>
      </c>
      <c r="I66" s="27" t="n">
        <f aca="false">C66</f>
        <v>120.413</v>
      </c>
      <c r="J66" s="205" t="n">
        <f aca="false">IF(ISNUMBER(kinematics!D90),kinematics!F90,0)</f>
        <v>119.177622142861</v>
      </c>
      <c r="K66" s="27" t="n">
        <f aca="false">IF(ISNUMBER(kinematics!L90),kinematics!L90,0)</f>
        <v>496.022377857139</v>
      </c>
      <c r="M66" s="205" t="n">
        <f aca="false">IF(ISNUMBER(kinematics!D90),kinematics!B90,MAX($D$6:$D$186))</f>
        <v>60</v>
      </c>
      <c r="N66" s="205" t="n">
        <f aca="false">IF(ISNUMBER(kinematics!D90),kinematics!F90,0)</f>
        <v>119.177622142861</v>
      </c>
      <c r="O66" s="205" t="n">
        <f aca="false">IF(ISNUMBER(kinematics!J90),kinematics!J90,0)</f>
        <v>14.8941000995239</v>
      </c>
      <c r="P66" s="27" t="n">
        <f aca="false">IF(ISNUMBER(kinematics!L90),kinematics!L90,0)</f>
        <v>496.022377857139</v>
      </c>
      <c r="R66" s="27" t="n">
        <f aca="false">O66</f>
        <v>14.8941000995239</v>
      </c>
      <c r="S66" s="27" t="n">
        <f aca="false">P66</f>
        <v>496.022377857139</v>
      </c>
    </row>
    <row r="67" customFormat="false" ht="12.75" hidden="false" customHeight="false" outlineLevel="0" collapsed="false">
      <c r="C67" s="27" t="n">
        <f aca="false">IF(ISNUMBER(kinematics!D91),kinematics!D91,MAX(kinematics!$D$30:$D$210))</f>
        <v>122.424</v>
      </c>
      <c r="D67" s="205" t="n">
        <f aca="false">IF(ISNUMBER(kinematics!D91),kinematics!B91,0)</f>
        <v>61</v>
      </c>
      <c r="E67" s="27" t="n">
        <f aca="false">IF(ISNUMBER(kinematics!J91),kinematics!J91,0)</f>
        <v>14.4636690385257</v>
      </c>
      <c r="I67" s="27" t="n">
        <f aca="false">C67</f>
        <v>122.424</v>
      </c>
      <c r="J67" s="205" t="n">
        <f aca="false">IF(ISNUMBER(kinematics!D91),kinematics!F91,0)</f>
        <v>111.950777263771</v>
      </c>
      <c r="K67" s="27" t="n">
        <f aca="false">IF(ISNUMBER(kinematics!L91),kinematics!L91,0)</f>
        <v>503.249222736229</v>
      </c>
      <c r="M67" s="205" t="n">
        <f aca="false">IF(ISNUMBER(kinematics!D91),kinematics!B91,MAX($D$6:$D$186))</f>
        <v>61</v>
      </c>
      <c r="N67" s="205" t="n">
        <f aca="false">IF(ISNUMBER(kinematics!D91),kinematics!F91,0)</f>
        <v>111.950777263771</v>
      </c>
      <c r="O67" s="205" t="n">
        <f aca="false">IF(ISNUMBER(kinematics!J91),kinematics!J91,0)</f>
        <v>14.4636690385257</v>
      </c>
      <c r="P67" s="27" t="n">
        <f aca="false">IF(ISNUMBER(kinematics!L91),kinematics!L91,0)</f>
        <v>503.249222736229</v>
      </c>
      <c r="R67" s="27" t="n">
        <f aca="false">O67</f>
        <v>14.4636690385257</v>
      </c>
      <c r="S67" s="27" t="n">
        <f aca="false">P67</f>
        <v>503.249222736229</v>
      </c>
    </row>
    <row r="68" customFormat="false" ht="12.75" hidden="false" customHeight="false" outlineLevel="0" collapsed="false">
      <c r="C68" s="27" t="n">
        <f aca="false">IF(ISNUMBER(kinematics!D92),kinematics!D92,MAX(kinematics!$D$30:$D$210))</f>
        <v>124.435</v>
      </c>
      <c r="D68" s="205" t="n">
        <f aca="false">IF(ISNUMBER(kinematics!D92),kinematics!B92,0)</f>
        <v>62</v>
      </c>
      <c r="E68" s="27" t="n">
        <f aca="false">IF(ISNUMBER(kinematics!J92),kinematics!J92,0)</f>
        <v>14.0250049054539</v>
      </c>
      <c r="I68" s="27" t="n">
        <f aca="false">C68</f>
        <v>124.435</v>
      </c>
      <c r="J68" s="205" t="n">
        <f aca="false">IF(ISNUMBER(kinematics!D92),kinematics!F92,0)</f>
        <v>104.880776896442</v>
      </c>
      <c r="K68" s="27" t="n">
        <f aca="false">IF(ISNUMBER(kinematics!L92),kinematics!L92,0)</f>
        <v>510.319223103558</v>
      </c>
      <c r="M68" s="205" t="n">
        <f aca="false">IF(ISNUMBER(kinematics!D92),kinematics!B92,MAX($D$6:$D$186))</f>
        <v>62</v>
      </c>
      <c r="N68" s="205" t="n">
        <f aca="false">IF(ISNUMBER(kinematics!D92),kinematics!F92,0)</f>
        <v>104.880776896442</v>
      </c>
      <c r="O68" s="205" t="n">
        <f aca="false">IF(ISNUMBER(kinematics!J92),kinematics!J92,0)</f>
        <v>14.0250049054539</v>
      </c>
      <c r="P68" s="27" t="n">
        <f aca="false">IF(ISNUMBER(kinematics!L92),kinematics!L92,0)</f>
        <v>510.319223103558</v>
      </c>
      <c r="R68" s="27" t="n">
        <f aca="false">O68</f>
        <v>14.0250049054539</v>
      </c>
      <c r="S68" s="27" t="n">
        <f aca="false">P68</f>
        <v>510.319223103558</v>
      </c>
    </row>
    <row r="69" customFormat="false" ht="12.75" hidden="false" customHeight="false" outlineLevel="0" collapsed="false">
      <c r="C69" s="27" t="n">
        <f aca="false">IF(ISNUMBER(kinematics!D93),kinematics!D93,MAX(kinematics!$D$30:$D$210))</f>
        <v>126.447</v>
      </c>
      <c r="D69" s="205" t="n">
        <f aca="false">IF(ISNUMBER(kinematics!D93),kinematics!B93,0)</f>
        <v>63</v>
      </c>
      <c r="E69" s="27" t="n">
        <f aca="false">IF(ISNUMBER(kinematics!J93),kinematics!J93,0)</f>
        <v>13.5784801589888</v>
      </c>
      <c r="I69" s="27" t="n">
        <f aca="false">C69</f>
        <v>126.447</v>
      </c>
      <c r="J69" s="205" t="n">
        <f aca="false">IF(ISNUMBER(kinematics!D93),kinematics!F93,0)</f>
        <v>97.9761663411223</v>
      </c>
      <c r="K69" s="27" t="n">
        <f aca="false">IF(ISNUMBER(kinematics!L93),kinematics!L93,0)</f>
        <v>517.223833658878</v>
      </c>
      <c r="M69" s="205" t="n">
        <f aca="false">IF(ISNUMBER(kinematics!D93),kinematics!B93,MAX($D$6:$D$186))</f>
        <v>63</v>
      </c>
      <c r="N69" s="205" t="n">
        <f aca="false">IF(ISNUMBER(kinematics!D93),kinematics!F93,0)</f>
        <v>97.9761663411223</v>
      </c>
      <c r="O69" s="205" t="n">
        <f aca="false">IF(ISNUMBER(kinematics!J93),kinematics!J93,0)</f>
        <v>13.5784801589888</v>
      </c>
      <c r="P69" s="27" t="n">
        <f aca="false">IF(ISNUMBER(kinematics!L93),kinematics!L93,0)</f>
        <v>517.223833658878</v>
      </c>
      <c r="R69" s="27" t="n">
        <f aca="false">O69</f>
        <v>13.5784801589888</v>
      </c>
      <c r="S69" s="27" t="n">
        <f aca="false">P69</f>
        <v>517.223833658878</v>
      </c>
    </row>
    <row r="70" customFormat="false" ht="12.75" hidden="false" customHeight="false" outlineLevel="0" collapsed="false">
      <c r="C70" s="27" t="n">
        <f aca="false">IF(ISNUMBER(kinematics!D94),kinematics!D94,MAX(kinematics!$D$30:$D$210))</f>
        <v>128.46</v>
      </c>
      <c r="D70" s="205" t="n">
        <f aca="false">IF(ISNUMBER(kinematics!D94),kinematics!B94,0)</f>
        <v>64</v>
      </c>
      <c r="E70" s="27" t="n">
        <f aca="false">IF(ISNUMBER(kinematics!J94),kinematics!J94,0)</f>
        <v>13.1244487094599</v>
      </c>
      <c r="I70" s="27" t="n">
        <f aca="false">C70</f>
        <v>128.46</v>
      </c>
      <c r="J70" s="205" t="n">
        <f aca="false">IF(ISNUMBER(kinematics!D94),kinematics!F94,0)</f>
        <v>91.2452865772656</v>
      </c>
      <c r="K70" s="27" t="n">
        <f aca="false">IF(ISNUMBER(kinematics!L94),kinematics!L94,0)</f>
        <v>523.954713422735</v>
      </c>
      <c r="M70" s="205" t="n">
        <f aca="false">IF(ISNUMBER(kinematics!D94),kinematics!B94,MAX($D$6:$D$186))</f>
        <v>64</v>
      </c>
      <c r="N70" s="205" t="n">
        <f aca="false">IF(ISNUMBER(kinematics!D94),kinematics!F94,0)</f>
        <v>91.2452865772656</v>
      </c>
      <c r="O70" s="205" t="n">
        <f aca="false">IF(ISNUMBER(kinematics!J94),kinematics!J94,0)</f>
        <v>13.1244487094599</v>
      </c>
      <c r="P70" s="27" t="n">
        <f aca="false">IF(ISNUMBER(kinematics!L94),kinematics!L94,0)</f>
        <v>523.954713422735</v>
      </c>
      <c r="R70" s="27" t="n">
        <f aca="false">O70</f>
        <v>13.1244487094599</v>
      </c>
      <c r="S70" s="27" t="n">
        <f aca="false">P70</f>
        <v>523.954713422735</v>
      </c>
    </row>
    <row r="71" customFormat="false" ht="12.75" hidden="false" customHeight="false" outlineLevel="0" collapsed="false">
      <c r="C71" s="27" t="n">
        <f aca="false">IF(ISNUMBER(kinematics!D95),kinematics!D95,MAX(kinematics!$D$30:$D$210))</f>
        <v>130.474</v>
      </c>
      <c r="D71" s="205" t="n">
        <f aca="false">IF(ISNUMBER(kinematics!D95),kinematics!B95,0)</f>
        <v>65</v>
      </c>
      <c r="E71" s="27" t="n">
        <f aca="false">IF(ISNUMBER(kinematics!J95),kinematics!J95,0)</f>
        <v>12.6632458609819</v>
      </c>
      <c r="I71" s="27" t="n">
        <f aca="false">C71</f>
        <v>130.474</v>
      </c>
      <c r="J71" s="205" t="n">
        <f aca="false">IF(ISNUMBER(kinematics!D95),kinematics!F95,0)</f>
        <v>84.6962641564335</v>
      </c>
      <c r="K71" s="27" t="n">
        <f aca="false">IF(ISNUMBER(kinematics!L95),kinematics!L95,0)</f>
        <v>530.503735843567</v>
      </c>
      <c r="M71" s="205" t="n">
        <f aca="false">IF(ISNUMBER(kinematics!D95),kinematics!B95,MAX($D$6:$D$186))</f>
        <v>65</v>
      </c>
      <c r="N71" s="205" t="n">
        <f aca="false">IF(ISNUMBER(kinematics!D95),kinematics!F95,0)</f>
        <v>84.6962641564335</v>
      </c>
      <c r="O71" s="205" t="n">
        <f aca="false">IF(ISNUMBER(kinematics!J95),kinematics!J95,0)</f>
        <v>12.6632458609819</v>
      </c>
      <c r="P71" s="27" t="n">
        <f aca="false">IF(ISNUMBER(kinematics!L95),kinematics!L95,0)</f>
        <v>530.503735843567</v>
      </c>
      <c r="R71" s="27" t="n">
        <f aca="false">O71</f>
        <v>12.6632458609819</v>
      </c>
      <c r="S71" s="27" t="n">
        <f aca="false">P71</f>
        <v>530.503735843567</v>
      </c>
    </row>
    <row r="72" customFormat="false" ht="12.75" hidden="false" customHeight="false" outlineLevel="0" collapsed="false">
      <c r="C72" s="27" t="n">
        <f aca="false">IF(ISNUMBER(kinematics!D96),kinematics!D96,MAX(kinematics!$D$30:$D$210))</f>
        <v>132.489</v>
      </c>
      <c r="D72" s="205" t="n">
        <f aca="false">IF(ISNUMBER(kinematics!D96),kinematics!B96,0)</f>
        <v>66</v>
      </c>
      <c r="E72" s="27" t="n">
        <f aca="false">IF(ISNUMBER(kinematics!J96),kinematics!J96,0)</f>
        <v>12.1951879949188</v>
      </c>
      <c r="I72" s="27" t="n">
        <f aca="false">C72</f>
        <v>132.489</v>
      </c>
      <c r="J72" s="205" t="n">
        <f aca="false">IF(ISNUMBER(kinematics!D96),kinematics!F96,0)</f>
        <v>78.3370012832435</v>
      </c>
      <c r="K72" s="27" t="n">
        <f aca="false">IF(ISNUMBER(kinematics!L96),kinematics!L96,0)</f>
        <v>536.862998716757</v>
      </c>
      <c r="M72" s="205" t="n">
        <f aca="false">IF(ISNUMBER(kinematics!D96),kinematics!B96,MAX($D$6:$D$186))</f>
        <v>66</v>
      </c>
      <c r="N72" s="205" t="n">
        <f aca="false">IF(ISNUMBER(kinematics!D96),kinematics!F96,0)</f>
        <v>78.3370012832435</v>
      </c>
      <c r="O72" s="205" t="n">
        <f aca="false">IF(ISNUMBER(kinematics!J96),kinematics!J96,0)</f>
        <v>12.1951879949188</v>
      </c>
      <c r="P72" s="27" t="n">
        <f aca="false">IF(ISNUMBER(kinematics!L96),kinematics!L96,0)</f>
        <v>536.862998716757</v>
      </c>
      <c r="R72" s="27" t="n">
        <f aca="false">O72</f>
        <v>12.1951879949188</v>
      </c>
      <c r="S72" s="27" t="n">
        <f aca="false">P72</f>
        <v>536.862998716757</v>
      </c>
    </row>
    <row r="73" customFormat="false" ht="12.75" hidden="false" customHeight="false" outlineLevel="0" collapsed="false">
      <c r="C73" s="27" t="n">
        <f aca="false">IF(ISNUMBER(kinematics!D97),kinematics!D97,MAX(kinematics!$D$30:$D$210))</f>
        <v>134.505</v>
      </c>
      <c r="D73" s="205" t="n">
        <f aca="false">IF(ISNUMBER(kinematics!D97),kinematics!B97,0)</f>
        <v>67</v>
      </c>
      <c r="E73" s="27" t="n">
        <f aca="false">IF(ISNUMBER(kinematics!J97),kinematics!J97,0)</f>
        <v>11.7205719219787</v>
      </c>
      <c r="I73" s="27" t="n">
        <f aca="false">C73</f>
        <v>134.505</v>
      </c>
      <c r="J73" s="205" t="n">
        <f aca="false">IF(ISNUMBER(kinematics!D97),kinematics!F97,0)</f>
        <v>72.1751660651552</v>
      </c>
      <c r="K73" s="27" t="n">
        <f aca="false">IF(ISNUMBER(kinematics!L97),kinematics!L97,0)</f>
        <v>543.024833934845</v>
      </c>
      <c r="M73" s="205" t="n">
        <f aca="false">IF(ISNUMBER(kinematics!D97),kinematics!B97,MAX($D$6:$D$186))</f>
        <v>67</v>
      </c>
      <c r="N73" s="205" t="n">
        <f aca="false">IF(ISNUMBER(kinematics!D97),kinematics!F97,0)</f>
        <v>72.1751660651552</v>
      </c>
      <c r="O73" s="205" t="n">
        <f aca="false">IF(ISNUMBER(kinematics!J97),kinematics!J97,0)</f>
        <v>11.7205719219787</v>
      </c>
      <c r="P73" s="27" t="n">
        <f aca="false">IF(ISNUMBER(kinematics!L97),kinematics!L97,0)</f>
        <v>543.024833934845</v>
      </c>
      <c r="R73" s="27" t="n">
        <f aca="false">O73</f>
        <v>11.7205719219787</v>
      </c>
      <c r="S73" s="27" t="n">
        <f aca="false">P73</f>
        <v>543.024833934845</v>
      </c>
    </row>
    <row r="74" customFormat="false" ht="12.75" hidden="false" customHeight="false" outlineLevel="0" collapsed="false">
      <c r="C74" s="27" t="n">
        <f aca="false">IF(ISNUMBER(kinematics!D98),kinematics!D98,MAX(kinematics!$D$30:$D$210))</f>
        <v>136.523</v>
      </c>
      <c r="D74" s="205" t="n">
        <f aca="false">IF(ISNUMBER(kinematics!D98),kinematics!B98,0)</f>
        <v>68</v>
      </c>
      <c r="E74" s="27" t="n">
        <f aca="false">IF(ISNUMBER(kinematics!J98),kinematics!J98,0)</f>
        <v>11.2396738013989</v>
      </c>
      <c r="I74" s="27" t="n">
        <f aca="false">C74</f>
        <v>136.523</v>
      </c>
      <c r="J74" s="205" t="n">
        <f aca="false">IF(ISNUMBER(kinematics!D98),kinematics!F98,0)</f>
        <v>66.2181828984448</v>
      </c>
      <c r="K74" s="27" t="n">
        <f aca="false">IF(ISNUMBER(kinematics!L98),kinematics!L98,0)</f>
        <v>548.981817101555</v>
      </c>
      <c r="M74" s="205" t="n">
        <f aca="false">IF(ISNUMBER(kinematics!D98),kinematics!B98,MAX($D$6:$D$186))</f>
        <v>68</v>
      </c>
      <c r="N74" s="205" t="n">
        <f aca="false">IF(ISNUMBER(kinematics!D98),kinematics!F98,0)</f>
        <v>66.2181828984448</v>
      </c>
      <c r="O74" s="205" t="n">
        <f aca="false">IF(ISNUMBER(kinematics!J98),kinematics!J98,0)</f>
        <v>11.2396738013989</v>
      </c>
      <c r="P74" s="27" t="n">
        <f aca="false">IF(ISNUMBER(kinematics!L98),kinematics!L98,0)</f>
        <v>548.981817101555</v>
      </c>
      <c r="R74" s="27" t="n">
        <f aca="false">O74</f>
        <v>11.2396738013989</v>
      </c>
      <c r="S74" s="27" t="n">
        <f aca="false">P74</f>
        <v>548.981817101555</v>
      </c>
    </row>
    <row r="75" customFormat="false" ht="12.75" hidden="false" customHeight="false" outlineLevel="0" collapsed="false">
      <c r="C75" s="27" t="n">
        <f aca="false">IF(ISNUMBER(kinematics!D99),kinematics!D99,MAX(kinematics!$D$30:$D$210))</f>
        <v>138.543</v>
      </c>
      <c r="D75" s="205" t="n">
        <f aca="false">IF(ISNUMBER(kinematics!D99),kinematics!B99,0)</f>
        <v>69</v>
      </c>
      <c r="E75" s="27" t="n">
        <f aca="false">IF(ISNUMBER(kinematics!J99),kinematics!J99,0)</f>
        <v>10.7527474832325</v>
      </c>
      <c r="I75" s="27" t="n">
        <f aca="false">C75</f>
        <v>138.543</v>
      </c>
      <c r="J75" s="205" t="n">
        <f aca="false">IF(ISNUMBER(kinematics!D99),kinematics!F99,0)</f>
        <v>60.473222937605</v>
      </c>
      <c r="K75" s="27" t="n">
        <f aca="false">IF(ISNUMBER(kinematics!L99),kinematics!L99,0)</f>
        <v>554.726777062395</v>
      </c>
      <c r="M75" s="205" t="n">
        <f aca="false">IF(ISNUMBER(kinematics!D99),kinematics!B99,MAX($D$6:$D$186))</f>
        <v>69</v>
      </c>
      <c r="N75" s="205" t="n">
        <f aca="false">IF(ISNUMBER(kinematics!D99),kinematics!F99,0)</f>
        <v>60.473222937605</v>
      </c>
      <c r="O75" s="205" t="n">
        <f aca="false">IF(ISNUMBER(kinematics!J99),kinematics!J99,0)</f>
        <v>10.7527474832325</v>
      </c>
      <c r="P75" s="27" t="n">
        <f aca="false">IF(ISNUMBER(kinematics!L99),kinematics!L99,0)</f>
        <v>554.726777062395</v>
      </c>
      <c r="R75" s="27" t="n">
        <f aca="false">O75</f>
        <v>10.7527474832325</v>
      </c>
      <c r="S75" s="27" t="n">
        <f aca="false">P75</f>
        <v>554.726777062395</v>
      </c>
    </row>
    <row r="76" customFormat="false" ht="12.75" hidden="false" customHeight="false" outlineLevel="0" collapsed="false">
      <c r="C76" s="27" t="n">
        <f aca="false">IF(ISNUMBER(kinematics!D100),kinematics!D100,MAX(kinematics!$D$30:$D$210))</f>
        <v>140.565</v>
      </c>
      <c r="D76" s="205" t="n">
        <f aca="false">IF(ISNUMBER(kinematics!D100),kinematics!B100,0)</f>
        <v>70</v>
      </c>
      <c r="E76" s="27" t="n">
        <f aca="false">IF(ISNUMBER(kinematics!J100),kinematics!J100,0)</f>
        <v>10.2600220661079</v>
      </c>
      <c r="I76" s="27" t="n">
        <f aca="false">C76</f>
        <v>140.565</v>
      </c>
      <c r="J76" s="205" t="n">
        <f aca="false">IF(ISNUMBER(kinematics!D100),kinematics!F100,0)</f>
        <v>54.9471945641343</v>
      </c>
      <c r="K76" s="27" t="n">
        <f aca="false">IF(ISNUMBER(kinematics!L100),kinematics!L100,0)</f>
        <v>560.252805435866</v>
      </c>
      <c r="M76" s="205" t="n">
        <f aca="false">IF(ISNUMBER(kinematics!D100),kinematics!B100,MAX($D$6:$D$186))</f>
        <v>70</v>
      </c>
      <c r="N76" s="205" t="n">
        <f aca="false">IF(ISNUMBER(kinematics!D100),kinematics!F100,0)</f>
        <v>54.9471945641343</v>
      </c>
      <c r="O76" s="205" t="n">
        <f aca="false">IF(ISNUMBER(kinematics!J100),kinematics!J100,0)</f>
        <v>10.2600220661079</v>
      </c>
      <c r="P76" s="27" t="n">
        <f aca="false">IF(ISNUMBER(kinematics!L100),kinematics!L100,0)</f>
        <v>560.252805435866</v>
      </c>
      <c r="R76" s="27" t="n">
        <f aca="false">O76</f>
        <v>10.2600220661079</v>
      </c>
      <c r="S76" s="27" t="n">
        <f aca="false">P76</f>
        <v>560.252805435866</v>
      </c>
    </row>
    <row r="77" customFormat="false" ht="12.75" hidden="false" customHeight="false" outlineLevel="0" collapsed="false">
      <c r="C77" s="27" t="n">
        <f aca="false">IF(ISNUMBER(kinematics!D101),kinematics!D101,MAX(kinematics!$D$30:$D$210))</f>
        <v>142.59</v>
      </c>
      <c r="D77" s="205" t="n">
        <f aca="false">IF(ISNUMBER(kinematics!D101),kinematics!B101,0)</f>
        <v>71</v>
      </c>
      <c r="E77" s="27" t="n">
        <f aca="false">IF(ISNUMBER(kinematics!J101),kinematics!J101,0)</f>
        <v>9.76169836554128</v>
      </c>
      <c r="I77" s="27" t="n">
        <f aca="false">C77</f>
        <v>142.59</v>
      </c>
      <c r="J77" s="205" t="n">
        <f aca="false">IF(ISNUMBER(kinematics!D101),kinematics!F101,0)</f>
        <v>49.6467337214394</v>
      </c>
      <c r="K77" s="27" t="n">
        <f aca="false">IF(ISNUMBER(kinematics!L101),kinematics!L101,0)</f>
        <v>565.553266278561</v>
      </c>
      <c r="M77" s="205" t="n">
        <f aca="false">IF(ISNUMBER(kinematics!D101),kinematics!B101,MAX($D$6:$D$186))</f>
        <v>71</v>
      </c>
      <c r="N77" s="205" t="n">
        <f aca="false">IF(ISNUMBER(kinematics!D101),kinematics!F101,0)</f>
        <v>49.6467337214394</v>
      </c>
      <c r="O77" s="205" t="n">
        <f aca="false">IF(ISNUMBER(kinematics!J101),kinematics!J101,0)</f>
        <v>9.76169836554128</v>
      </c>
      <c r="P77" s="27" t="n">
        <f aca="false">IF(ISNUMBER(kinematics!L101),kinematics!L101,0)</f>
        <v>565.553266278561</v>
      </c>
      <c r="R77" s="27" t="n">
        <f aca="false">O77</f>
        <v>9.76169836554128</v>
      </c>
      <c r="S77" s="27" t="n">
        <f aca="false">P77</f>
        <v>565.553266278561</v>
      </c>
    </row>
    <row r="78" customFormat="false" ht="12.75" hidden="false" customHeight="false" outlineLevel="0" collapsed="false">
      <c r="C78" s="27" t="n">
        <f aca="false">IF(ISNUMBER(kinematics!D102),kinematics!D102,MAX(kinematics!$D$30:$D$210))</f>
        <v>144.618</v>
      </c>
      <c r="D78" s="205" t="n">
        <f aca="false">IF(ISNUMBER(kinematics!D102),kinematics!B102,0)</f>
        <v>72</v>
      </c>
      <c r="E78" s="27" t="n">
        <f aca="false">IF(ISNUMBER(kinematics!J102),kinematics!J102,0)</f>
        <v>9.25794383571615</v>
      </c>
      <c r="I78" s="27" t="n">
        <f aca="false">C78</f>
        <v>144.618</v>
      </c>
      <c r="J78" s="205" t="n">
        <f aca="false">IF(ISNUMBER(kinematics!D102),kinematics!F102,0)</f>
        <v>44.5781939027923</v>
      </c>
      <c r="K78" s="27" t="n">
        <f aca="false">IF(ISNUMBER(kinematics!L102),kinematics!L102,0)</f>
        <v>570.621806097208</v>
      </c>
      <c r="M78" s="205" t="n">
        <f aca="false">IF(ISNUMBER(kinematics!D102),kinematics!B102,MAX($D$6:$D$186))</f>
        <v>72</v>
      </c>
      <c r="N78" s="205" t="n">
        <f aca="false">IF(ISNUMBER(kinematics!D102),kinematics!F102,0)</f>
        <v>44.5781939027923</v>
      </c>
      <c r="O78" s="205" t="n">
        <f aca="false">IF(ISNUMBER(kinematics!J102),kinematics!J102,0)</f>
        <v>9.25794383571615</v>
      </c>
      <c r="P78" s="27" t="n">
        <f aca="false">IF(ISNUMBER(kinematics!L102),kinematics!L102,0)</f>
        <v>570.621806097208</v>
      </c>
      <c r="R78" s="27" t="n">
        <f aca="false">O78</f>
        <v>9.25794383571615</v>
      </c>
      <c r="S78" s="27" t="n">
        <f aca="false">P78</f>
        <v>570.621806097208</v>
      </c>
    </row>
    <row r="79" customFormat="false" ht="12.75" hidden="false" customHeight="false" outlineLevel="0" collapsed="false">
      <c r="C79" s="27" t="n">
        <f aca="false">IF(ISNUMBER(kinematics!D103),kinematics!D103,MAX(kinematics!$D$30:$D$210))</f>
        <v>146.65</v>
      </c>
      <c r="D79" s="205" t="n">
        <f aca="false">IF(ISNUMBER(kinematics!D103),kinematics!B103,0)</f>
        <v>73</v>
      </c>
      <c r="E79" s="27" t="n">
        <f aca="false">IF(ISNUMBER(kinematics!J103),kinematics!J103,0)</f>
        <v>8.74888524341284</v>
      </c>
      <c r="I79" s="27" t="n">
        <f aca="false">C79</f>
        <v>146.65</v>
      </c>
      <c r="J79" s="205" t="n">
        <f aca="false">IF(ISNUMBER(kinematics!D103),kinematics!F103,0)</f>
        <v>39.7476354458762</v>
      </c>
      <c r="K79" s="27" t="n">
        <f aca="false">IF(ISNUMBER(kinematics!L103),kinematics!L103,0)</f>
        <v>575.452364554124</v>
      </c>
      <c r="M79" s="205" t="n">
        <f aca="false">IF(ISNUMBER(kinematics!D103),kinematics!B103,MAX($D$6:$D$186))</f>
        <v>73</v>
      </c>
      <c r="N79" s="205" t="n">
        <f aca="false">IF(ISNUMBER(kinematics!D103),kinematics!F103,0)</f>
        <v>39.7476354458762</v>
      </c>
      <c r="O79" s="205" t="n">
        <f aca="false">IF(ISNUMBER(kinematics!J103),kinematics!J103,0)</f>
        <v>8.74888524341284</v>
      </c>
      <c r="P79" s="27" t="n">
        <f aca="false">IF(ISNUMBER(kinematics!L103),kinematics!L103,0)</f>
        <v>575.452364554124</v>
      </c>
      <c r="R79" s="27" t="n">
        <f aca="false">O79</f>
        <v>8.74888524341284</v>
      </c>
      <c r="S79" s="27" t="n">
        <f aca="false">P79</f>
        <v>575.452364554124</v>
      </c>
    </row>
    <row r="80" customFormat="false" ht="12.75" hidden="false" customHeight="false" outlineLevel="0" collapsed="false">
      <c r="C80" s="27" t="n">
        <f aca="false">IF(ISNUMBER(kinematics!D104),kinematics!D104,MAX(kinematics!$D$30:$D$210))</f>
        <v>148.686</v>
      </c>
      <c r="D80" s="205" t="n">
        <f aca="false">IF(ISNUMBER(kinematics!D104),kinematics!B104,0)</f>
        <v>74</v>
      </c>
      <c r="E80" s="27" t="n">
        <f aca="false">IF(ISNUMBER(kinematics!J104),kinematics!J104,0)</f>
        <v>8.23459798931027</v>
      </c>
      <c r="I80" s="27" t="n">
        <f aca="false">C80</f>
        <v>148.686</v>
      </c>
      <c r="J80" s="205" t="n">
        <f aca="false">IF(ISNUMBER(kinematics!D104),kinematics!F104,0)</f>
        <v>35.1608135584225</v>
      </c>
      <c r="K80" s="27" t="n">
        <f aca="false">IF(ISNUMBER(kinematics!L104),kinematics!L104,0)</f>
        <v>580.039186441578</v>
      </c>
      <c r="M80" s="205" t="n">
        <f aca="false">IF(ISNUMBER(kinematics!D104),kinematics!B104,MAX($D$6:$D$186))</f>
        <v>74</v>
      </c>
      <c r="N80" s="205" t="n">
        <f aca="false">IF(ISNUMBER(kinematics!D104),kinematics!F104,0)</f>
        <v>35.1608135584225</v>
      </c>
      <c r="O80" s="205" t="n">
        <f aca="false">IF(ISNUMBER(kinematics!J104),kinematics!J104,0)</f>
        <v>8.23459798931027</v>
      </c>
      <c r="P80" s="27" t="n">
        <f aca="false">IF(ISNUMBER(kinematics!L104),kinematics!L104,0)</f>
        <v>580.039186441578</v>
      </c>
      <c r="R80" s="27" t="n">
        <f aca="false">O80</f>
        <v>8.23459798931027</v>
      </c>
      <c r="S80" s="27" t="n">
        <f aca="false">P80</f>
        <v>580.039186441578</v>
      </c>
    </row>
    <row r="81" customFormat="false" ht="12.75" hidden="false" customHeight="false" outlineLevel="0" collapsed="false">
      <c r="C81" s="27" t="n">
        <f aca="false">IF(ISNUMBER(kinematics!D105),kinematics!D105,MAX(kinematics!$D$30:$D$210))</f>
        <v>150.727</v>
      </c>
      <c r="D81" s="205" t="n">
        <f aca="false">IF(ISNUMBER(kinematics!D105),kinematics!B105,0)</f>
        <v>75</v>
      </c>
      <c r="E81" s="27" t="n">
        <f aca="false">IF(ISNUMBER(kinematics!J105),kinematics!J105,0)</f>
        <v>7.71509028263512</v>
      </c>
      <c r="I81" s="27" t="n">
        <f aca="false">C81</f>
        <v>150.727</v>
      </c>
      <c r="J81" s="205" t="n">
        <f aca="false">IF(ISNUMBER(kinematics!D105),kinematics!F105,0)</f>
        <v>30.8231640904224</v>
      </c>
      <c r="K81" s="27" t="n">
        <f aca="false">IF(ISNUMBER(kinematics!L105),kinematics!L105,0)</f>
        <v>584.376835909578</v>
      </c>
      <c r="M81" s="205" t="n">
        <f aca="false">IF(ISNUMBER(kinematics!D105),kinematics!B105,MAX($D$6:$D$186))</f>
        <v>75</v>
      </c>
      <c r="N81" s="205" t="n">
        <f aca="false">IF(ISNUMBER(kinematics!D105),kinematics!F105,0)</f>
        <v>30.8231640904224</v>
      </c>
      <c r="O81" s="205" t="n">
        <f aca="false">IF(ISNUMBER(kinematics!J105),kinematics!J105,0)</f>
        <v>7.71509028263512</v>
      </c>
      <c r="P81" s="27" t="n">
        <f aca="false">IF(ISNUMBER(kinematics!L105),kinematics!L105,0)</f>
        <v>584.376835909578</v>
      </c>
      <c r="R81" s="27" t="n">
        <f aca="false">O81</f>
        <v>7.71509028263512</v>
      </c>
      <c r="S81" s="27" t="n">
        <f aca="false">P81</f>
        <v>584.376835909578</v>
      </c>
    </row>
    <row r="82" customFormat="false" ht="12.75" hidden="false" customHeight="false" outlineLevel="0" collapsed="false">
      <c r="C82" s="27" t="n">
        <f aca="false">IF(ISNUMBER(kinematics!D106),kinematics!D106,MAX(kinematics!$D$30:$D$210))</f>
        <v>152.775</v>
      </c>
      <c r="D82" s="205" t="n">
        <f aca="false">IF(ISNUMBER(kinematics!D106),kinematics!B106,0)</f>
        <v>76</v>
      </c>
      <c r="E82" s="27" t="n">
        <f aca="false">IF(ISNUMBER(kinematics!J106),kinematics!J106,0)</f>
        <v>7.19027915167423</v>
      </c>
      <c r="I82" s="27" t="n">
        <f aca="false">C82</f>
        <v>152.775</v>
      </c>
      <c r="J82" s="205" t="n">
        <f aca="false">IF(ISNUMBER(kinematics!D106),kinematics!F106,0)</f>
        <v>26.7397853097159</v>
      </c>
      <c r="K82" s="27" t="n">
        <f aca="false">IF(ISNUMBER(kinematics!L106),kinematics!L106,0)</f>
        <v>588.460214690284</v>
      </c>
      <c r="M82" s="205" t="n">
        <f aca="false">IF(ISNUMBER(kinematics!D106),kinematics!B106,MAX($D$6:$D$186))</f>
        <v>76</v>
      </c>
      <c r="N82" s="205" t="n">
        <f aca="false">IF(ISNUMBER(kinematics!D106),kinematics!F106,0)</f>
        <v>26.7397853097159</v>
      </c>
      <c r="O82" s="205" t="n">
        <f aca="false">IF(ISNUMBER(kinematics!J106),kinematics!J106,0)</f>
        <v>7.19027915167423</v>
      </c>
      <c r="P82" s="27" t="n">
        <f aca="false">IF(ISNUMBER(kinematics!L106),kinematics!L106,0)</f>
        <v>588.460214690284</v>
      </c>
      <c r="R82" s="27" t="n">
        <f aca="false">O82</f>
        <v>7.19027915167423</v>
      </c>
      <c r="S82" s="27" t="n">
        <f aca="false">P82</f>
        <v>588.460214690284</v>
      </c>
    </row>
    <row r="83" customFormat="false" ht="12.75" hidden="false" customHeight="false" outlineLevel="0" collapsed="false">
      <c r="C83" s="27" t="n">
        <f aca="false">IF(ISNUMBER(kinematics!D107),kinematics!D107,MAX(kinematics!$D$30:$D$210))</f>
        <v>154.832</v>
      </c>
      <c r="D83" s="205" t="n">
        <f aca="false">IF(ISNUMBER(kinematics!D107),kinematics!B107,0)</f>
        <v>77</v>
      </c>
      <c r="E83" s="27" t="n">
        <f aca="false">IF(ISNUMBER(kinematics!J107),kinematics!J107,0)</f>
        <v>6.65995300083971</v>
      </c>
      <c r="I83" s="27" t="n">
        <f aca="false">C83</f>
        <v>154.832</v>
      </c>
      <c r="J83" s="205" t="n">
        <f aca="false">IF(ISNUMBER(kinematics!D107),kinematics!F107,0)</f>
        <v>22.9154124609682</v>
      </c>
      <c r="K83" s="27" t="n">
        <f aca="false">IF(ISNUMBER(kinematics!L107),kinematics!L107,0)</f>
        <v>592.284587539032</v>
      </c>
      <c r="M83" s="205" t="n">
        <f aca="false">IF(ISNUMBER(kinematics!D107),kinematics!B107,MAX($D$6:$D$186))</f>
        <v>77</v>
      </c>
      <c r="N83" s="205" t="n">
        <f aca="false">IF(ISNUMBER(kinematics!D107),kinematics!F107,0)</f>
        <v>22.9154124609682</v>
      </c>
      <c r="O83" s="205" t="n">
        <f aca="false">IF(ISNUMBER(kinematics!J107),kinematics!J107,0)</f>
        <v>6.65995300083971</v>
      </c>
      <c r="P83" s="27" t="n">
        <f aca="false">IF(ISNUMBER(kinematics!L107),kinematics!L107,0)</f>
        <v>592.284587539032</v>
      </c>
      <c r="R83" s="27" t="n">
        <f aca="false">O83</f>
        <v>6.65995300083971</v>
      </c>
      <c r="S83" s="27" t="n">
        <f aca="false">P83</f>
        <v>592.284587539032</v>
      </c>
    </row>
    <row r="84" customFormat="false" ht="12.75" hidden="false" customHeight="false" outlineLevel="0" collapsed="false">
      <c r="C84" s="27" t="n">
        <f aca="false">IF(ISNUMBER(kinematics!D108),kinematics!D108,MAX(kinematics!$D$30:$D$210))</f>
        <v>156.899</v>
      </c>
      <c r="D84" s="205" t="n">
        <f aca="false">IF(ISNUMBER(kinematics!D108),kinematics!B108,0)</f>
        <v>78</v>
      </c>
      <c r="E84" s="27" t="n">
        <f aca="false">IF(ISNUMBER(kinematics!J108),kinematics!J108,0)</f>
        <v>6.12371097546916</v>
      </c>
      <c r="I84" s="27" t="n">
        <f aca="false">C84</f>
        <v>156.899</v>
      </c>
      <c r="J84" s="205" t="n">
        <f aca="false">IF(ISNUMBER(kinematics!D108),kinematics!F108,0)</f>
        <v>19.3543788522567</v>
      </c>
      <c r="K84" s="27" t="n">
        <f aca="false">IF(ISNUMBER(kinematics!L108),kinematics!L108,0)</f>
        <v>595.845621147743</v>
      </c>
      <c r="M84" s="205" t="n">
        <f aca="false">IF(ISNUMBER(kinematics!D108),kinematics!B108,MAX($D$6:$D$186))</f>
        <v>78</v>
      </c>
      <c r="N84" s="205" t="n">
        <f aca="false">IF(ISNUMBER(kinematics!D108),kinematics!F108,0)</f>
        <v>19.3543788522567</v>
      </c>
      <c r="O84" s="205" t="n">
        <f aca="false">IF(ISNUMBER(kinematics!J108),kinematics!J108,0)</f>
        <v>6.12371097546916</v>
      </c>
      <c r="P84" s="27" t="n">
        <f aca="false">IF(ISNUMBER(kinematics!L108),kinematics!L108,0)</f>
        <v>595.845621147743</v>
      </c>
      <c r="R84" s="27" t="n">
        <f aca="false">O84</f>
        <v>6.12371097546916</v>
      </c>
      <c r="S84" s="27" t="n">
        <f aca="false">P84</f>
        <v>595.845621147743</v>
      </c>
    </row>
    <row r="85" customFormat="false" ht="12.75" hidden="false" customHeight="false" outlineLevel="0" collapsed="false">
      <c r="C85" s="27" t="n">
        <f aca="false">IF(ISNUMBER(kinematics!D109),kinematics!D109,MAX(kinematics!$D$30:$D$210))</f>
        <v>158.981</v>
      </c>
      <c r="D85" s="205" t="n">
        <f aca="false">IF(ISNUMBER(kinematics!D109),kinematics!B109,0)</f>
        <v>79</v>
      </c>
      <c r="E85" s="27" t="n">
        <f aca="false">IF(ISNUMBER(kinematics!J109),kinematics!J109,0)</f>
        <v>5.58086009968742</v>
      </c>
      <c r="I85" s="27" t="n">
        <f aca="false">C85</f>
        <v>158.981</v>
      </c>
      <c r="J85" s="205" t="n">
        <f aca="false">IF(ISNUMBER(kinematics!D109),kinematics!F109,0)</f>
        <v>16.0605505394631</v>
      </c>
      <c r="K85" s="27" t="n">
        <f aca="false">IF(ISNUMBER(kinematics!L109),kinematics!L109,0)</f>
        <v>599.139449460537</v>
      </c>
      <c r="M85" s="205" t="n">
        <f aca="false">IF(ISNUMBER(kinematics!D109),kinematics!B109,MAX($D$6:$D$186))</f>
        <v>79</v>
      </c>
      <c r="N85" s="205" t="n">
        <f aca="false">IF(ISNUMBER(kinematics!D109),kinematics!F109,0)</f>
        <v>16.0605505394631</v>
      </c>
      <c r="O85" s="205" t="n">
        <f aca="false">IF(ISNUMBER(kinematics!J109),kinematics!J109,0)</f>
        <v>5.58086009968742</v>
      </c>
      <c r="P85" s="27" t="n">
        <f aca="false">IF(ISNUMBER(kinematics!L109),kinematics!L109,0)</f>
        <v>599.139449460537</v>
      </c>
      <c r="R85" s="27" t="n">
        <f aca="false">O85</f>
        <v>5.58086009968742</v>
      </c>
      <c r="S85" s="27" t="n">
        <f aca="false">P85</f>
        <v>599.139449460537</v>
      </c>
    </row>
    <row r="86" customFormat="false" ht="12.75" hidden="false" customHeight="false" outlineLevel="0" collapsed="false">
      <c r="C86" s="27" t="n">
        <f aca="false">IF(ISNUMBER(kinematics!D110),kinematics!D110,MAX(kinematics!$D$30:$D$210))</f>
        <v>161.083</v>
      </c>
      <c r="D86" s="205" t="n">
        <f aca="false">IF(ISNUMBER(kinematics!D110),kinematics!B110,0)</f>
        <v>80</v>
      </c>
      <c r="E86" s="27" t="n">
        <f aca="false">IF(ISNUMBER(kinematics!J110),kinematics!J110,0)</f>
        <v>5.03023011907749</v>
      </c>
      <c r="I86" s="27" t="n">
        <f aca="false">C86</f>
        <v>161.083</v>
      </c>
      <c r="J86" s="205" t="n">
        <f aca="false">IF(ISNUMBER(kinematics!D110),kinematics!F110,0)</f>
        <v>13.0372057595001</v>
      </c>
      <c r="K86" s="27" t="n">
        <f aca="false">IF(ISNUMBER(kinematics!L110),kinematics!L110,0)</f>
        <v>602.1627942405</v>
      </c>
      <c r="M86" s="205" t="n">
        <f aca="false">IF(ISNUMBER(kinematics!D110),kinematics!B110,MAX($D$6:$D$186))</f>
        <v>80</v>
      </c>
      <c r="N86" s="205" t="n">
        <f aca="false">IF(ISNUMBER(kinematics!D110),kinematics!F110,0)</f>
        <v>13.0372057595001</v>
      </c>
      <c r="O86" s="205" t="n">
        <f aca="false">IF(ISNUMBER(kinematics!J110),kinematics!J110,0)</f>
        <v>5.03023011907749</v>
      </c>
      <c r="P86" s="27" t="n">
        <f aca="false">IF(ISNUMBER(kinematics!L110),kinematics!L110,0)</f>
        <v>602.1627942405</v>
      </c>
      <c r="R86" s="27" t="n">
        <f aca="false">O86</f>
        <v>5.03023011907749</v>
      </c>
      <c r="S86" s="27" t="n">
        <f aca="false">P86</f>
        <v>602.1627942405</v>
      </c>
    </row>
    <row r="87" customFormat="false" ht="12.75" hidden="false" customHeight="false" outlineLevel="0" collapsed="false">
      <c r="C87" s="27" t="n">
        <f aca="false">IF(ISNUMBER(kinematics!D111),kinematics!D111,MAX(kinematics!$D$30:$D$210))</f>
        <v>163.213</v>
      </c>
      <c r="D87" s="205" t="n">
        <f aca="false">IF(ISNUMBER(kinematics!D111),kinematics!B111,0)</f>
        <v>81</v>
      </c>
      <c r="E87" s="27" t="n">
        <f aca="false">IF(ISNUMBER(kinematics!J111),kinematics!J111,0)</f>
        <v>4.46981328424791</v>
      </c>
      <c r="I87" s="27" t="n">
        <f aca="false">C87</f>
        <v>163.213</v>
      </c>
      <c r="J87" s="205" t="n">
        <f aca="false">IF(ISNUMBER(kinematics!D111),kinematics!F111,0)</f>
        <v>10.286788110617</v>
      </c>
      <c r="K87" s="27" t="n">
        <f aca="false">IF(ISNUMBER(kinematics!L111),kinematics!L111,0)</f>
        <v>604.913211889383</v>
      </c>
      <c r="M87" s="205" t="n">
        <f aca="false">IF(ISNUMBER(kinematics!D111),kinematics!B111,MAX($D$6:$D$186))</f>
        <v>81</v>
      </c>
      <c r="N87" s="205" t="n">
        <f aca="false">IF(ISNUMBER(kinematics!D111),kinematics!F111,0)</f>
        <v>10.286788110617</v>
      </c>
      <c r="O87" s="205" t="n">
        <f aca="false">IF(ISNUMBER(kinematics!J111),kinematics!J111,0)</f>
        <v>4.46981328424791</v>
      </c>
      <c r="P87" s="27" t="n">
        <f aca="false">IF(ISNUMBER(kinematics!L111),kinematics!L111,0)</f>
        <v>604.913211889383</v>
      </c>
      <c r="R87" s="27" t="n">
        <f aca="false">O87</f>
        <v>4.46981328424791</v>
      </c>
      <c r="S87" s="27" t="n">
        <f aca="false">P87</f>
        <v>604.913211889383</v>
      </c>
    </row>
    <row r="88" customFormat="false" ht="12.75" hidden="false" customHeight="false" outlineLevel="0" collapsed="false">
      <c r="C88" s="27" t="n">
        <f aca="false">IF(ISNUMBER(kinematics!D112),kinematics!D112,MAX(kinematics!$D$30:$D$210))</f>
        <v>165.385</v>
      </c>
      <c r="D88" s="205" t="n">
        <f aca="false">IF(ISNUMBER(kinematics!D112),kinematics!B112,0)</f>
        <v>82</v>
      </c>
      <c r="E88" s="27" t="n">
        <f aca="false">IF(ISNUMBER(kinematics!J112),kinematics!J112,0)</f>
        <v>3.89598513331273</v>
      </c>
      <c r="I88" s="27" t="n">
        <f aca="false">C88</f>
        <v>165.385</v>
      </c>
      <c r="J88" s="205" t="n">
        <f aca="false">IF(ISNUMBER(kinematics!D112),kinematics!F112,0)</f>
        <v>7.81033432675884</v>
      </c>
      <c r="K88" s="27" t="n">
        <f aca="false">IF(ISNUMBER(kinematics!L112),kinematics!L112,0)</f>
        <v>607.389665673241</v>
      </c>
      <c r="M88" s="205" t="n">
        <f aca="false">IF(ISNUMBER(kinematics!D112),kinematics!B112,MAX($D$6:$D$186))</f>
        <v>82</v>
      </c>
      <c r="N88" s="205" t="n">
        <f aca="false">IF(ISNUMBER(kinematics!D112),kinematics!F112,0)</f>
        <v>7.81033432675884</v>
      </c>
      <c r="O88" s="205" t="n">
        <f aca="false">IF(ISNUMBER(kinematics!J112),kinematics!J112,0)</f>
        <v>3.89598513331273</v>
      </c>
      <c r="P88" s="27" t="n">
        <f aca="false">IF(ISNUMBER(kinematics!L112),kinematics!L112,0)</f>
        <v>607.389665673241</v>
      </c>
      <c r="R88" s="27" t="n">
        <f aca="false">O88</f>
        <v>3.89598513331273</v>
      </c>
      <c r="S88" s="27" t="n">
        <f aca="false">P88</f>
        <v>607.389665673241</v>
      </c>
    </row>
    <row r="89" customFormat="false" ht="12.75" hidden="false" customHeight="false" outlineLevel="0" collapsed="false">
      <c r="C89" s="27" t="n">
        <f aca="false">IF(ISNUMBER(kinematics!D113),kinematics!D113,MAX(kinematics!$D$30:$D$210))</f>
        <v>167.628</v>
      </c>
      <c r="D89" s="205" t="n">
        <f aca="false">IF(ISNUMBER(kinematics!D113),kinematics!B113,0)</f>
        <v>83</v>
      </c>
      <c r="E89" s="27" t="n">
        <f aca="false">IF(ISNUMBER(kinematics!J113),kinematics!J113,0)</f>
        <v>3.3015367138135</v>
      </c>
      <c r="I89" s="27" t="n">
        <f aca="false">C89</f>
        <v>167.628</v>
      </c>
      <c r="J89" s="205" t="n">
        <f aca="false">IF(ISNUMBER(kinematics!D113),kinematics!F113,0)</f>
        <v>5.60590368319346</v>
      </c>
      <c r="K89" s="27" t="n">
        <f aca="false">IF(ISNUMBER(kinematics!L113),kinematics!L113,0)</f>
        <v>609.594096316807</v>
      </c>
      <c r="M89" s="205" t="n">
        <f aca="false">IF(ISNUMBER(kinematics!D113),kinematics!B113,MAX($D$6:$D$186))</f>
        <v>83</v>
      </c>
      <c r="N89" s="205" t="n">
        <f aca="false">IF(ISNUMBER(kinematics!D113),kinematics!F113,0)</f>
        <v>5.60590368319346</v>
      </c>
      <c r="O89" s="205" t="n">
        <f aca="false">IF(ISNUMBER(kinematics!J113),kinematics!J113,0)</f>
        <v>3.3015367138135</v>
      </c>
      <c r="P89" s="27" t="n">
        <f aca="false">IF(ISNUMBER(kinematics!L113),kinematics!L113,0)</f>
        <v>609.594096316807</v>
      </c>
      <c r="R89" s="27" t="n">
        <f aca="false">O89</f>
        <v>3.3015367138135</v>
      </c>
      <c r="S89" s="27" t="n">
        <f aca="false">P89</f>
        <v>609.594096316807</v>
      </c>
    </row>
    <row r="90" customFormat="false" ht="12.75" hidden="false" customHeight="false" outlineLevel="0" collapsed="false">
      <c r="C90" s="27" t="n">
        <f aca="false">IF(ISNUMBER(kinematics!D114),kinematics!D114,MAX(kinematics!$D$30:$D$210))</f>
        <v>170.007</v>
      </c>
      <c r="D90" s="205" t="n">
        <f aca="false">IF(ISNUMBER(kinematics!D114),kinematics!B114,0)</f>
        <v>84</v>
      </c>
      <c r="E90" s="27" t="n">
        <f aca="false">IF(ISNUMBER(kinematics!J114),kinematics!J114,0)</f>
        <v>2.66927162020123</v>
      </c>
      <c r="I90" s="27" t="n">
        <f aca="false">C90</f>
        <v>170.007</v>
      </c>
      <c r="J90" s="205" t="n">
        <f aca="false">IF(ISNUMBER(kinematics!D114),kinematics!F114,0)</f>
        <v>3.66294870751838</v>
      </c>
      <c r="K90" s="27" t="n">
        <f aca="false">IF(ISNUMBER(kinematics!L114),kinematics!L114,0)</f>
        <v>611.537051292482</v>
      </c>
      <c r="M90" s="205" t="n">
        <f aca="false">IF(ISNUMBER(kinematics!D114),kinematics!B114,MAX($D$6:$D$186))</f>
        <v>84</v>
      </c>
      <c r="N90" s="205" t="n">
        <f aca="false">IF(ISNUMBER(kinematics!D114),kinematics!F114,0)</f>
        <v>3.66294870751838</v>
      </c>
      <c r="O90" s="205" t="n">
        <f aca="false">IF(ISNUMBER(kinematics!J114),kinematics!J114,0)</f>
        <v>2.66927162020123</v>
      </c>
      <c r="P90" s="27" t="n">
        <f aca="false">IF(ISNUMBER(kinematics!L114),kinematics!L114,0)</f>
        <v>611.537051292482</v>
      </c>
      <c r="R90" s="27" t="n">
        <f aca="false">O90</f>
        <v>2.66927162020123</v>
      </c>
      <c r="S90" s="27" t="n">
        <f aca="false">P90</f>
        <v>611.537051292482</v>
      </c>
    </row>
    <row r="91" customFormat="false" ht="12.75" hidden="false" customHeight="false" outlineLevel="0" collapsed="false">
      <c r="C91" s="27" t="n">
        <f aca="false">IF(ISNUMBER(kinematics!D115),kinematics!D115,MAX(kinematics!$D$30:$D$210))</f>
        <v>172.758</v>
      </c>
      <c r="D91" s="205" t="n">
        <f aca="false">IF(ISNUMBER(kinematics!D115),kinematics!B115,0)</f>
        <v>85</v>
      </c>
      <c r="E91" s="27" t="n">
        <f aca="false">IF(ISNUMBER(kinematics!J115),kinematics!J115,0)</f>
        <v>1.93609456039971</v>
      </c>
      <c r="I91" s="27" t="n">
        <f aca="false">C91</f>
        <v>172.758</v>
      </c>
      <c r="J91" s="205" t="n">
        <f aca="false">IF(ISNUMBER(kinematics!D115),kinematics!F115,0)</f>
        <v>1.92676332206793</v>
      </c>
      <c r="K91" s="27" t="n">
        <f aca="false">IF(ISNUMBER(kinematics!L115),kinematics!L115,0)</f>
        <v>613.273236677932</v>
      </c>
      <c r="M91" s="205" t="n">
        <f aca="false">IF(ISNUMBER(kinematics!D115),kinematics!B115,MAX($D$6:$D$186))</f>
        <v>85</v>
      </c>
      <c r="N91" s="205" t="n">
        <f aca="false">IF(ISNUMBER(kinematics!D115),kinematics!F115,0)</f>
        <v>1.92676332206793</v>
      </c>
      <c r="O91" s="205" t="n">
        <f aca="false">IF(ISNUMBER(kinematics!J115),kinematics!J115,0)</f>
        <v>1.93609456039971</v>
      </c>
      <c r="P91" s="27" t="n">
        <f aca="false">IF(ISNUMBER(kinematics!L115),kinematics!L115,0)</f>
        <v>613.273236677932</v>
      </c>
      <c r="R91" s="27" t="n">
        <f aca="false">O91</f>
        <v>1.93609456039971</v>
      </c>
      <c r="S91" s="27" t="n">
        <f aca="false">P91</f>
        <v>613.273236677932</v>
      </c>
    </row>
    <row r="92" customFormat="false" ht="12.75" hidden="false" customHeight="false" outlineLevel="0" collapsed="false">
      <c r="C92" s="27" t="n">
        <f aca="false">IF(ISNUMBER(kinematics!D116),kinematics!D116,MAX(kinematics!$D$30:$D$210))</f>
        <v>172.758</v>
      </c>
      <c r="D92" s="205" t="n">
        <f aca="false">IF(ISNUMBER(kinematics!D116),kinematics!B116,0)</f>
        <v>0</v>
      </c>
      <c r="E92" s="27" t="n">
        <f aca="false">IF(ISNUMBER(kinematics!J116),kinematics!J116,0)</f>
        <v>0</v>
      </c>
      <c r="I92" s="27" t="n">
        <f aca="false">C92</f>
        <v>172.758</v>
      </c>
      <c r="J92" s="205" t="n">
        <f aca="false">IF(ISNUMBER(kinematics!D116),kinematics!F116,0)</f>
        <v>0</v>
      </c>
      <c r="K92" s="27" t="n">
        <f aca="false">IF(ISNUMBER(kinematics!L116),kinematics!L116,0)</f>
        <v>0</v>
      </c>
      <c r="M92" s="205" t="n">
        <f aca="false">IF(ISNUMBER(kinematics!D116),kinematics!B116,MAX($D$6:$D$186))</f>
        <v>85</v>
      </c>
      <c r="N92" s="205" t="n">
        <f aca="false">IF(ISNUMBER(kinematics!D116),kinematics!F116,0)</f>
        <v>0</v>
      </c>
      <c r="O92" s="205" t="n">
        <f aca="false">IF(ISNUMBER(kinematics!J116),kinematics!J116,0)</f>
        <v>0</v>
      </c>
      <c r="P92" s="27" t="n">
        <f aca="false">IF(ISNUMBER(kinematics!L116),kinematics!L116,0)</f>
        <v>0</v>
      </c>
      <c r="R92" s="27" t="n">
        <f aca="false">O92</f>
        <v>0</v>
      </c>
      <c r="S92" s="27" t="n">
        <f aca="false">P92</f>
        <v>0</v>
      </c>
    </row>
    <row r="93" customFormat="false" ht="12.75" hidden="false" customHeight="false" outlineLevel="0" collapsed="false">
      <c r="C93" s="27" t="n">
        <f aca="false">IF(ISNUMBER(kinematics!D117),kinematics!D117,MAX(kinematics!$D$30:$D$210))</f>
        <v>172.758</v>
      </c>
      <c r="D93" s="205" t="n">
        <f aca="false">IF(ISNUMBER(kinematics!D117),kinematics!B117,0)</f>
        <v>0</v>
      </c>
      <c r="E93" s="27" t="n">
        <f aca="false">IF(ISNUMBER(kinematics!J117),kinematics!J117,0)</f>
        <v>0</v>
      </c>
      <c r="I93" s="27" t="n">
        <f aca="false">C93</f>
        <v>172.758</v>
      </c>
      <c r="J93" s="205" t="n">
        <f aca="false">IF(ISNUMBER(kinematics!D117),kinematics!F117,0)</f>
        <v>0</v>
      </c>
      <c r="K93" s="27" t="n">
        <f aca="false">IF(ISNUMBER(kinematics!L117),kinematics!L117,0)</f>
        <v>0</v>
      </c>
      <c r="M93" s="205" t="n">
        <f aca="false">IF(ISNUMBER(kinematics!D117),kinematics!B117,MAX($D$6:$D$186))</f>
        <v>85</v>
      </c>
      <c r="N93" s="205" t="n">
        <f aca="false">IF(ISNUMBER(kinematics!D117),kinematics!F117,0)</f>
        <v>0</v>
      </c>
      <c r="O93" s="205" t="n">
        <f aca="false">IF(ISNUMBER(kinematics!J117),kinematics!J117,0)</f>
        <v>0</v>
      </c>
      <c r="P93" s="27" t="n">
        <f aca="false">IF(ISNUMBER(kinematics!L117),kinematics!L117,0)</f>
        <v>0</v>
      </c>
      <c r="R93" s="27" t="n">
        <f aca="false">O93</f>
        <v>0</v>
      </c>
      <c r="S93" s="27" t="n">
        <f aca="false">P93</f>
        <v>0</v>
      </c>
    </row>
    <row r="94" customFormat="false" ht="12.75" hidden="false" customHeight="false" outlineLevel="0" collapsed="false">
      <c r="C94" s="27" t="n">
        <f aca="false">IF(ISNUMBER(kinematics!D118),kinematics!D118,MAX(kinematics!$D$30:$D$210))</f>
        <v>172.758</v>
      </c>
      <c r="D94" s="205" t="n">
        <f aca="false">IF(ISNUMBER(kinematics!D118),kinematics!B118,0)</f>
        <v>0</v>
      </c>
      <c r="E94" s="27" t="n">
        <f aca="false">IF(ISNUMBER(kinematics!J118),kinematics!J118,0)</f>
        <v>0</v>
      </c>
      <c r="I94" s="27" t="n">
        <f aca="false">C94</f>
        <v>172.758</v>
      </c>
      <c r="J94" s="205" t="n">
        <f aca="false">IF(ISNUMBER(kinematics!D118),kinematics!F118,0)</f>
        <v>0</v>
      </c>
      <c r="K94" s="27" t="n">
        <f aca="false">IF(ISNUMBER(kinematics!L118),kinematics!L118,0)</f>
        <v>0</v>
      </c>
      <c r="M94" s="205" t="n">
        <f aca="false">IF(ISNUMBER(kinematics!D118),kinematics!B118,MAX($D$6:$D$186))</f>
        <v>85</v>
      </c>
      <c r="N94" s="205" t="n">
        <f aca="false">IF(ISNUMBER(kinematics!D118),kinematics!F118,0)</f>
        <v>0</v>
      </c>
      <c r="O94" s="205" t="n">
        <f aca="false">IF(ISNUMBER(kinematics!J118),kinematics!J118,0)</f>
        <v>0</v>
      </c>
      <c r="P94" s="27" t="n">
        <f aca="false">IF(ISNUMBER(kinematics!L118),kinematics!L118,0)</f>
        <v>0</v>
      </c>
      <c r="R94" s="27" t="n">
        <f aca="false">O94</f>
        <v>0</v>
      </c>
      <c r="S94" s="27" t="n">
        <f aca="false">P94</f>
        <v>0</v>
      </c>
    </row>
    <row r="95" customFormat="false" ht="12.75" hidden="false" customHeight="false" outlineLevel="0" collapsed="false">
      <c r="C95" s="27" t="n">
        <f aca="false">IF(ISNUMBER(kinematics!D119),kinematics!D119,MAX(kinematics!$D$30:$D$210))</f>
        <v>172.758</v>
      </c>
      <c r="D95" s="205" t="n">
        <f aca="false">IF(ISNUMBER(kinematics!D119),kinematics!B119,0)</f>
        <v>0</v>
      </c>
      <c r="E95" s="27" t="n">
        <f aca="false">IF(ISNUMBER(kinematics!J119),kinematics!J119,0)</f>
        <v>0</v>
      </c>
      <c r="I95" s="27" t="n">
        <f aca="false">C95</f>
        <v>172.758</v>
      </c>
      <c r="J95" s="205" t="n">
        <f aca="false">IF(ISNUMBER(kinematics!D119),kinematics!F119,0)</f>
        <v>0</v>
      </c>
      <c r="K95" s="27" t="n">
        <f aca="false">IF(ISNUMBER(kinematics!L119),kinematics!L119,0)</f>
        <v>0</v>
      </c>
      <c r="M95" s="205" t="n">
        <f aca="false">IF(ISNUMBER(kinematics!D119),kinematics!B119,MAX($D$6:$D$186))</f>
        <v>85</v>
      </c>
      <c r="N95" s="205" t="n">
        <f aca="false">IF(ISNUMBER(kinematics!D119),kinematics!F119,0)</f>
        <v>0</v>
      </c>
      <c r="O95" s="205" t="n">
        <f aca="false">IF(ISNUMBER(kinematics!J119),kinematics!J119,0)</f>
        <v>0</v>
      </c>
      <c r="P95" s="27" t="n">
        <f aca="false">IF(ISNUMBER(kinematics!L119),kinematics!L119,0)</f>
        <v>0</v>
      </c>
      <c r="R95" s="27" t="n">
        <f aca="false">O95</f>
        <v>0</v>
      </c>
      <c r="S95" s="27" t="n">
        <f aca="false">P95</f>
        <v>0</v>
      </c>
    </row>
    <row r="96" customFormat="false" ht="12.75" hidden="false" customHeight="false" outlineLevel="0" collapsed="false">
      <c r="C96" s="27" t="n">
        <f aca="false">IF(ISNUMBER(kinematics!D120),kinematics!D120,MAX(kinematics!$D$30:$D$210))</f>
        <v>172.758</v>
      </c>
      <c r="D96" s="205" t="n">
        <f aca="false">IF(ISNUMBER(kinematics!D120),kinematics!B120,0)</f>
        <v>0</v>
      </c>
      <c r="E96" s="27" t="n">
        <f aca="false">IF(ISNUMBER(kinematics!J120),kinematics!J120,0)</f>
        <v>0</v>
      </c>
      <c r="I96" s="27" t="n">
        <f aca="false">C96</f>
        <v>172.758</v>
      </c>
      <c r="J96" s="205" t="n">
        <f aca="false">IF(ISNUMBER(kinematics!D120),kinematics!F120,0)</f>
        <v>0</v>
      </c>
      <c r="K96" s="27" t="n">
        <f aca="false">IF(ISNUMBER(kinematics!L120),kinematics!L120,0)</f>
        <v>0</v>
      </c>
      <c r="M96" s="205" t="n">
        <f aca="false">IF(ISNUMBER(kinematics!D120),kinematics!B120,MAX($D$6:$D$186))</f>
        <v>85</v>
      </c>
      <c r="N96" s="205" t="n">
        <f aca="false">IF(ISNUMBER(kinematics!D120),kinematics!F120,0)</f>
        <v>0</v>
      </c>
      <c r="O96" s="205" t="n">
        <f aca="false">IF(ISNUMBER(kinematics!J120),kinematics!J120,0)</f>
        <v>0</v>
      </c>
      <c r="P96" s="27" t="n">
        <f aca="false">IF(ISNUMBER(kinematics!L120),kinematics!L120,0)</f>
        <v>0</v>
      </c>
      <c r="R96" s="27" t="n">
        <f aca="false">O96</f>
        <v>0</v>
      </c>
      <c r="S96" s="27" t="n">
        <f aca="false">P96</f>
        <v>0</v>
      </c>
    </row>
    <row r="97" customFormat="false" ht="12.75" hidden="false" customHeight="false" outlineLevel="0" collapsed="false">
      <c r="C97" s="27" t="n">
        <f aca="false">IF(ISNUMBER(kinematics!D121),kinematics!D121,MAX(kinematics!$D$30:$D$210))</f>
        <v>172.758</v>
      </c>
      <c r="D97" s="205" t="n">
        <f aca="false">IF(ISNUMBER(kinematics!D121),kinematics!B121,0)</f>
        <v>0</v>
      </c>
      <c r="E97" s="27" t="n">
        <f aca="false">IF(ISNUMBER(kinematics!J121),kinematics!J121,0)</f>
        <v>0</v>
      </c>
      <c r="I97" s="27" t="n">
        <f aca="false">C97</f>
        <v>172.758</v>
      </c>
      <c r="J97" s="205" t="n">
        <f aca="false">IF(ISNUMBER(kinematics!D121),kinematics!F121,0)</f>
        <v>0</v>
      </c>
      <c r="K97" s="27" t="n">
        <f aca="false">IF(ISNUMBER(kinematics!L121),kinematics!L121,0)</f>
        <v>0</v>
      </c>
      <c r="M97" s="205" t="n">
        <f aca="false">IF(ISNUMBER(kinematics!D121),kinematics!B121,MAX($D$6:$D$186))</f>
        <v>85</v>
      </c>
      <c r="N97" s="205" t="n">
        <f aca="false">IF(ISNUMBER(kinematics!D121),kinematics!F121,0)</f>
        <v>0</v>
      </c>
      <c r="O97" s="205" t="n">
        <f aca="false">IF(ISNUMBER(kinematics!J121),kinematics!J121,0)</f>
        <v>0</v>
      </c>
      <c r="P97" s="27" t="n">
        <f aca="false">IF(ISNUMBER(kinematics!L121),kinematics!L121,0)</f>
        <v>0</v>
      </c>
      <c r="R97" s="27" t="n">
        <f aca="false">O97</f>
        <v>0</v>
      </c>
      <c r="S97" s="27" t="n">
        <f aca="false">P97</f>
        <v>0</v>
      </c>
    </row>
    <row r="98" customFormat="false" ht="12.75" hidden="false" customHeight="false" outlineLevel="0" collapsed="false">
      <c r="C98" s="27" t="n">
        <f aca="false">IF(ISNUMBER(kinematics!D122),kinematics!D122,MAX(kinematics!$D$30:$D$210))</f>
        <v>172.758</v>
      </c>
      <c r="D98" s="205" t="n">
        <f aca="false">IF(ISNUMBER(kinematics!D122),kinematics!B122,0)</f>
        <v>0</v>
      </c>
      <c r="E98" s="27" t="n">
        <f aca="false">IF(ISNUMBER(kinematics!J122),kinematics!J122,0)</f>
        <v>0</v>
      </c>
      <c r="I98" s="27" t="n">
        <f aca="false">C98</f>
        <v>172.758</v>
      </c>
      <c r="J98" s="205" t="n">
        <f aca="false">IF(ISNUMBER(kinematics!D122),kinematics!F122,0)</f>
        <v>0</v>
      </c>
      <c r="K98" s="27" t="n">
        <f aca="false">IF(ISNUMBER(kinematics!L122),kinematics!L122,0)</f>
        <v>0</v>
      </c>
      <c r="M98" s="205" t="n">
        <f aca="false">IF(ISNUMBER(kinematics!D122),kinematics!B122,MAX($D$6:$D$186))</f>
        <v>85</v>
      </c>
      <c r="N98" s="205" t="n">
        <f aca="false">IF(ISNUMBER(kinematics!D122),kinematics!F122,0)</f>
        <v>0</v>
      </c>
      <c r="O98" s="205" t="n">
        <f aca="false">IF(ISNUMBER(kinematics!J122),kinematics!J122,0)</f>
        <v>0</v>
      </c>
      <c r="P98" s="27" t="n">
        <f aca="false">IF(ISNUMBER(kinematics!L122),kinematics!L122,0)</f>
        <v>0</v>
      </c>
      <c r="R98" s="27" t="n">
        <f aca="false">O98</f>
        <v>0</v>
      </c>
      <c r="S98" s="27" t="n">
        <f aca="false">P98</f>
        <v>0</v>
      </c>
    </row>
    <row r="99" customFormat="false" ht="12.75" hidden="false" customHeight="false" outlineLevel="0" collapsed="false">
      <c r="C99" s="27" t="n">
        <f aca="false">IF(ISNUMBER(kinematics!D123),kinematics!D123,MAX(kinematics!$D$30:$D$210))</f>
        <v>172.758</v>
      </c>
      <c r="D99" s="205" t="n">
        <f aca="false">IF(ISNUMBER(kinematics!D123),kinematics!B123,0)</f>
        <v>0</v>
      </c>
      <c r="E99" s="27" t="n">
        <f aca="false">IF(ISNUMBER(kinematics!J123),kinematics!J123,0)</f>
        <v>0</v>
      </c>
      <c r="I99" s="27" t="n">
        <f aca="false">C99</f>
        <v>172.758</v>
      </c>
      <c r="J99" s="205" t="n">
        <f aca="false">IF(ISNUMBER(kinematics!D123),kinematics!F123,0)</f>
        <v>0</v>
      </c>
      <c r="K99" s="27" t="n">
        <f aca="false">IF(ISNUMBER(kinematics!L123),kinematics!L123,0)</f>
        <v>0</v>
      </c>
      <c r="M99" s="205" t="n">
        <f aca="false">IF(ISNUMBER(kinematics!D123),kinematics!B123,MAX($D$6:$D$186))</f>
        <v>85</v>
      </c>
      <c r="N99" s="205" t="n">
        <f aca="false">IF(ISNUMBER(kinematics!D123),kinematics!F123,0)</f>
        <v>0</v>
      </c>
      <c r="O99" s="205" t="n">
        <f aca="false">IF(ISNUMBER(kinematics!J123),kinematics!J123,0)</f>
        <v>0</v>
      </c>
      <c r="P99" s="27" t="n">
        <f aca="false">IF(ISNUMBER(kinematics!L123),kinematics!L123,0)</f>
        <v>0</v>
      </c>
      <c r="R99" s="27" t="n">
        <f aca="false">O99</f>
        <v>0</v>
      </c>
      <c r="S99" s="27" t="n">
        <f aca="false">P99</f>
        <v>0</v>
      </c>
    </row>
    <row r="100" customFormat="false" ht="12.75" hidden="false" customHeight="false" outlineLevel="0" collapsed="false">
      <c r="C100" s="27" t="n">
        <f aca="false">IF(ISNUMBER(kinematics!D124),kinematics!D124,MAX(kinematics!$D$30:$D$210))</f>
        <v>172.758</v>
      </c>
      <c r="D100" s="205" t="n">
        <f aca="false">IF(ISNUMBER(kinematics!D124),kinematics!B124,0)</f>
        <v>0</v>
      </c>
      <c r="E100" s="27" t="n">
        <f aca="false">IF(ISNUMBER(kinematics!J124),kinematics!J124,0)</f>
        <v>0</v>
      </c>
      <c r="I100" s="27" t="n">
        <f aca="false">C100</f>
        <v>172.758</v>
      </c>
      <c r="J100" s="205" t="n">
        <f aca="false">IF(ISNUMBER(kinematics!D124),kinematics!F124,0)</f>
        <v>0</v>
      </c>
      <c r="K100" s="27" t="n">
        <f aca="false">IF(ISNUMBER(kinematics!L124),kinematics!L124,0)</f>
        <v>0</v>
      </c>
      <c r="M100" s="205" t="n">
        <f aca="false">IF(ISNUMBER(kinematics!D124),kinematics!B124,MAX($D$6:$D$186))</f>
        <v>85</v>
      </c>
      <c r="N100" s="205" t="n">
        <f aca="false">IF(ISNUMBER(kinematics!D124),kinematics!F124,0)</f>
        <v>0</v>
      </c>
      <c r="O100" s="205" t="n">
        <f aca="false">IF(ISNUMBER(kinematics!J124),kinematics!J124,0)</f>
        <v>0</v>
      </c>
      <c r="P100" s="27" t="n">
        <f aca="false">IF(ISNUMBER(kinematics!L124),kinematics!L124,0)</f>
        <v>0</v>
      </c>
      <c r="R100" s="27" t="n">
        <f aca="false">O100</f>
        <v>0</v>
      </c>
      <c r="S100" s="27" t="n">
        <f aca="false">P100</f>
        <v>0</v>
      </c>
    </row>
    <row r="101" customFormat="false" ht="12.75" hidden="false" customHeight="false" outlineLevel="0" collapsed="false">
      <c r="C101" s="27" t="n">
        <f aca="false">IF(ISNUMBER(kinematics!D125),kinematics!D125,MAX(kinematics!$D$30:$D$210))</f>
        <v>172.758</v>
      </c>
      <c r="D101" s="205" t="n">
        <f aca="false">IF(ISNUMBER(kinematics!D125),kinematics!B125,0)</f>
        <v>0</v>
      </c>
      <c r="E101" s="27" t="n">
        <f aca="false">IF(ISNUMBER(kinematics!J125),kinematics!J125,0)</f>
        <v>0</v>
      </c>
      <c r="I101" s="27" t="n">
        <f aca="false">C101</f>
        <v>172.758</v>
      </c>
      <c r="J101" s="205" t="n">
        <f aca="false">IF(ISNUMBER(kinematics!D125),kinematics!F125,0)</f>
        <v>0</v>
      </c>
      <c r="K101" s="27" t="n">
        <f aca="false">IF(ISNUMBER(kinematics!L125),kinematics!L125,0)</f>
        <v>0</v>
      </c>
      <c r="M101" s="205" t="n">
        <f aca="false">IF(ISNUMBER(kinematics!D125),kinematics!B125,MAX($D$6:$D$186))</f>
        <v>85</v>
      </c>
      <c r="N101" s="205" t="n">
        <f aca="false">IF(ISNUMBER(kinematics!D125),kinematics!F125,0)</f>
        <v>0</v>
      </c>
      <c r="O101" s="205" t="n">
        <f aca="false">IF(ISNUMBER(kinematics!J125),kinematics!J125,0)</f>
        <v>0</v>
      </c>
      <c r="P101" s="27" t="n">
        <f aca="false">IF(ISNUMBER(kinematics!L125),kinematics!L125,0)</f>
        <v>0</v>
      </c>
      <c r="R101" s="27" t="n">
        <f aca="false">O101</f>
        <v>0</v>
      </c>
      <c r="S101" s="27" t="n">
        <f aca="false">P101</f>
        <v>0</v>
      </c>
    </row>
    <row r="102" customFormat="false" ht="12.75" hidden="false" customHeight="false" outlineLevel="0" collapsed="false">
      <c r="C102" s="27" t="n">
        <f aca="false">IF(ISNUMBER(kinematics!D126),kinematics!D126,MAX(kinematics!$D$30:$D$210))</f>
        <v>172.758</v>
      </c>
      <c r="D102" s="205" t="n">
        <f aca="false">IF(ISNUMBER(kinematics!D126),kinematics!B126,0)</f>
        <v>0</v>
      </c>
      <c r="E102" s="27" t="n">
        <f aca="false">IF(ISNUMBER(kinematics!J126),kinematics!J126,0)</f>
        <v>0</v>
      </c>
      <c r="I102" s="27" t="n">
        <f aca="false">C102</f>
        <v>172.758</v>
      </c>
      <c r="J102" s="205" t="n">
        <f aca="false">IF(ISNUMBER(kinematics!D126),kinematics!F126,0)</f>
        <v>0</v>
      </c>
      <c r="K102" s="27" t="n">
        <f aca="false">IF(ISNUMBER(kinematics!L126),kinematics!L126,0)</f>
        <v>0</v>
      </c>
      <c r="M102" s="205" t="n">
        <f aca="false">IF(ISNUMBER(kinematics!D126),kinematics!B126,MAX($D$6:$D$186))</f>
        <v>85</v>
      </c>
      <c r="N102" s="205" t="n">
        <f aca="false">IF(ISNUMBER(kinematics!D126),kinematics!F126,0)</f>
        <v>0</v>
      </c>
      <c r="O102" s="205" t="n">
        <f aca="false">IF(ISNUMBER(kinematics!J126),kinematics!J126,0)</f>
        <v>0</v>
      </c>
      <c r="P102" s="27" t="n">
        <f aca="false">IF(ISNUMBER(kinematics!L126),kinematics!L126,0)</f>
        <v>0</v>
      </c>
      <c r="R102" s="27" t="n">
        <f aca="false">O102</f>
        <v>0</v>
      </c>
      <c r="S102" s="27" t="n">
        <f aca="false">P102</f>
        <v>0</v>
      </c>
    </row>
    <row r="103" customFormat="false" ht="12.75" hidden="false" customHeight="false" outlineLevel="0" collapsed="false">
      <c r="C103" s="27" t="n">
        <f aca="false">IF(ISNUMBER(kinematics!D127),kinematics!D127,MAX(kinematics!$D$30:$D$210))</f>
        <v>172.758</v>
      </c>
      <c r="D103" s="205" t="n">
        <f aca="false">IF(ISNUMBER(kinematics!D127),kinematics!B127,0)</f>
        <v>0</v>
      </c>
      <c r="E103" s="27" t="n">
        <f aca="false">IF(ISNUMBER(kinematics!J127),kinematics!J127,0)</f>
        <v>0</v>
      </c>
      <c r="I103" s="27" t="n">
        <f aca="false">C103</f>
        <v>172.758</v>
      </c>
      <c r="J103" s="205" t="n">
        <f aca="false">IF(ISNUMBER(kinematics!D127),kinematics!F127,0)</f>
        <v>0</v>
      </c>
      <c r="K103" s="27" t="n">
        <f aca="false">IF(ISNUMBER(kinematics!L127),kinematics!L127,0)</f>
        <v>0</v>
      </c>
      <c r="M103" s="205" t="n">
        <f aca="false">IF(ISNUMBER(kinematics!D127),kinematics!B127,MAX($D$6:$D$186))</f>
        <v>85</v>
      </c>
      <c r="N103" s="205" t="n">
        <f aca="false">IF(ISNUMBER(kinematics!D127),kinematics!F127,0)</f>
        <v>0</v>
      </c>
      <c r="O103" s="205" t="n">
        <f aca="false">IF(ISNUMBER(kinematics!J127),kinematics!J127,0)</f>
        <v>0</v>
      </c>
      <c r="P103" s="27" t="n">
        <f aca="false">IF(ISNUMBER(kinematics!L127),kinematics!L127,0)</f>
        <v>0</v>
      </c>
      <c r="R103" s="27" t="n">
        <f aca="false">O103</f>
        <v>0</v>
      </c>
      <c r="S103" s="27" t="n">
        <f aca="false">P103</f>
        <v>0</v>
      </c>
    </row>
    <row r="104" customFormat="false" ht="12.75" hidden="false" customHeight="false" outlineLevel="0" collapsed="false">
      <c r="C104" s="27" t="n">
        <f aca="false">IF(ISNUMBER(kinematics!D128),kinematics!D128,MAX(kinematics!$D$30:$D$210))</f>
        <v>172.758</v>
      </c>
      <c r="D104" s="205" t="n">
        <f aca="false">IF(ISNUMBER(kinematics!D128),kinematics!B128,0)</f>
        <v>0</v>
      </c>
      <c r="E104" s="27" t="n">
        <f aca="false">IF(ISNUMBER(kinematics!J128),kinematics!J128,0)</f>
        <v>0</v>
      </c>
      <c r="I104" s="27" t="n">
        <f aca="false">C104</f>
        <v>172.758</v>
      </c>
      <c r="J104" s="205" t="n">
        <f aca="false">IF(ISNUMBER(kinematics!D128),kinematics!F128,0)</f>
        <v>0</v>
      </c>
      <c r="K104" s="27" t="n">
        <f aca="false">IF(ISNUMBER(kinematics!L128),kinematics!L128,0)</f>
        <v>0</v>
      </c>
      <c r="M104" s="205" t="n">
        <f aca="false">IF(ISNUMBER(kinematics!D128),kinematics!B128,MAX($D$6:$D$186))</f>
        <v>85</v>
      </c>
      <c r="N104" s="205" t="n">
        <f aca="false">IF(ISNUMBER(kinematics!D128),kinematics!F128,0)</f>
        <v>0</v>
      </c>
      <c r="O104" s="205" t="n">
        <f aca="false">IF(ISNUMBER(kinematics!J128),kinematics!J128,0)</f>
        <v>0</v>
      </c>
      <c r="P104" s="27" t="n">
        <f aca="false">IF(ISNUMBER(kinematics!L128),kinematics!L128,0)</f>
        <v>0</v>
      </c>
      <c r="R104" s="27" t="n">
        <f aca="false">O104</f>
        <v>0</v>
      </c>
      <c r="S104" s="27" t="n">
        <f aca="false">P104</f>
        <v>0</v>
      </c>
    </row>
    <row r="105" customFormat="false" ht="12.75" hidden="false" customHeight="false" outlineLevel="0" collapsed="false">
      <c r="C105" s="27" t="n">
        <f aca="false">IF(ISNUMBER(kinematics!D129),kinematics!D129,MAX(kinematics!$D$30:$D$210))</f>
        <v>172.758</v>
      </c>
      <c r="D105" s="205" t="n">
        <f aca="false">IF(ISNUMBER(kinematics!D129),kinematics!B129,0)</f>
        <v>0</v>
      </c>
      <c r="E105" s="27" t="n">
        <f aca="false">IF(ISNUMBER(kinematics!J129),kinematics!J129,0)</f>
        <v>0</v>
      </c>
      <c r="I105" s="27" t="n">
        <f aca="false">C105</f>
        <v>172.758</v>
      </c>
      <c r="J105" s="205" t="n">
        <f aca="false">IF(ISNUMBER(kinematics!D129),kinematics!F129,0)</f>
        <v>0</v>
      </c>
      <c r="K105" s="27" t="n">
        <f aca="false">IF(ISNUMBER(kinematics!L129),kinematics!L129,0)</f>
        <v>0</v>
      </c>
      <c r="M105" s="205" t="n">
        <f aca="false">IF(ISNUMBER(kinematics!D129),kinematics!B129,MAX($D$6:$D$186))</f>
        <v>85</v>
      </c>
      <c r="N105" s="205" t="n">
        <f aca="false">IF(ISNUMBER(kinematics!D129),kinematics!F129,0)</f>
        <v>0</v>
      </c>
      <c r="O105" s="205" t="n">
        <f aca="false">IF(ISNUMBER(kinematics!J129),kinematics!J129,0)</f>
        <v>0</v>
      </c>
      <c r="P105" s="27" t="n">
        <f aca="false">IF(ISNUMBER(kinematics!L129),kinematics!L129,0)</f>
        <v>0</v>
      </c>
      <c r="R105" s="27" t="n">
        <f aca="false">O105</f>
        <v>0</v>
      </c>
      <c r="S105" s="27" t="n">
        <f aca="false">P105</f>
        <v>0</v>
      </c>
    </row>
    <row r="106" customFormat="false" ht="12.75" hidden="false" customHeight="false" outlineLevel="0" collapsed="false">
      <c r="C106" s="27" t="n">
        <f aca="false">IF(ISNUMBER(kinematics!D130),kinematics!D130,MAX(kinematics!$D$30:$D$210))</f>
        <v>172.758</v>
      </c>
      <c r="D106" s="205" t="n">
        <f aca="false">IF(ISNUMBER(kinematics!D130),kinematics!B130,0)</f>
        <v>0</v>
      </c>
      <c r="E106" s="27" t="n">
        <f aca="false">IF(ISNUMBER(kinematics!J130),kinematics!J130,0)</f>
        <v>0</v>
      </c>
      <c r="I106" s="27" t="n">
        <f aca="false">C106</f>
        <v>172.758</v>
      </c>
      <c r="J106" s="205" t="n">
        <f aca="false">IF(ISNUMBER(kinematics!D130),kinematics!F130,0)</f>
        <v>0</v>
      </c>
      <c r="K106" s="27" t="n">
        <f aca="false">IF(ISNUMBER(kinematics!L130),kinematics!L130,0)</f>
        <v>0</v>
      </c>
      <c r="M106" s="205" t="n">
        <f aca="false">IF(ISNUMBER(kinematics!D130),kinematics!B130,MAX($D$6:$D$186))</f>
        <v>85</v>
      </c>
      <c r="N106" s="205" t="n">
        <f aca="false">IF(ISNUMBER(kinematics!D130),kinematics!F130,0)</f>
        <v>0</v>
      </c>
      <c r="O106" s="205" t="n">
        <f aca="false">IF(ISNUMBER(kinematics!J130),kinematics!J130,0)</f>
        <v>0</v>
      </c>
      <c r="P106" s="27" t="n">
        <f aca="false">IF(ISNUMBER(kinematics!L130),kinematics!L130,0)</f>
        <v>0</v>
      </c>
      <c r="R106" s="27" t="n">
        <f aca="false">O106</f>
        <v>0</v>
      </c>
      <c r="S106" s="27" t="n">
        <f aca="false">P106</f>
        <v>0</v>
      </c>
    </row>
    <row r="107" customFormat="false" ht="12.75" hidden="false" customHeight="false" outlineLevel="0" collapsed="false">
      <c r="C107" s="27" t="n">
        <f aca="false">IF(ISNUMBER(kinematics!D131),kinematics!D131,MAX(kinematics!$D$30:$D$210))</f>
        <v>172.758</v>
      </c>
      <c r="D107" s="205" t="n">
        <f aca="false">IF(ISNUMBER(kinematics!D131),kinematics!B131,0)</f>
        <v>0</v>
      </c>
      <c r="E107" s="27" t="n">
        <f aca="false">IF(ISNUMBER(kinematics!J131),kinematics!J131,0)</f>
        <v>0</v>
      </c>
      <c r="I107" s="27" t="n">
        <f aca="false">C107</f>
        <v>172.758</v>
      </c>
      <c r="J107" s="205" t="n">
        <f aca="false">IF(ISNUMBER(kinematics!D131),kinematics!F131,0)</f>
        <v>0</v>
      </c>
      <c r="K107" s="27" t="n">
        <f aca="false">IF(ISNUMBER(kinematics!L131),kinematics!L131,0)</f>
        <v>0</v>
      </c>
      <c r="M107" s="205" t="n">
        <f aca="false">IF(ISNUMBER(kinematics!D131),kinematics!B131,MAX($D$6:$D$186))</f>
        <v>85</v>
      </c>
      <c r="N107" s="205" t="n">
        <f aca="false">IF(ISNUMBER(kinematics!D131),kinematics!F131,0)</f>
        <v>0</v>
      </c>
      <c r="O107" s="205" t="n">
        <f aca="false">IF(ISNUMBER(kinematics!J131),kinematics!J131,0)</f>
        <v>0</v>
      </c>
      <c r="P107" s="27" t="n">
        <f aca="false">IF(ISNUMBER(kinematics!L131),kinematics!L131,0)</f>
        <v>0</v>
      </c>
      <c r="R107" s="27" t="n">
        <f aca="false">O107</f>
        <v>0</v>
      </c>
      <c r="S107" s="27" t="n">
        <f aca="false">P107</f>
        <v>0</v>
      </c>
    </row>
    <row r="108" customFormat="false" ht="12.75" hidden="false" customHeight="false" outlineLevel="0" collapsed="false">
      <c r="C108" s="27" t="n">
        <f aca="false">IF(ISNUMBER(kinematics!D132),kinematics!D132,MAX(kinematics!$D$30:$D$210))</f>
        <v>172.758</v>
      </c>
      <c r="D108" s="205" t="n">
        <f aca="false">IF(ISNUMBER(kinematics!D132),kinematics!B132,0)</f>
        <v>0</v>
      </c>
      <c r="E108" s="27" t="n">
        <f aca="false">IF(ISNUMBER(kinematics!J132),kinematics!J132,0)</f>
        <v>0</v>
      </c>
      <c r="I108" s="27" t="n">
        <f aca="false">C108</f>
        <v>172.758</v>
      </c>
      <c r="J108" s="205" t="n">
        <f aca="false">IF(ISNUMBER(kinematics!D132),kinematics!F132,0)</f>
        <v>0</v>
      </c>
      <c r="K108" s="27" t="n">
        <f aca="false">IF(ISNUMBER(kinematics!L132),kinematics!L132,0)</f>
        <v>0</v>
      </c>
      <c r="M108" s="205" t="n">
        <f aca="false">IF(ISNUMBER(kinematics!D132),kinematics!B132,MAX($D$6:$D$186))</f>
        <v>85</v>
      </c>
      <c r="N108" s="205" t="n">
        <f aca="false">IF(ISNUMBER(kinematics!D132),kinematics!F132,0)</f>
        <v>0</v>
      </c>
      <c r="O108" s="205" t="n">
        <f aca="false">IF(ISNUMBER(kinematics!J132),kinematics!J132,0)</f>
        <v>0</v>
      </c>
      <c r="P108" s="27" t="n">
        <f aca="false">IF(ISNUMBER(kinematics!L132),kinematics!L132,0)</f>
        <v>0</v>
      </c>
      <c r="R108" s="27" t="n">
        <f aca="false">O108</f>
        <v>0</v>
      </c>
      <c r="S108" s="27" t="n">
        <f aca="false">P108</f>
        <v>0</v>
      </c>
    </row>
    <row r="109" customFormat="false" ht="12.75" hidden="false" customHeight="false" outlineLevel="0" collapsed="false">
      <c r="C109" s="27" t="n">
        <f aca="false">IF(ISNUMBER(kinematics!D133),kinematics!D133,MAX(kinematics!$D$30:$D$210))</f>
        <v>172.758</v>
      </c>
      <c r="D109" s="205" t="n">
        <f aca="false">IF(ISNUMBER(kinematics!D133),kinematics!B133,0)</f>
        <v>0</v>
      </c>
      <c r="E109" s="27" t="n">
        <f aca="false">IF(ISNUMBER(kinematics!J133),kinematics!J133,0)</f>
        <v>0</v>
      </c>
      <c r="I109" s="27" t="n">
        <f aca="false">C109</f>
        <v>172.758</v>
      </c>
      <c r="J109" s="205" t="n">
        <f aca="false">IF(ISNUMBER(kinematics!D133),kinematics!F133,0)</f>
        <v>0</v>
      </c>
      <c r="K109" s="27" t="n">
        <f aca="false">IF(ISNUMBER(kinematics!L133),kinematics!L133,0)</f>
        <v>0</v>
      </c>
      <c r="M109" s="205" t="n">
        <f aca="false">IF(ISNUMBER(kinematics!D133),kinematics!B133,MAX($D$6:$D$186))</f>
        <v>85</v>
      </c>
      <c r="N109" s="205" t="n">
        <f aca="false">IF(ISNUMBER(kinematics!D133),kinematics!F133,0)</f>
        <v>0</v>
      </c>
      <c r="O109" s="205" t="n">
        <f aca="false">IF(ISNUMBER(kinematics!J133),kinematics!J133,0)</f>
        <v>0</v>
      </c>
      <c r="P109" s="27" t="n">
        <f aca="false">IF(ISNUMBER(kinematics!L133),kinematics!L133,0)</f>
        <v>0</v>
      </c>
      <c r="R109" s="27" t="n">
        <f aca="false">O109</f>
        <v>0</v>
      </c>
      <c r="S109" s="27" t="n">
        <f aca="false">P109</f>
        <v>0</v>
      </c>
    </row>
    <row r="110" customFormat="false" ht="12.75" hidden="false" customHeight="false" outlineLevel="0" collapsed="false">
      <c r="C110" s="27" t="n">
        <f aca="false">IF(ISNUMBER(kinematics!D134),kinematics!D134,MAX(kinematics!$D$30:$D$210))</f>
        <v>172.758</v>
      </c>
      <c r="D110" s="205" t="n">
        <f aca="false">IF(ISNUMBER(kinematics!D134),kinematics!B134,0)</f>
        <v>0</v>
      </c>
      <c r="E110" s="27" t="n">
        <f aca="false">IF(ISNUMBER(kinematics!J134),kinematics!J134,0)</f>
        <v>0</v>
      </c>
      <c r="I110" s="27" t="n">
        <f aca="false">C110</f>
        <v>172.758</v>
      </c>
      <c r="J110" s="205" t="n">
        <f aca="false">IF(ISNUMBER(kinematics!D134),kinematics!F134,0)</f>
        <v>0</v>
      </c>
      <c r="K110" s="27" t="n">
        <f aca="false">IF(ISNUMBER(kinematics!L134),kinematics!L134,0)</f>
        <v>0</v>
      </c>
      <c r="M110" s="205" t="n">
        <f aca="false">IF(ISNUMBER(kinematics!D134),kinematics!B134,MAX($D$6:$D$186))</f>
        <v>85</v>
      </c>
      <c r="N110" s="205" t="n">
        <f aca="false">IF(ISNUMBER(kinematics!D134),kinematics!F134,0)</f>
        <v>0</v>
      </c>
      <c r="O110" s="205" t="n">
        <f aca="false">IF(ISNUMBER(kinematics!J134),kinematics!J134,0)</f>
        <v>0</v>
      </c>
      <c r="P110" s="27" t="n">
        <f aca="false">IF(ISNUMBER(kinematics!L134),kinematics!L134,0)</f>
        <v>0</v>
      </c>
      <c r="R110" s="27" t="n">
        <f aca="false">O110</f>
        <v>0</v>
      </c>
      <c r="S110" s="27" t="n">
        <f aca="false">P110</f>
        <v>0</v>
      </c>
    </row>
    <row r="111" customFormat="false" ht="12.75" hidden="false" customHeight="false" outlineLevel="0" collapsed="false">
      <c r="C111" s="27" t="n">
        <f aca="false">IF(ISNUMBER(kinematics!D135),kinematics!D135,MAX(kinematics!$D$30:$D$210))</f>
        <v>172.758</v>
      </c>
      <c r="D111" s="205" t="n">
        <f aca="false">IF(ISNUMBER(kinematics!D135),kinematics!B135,0)</f>
        <v>0</v>
      </c>
      <c r="E111" s="27" t="n">
        <f aca="false">IF(ISNUMBER(kinematics!J135),kinematics!J135,0)</f>
        <v>0</v>
      </c>
      <c r="I111" s="27" t="n">
        <f aca="false">C111</f>
        <v>172.758</v>
      </c>
      <c r="J111" s="205" t="n">
        <f aca="false">IF(ISNUMBER(kinematics!D135),kinematics!F135,0)</f>
        <v>0</v>
      </c>
      <c r="K111" s="27" t="n">
        <f aca="false">IF(ISNUMBER(kinematics!L135),kinematics!L135,0)</f>
        <v>0</v>
      </c>
      <c r="M111" s="205" t="n">
        <f aca="false">IF(ISNUMBER(kinematics!D135),kinematics!B135,MAX($D$6:$D$186))</f>
        <v>85</v>
      </c>
      <c r="N111" s="205" t="n">
        <f aca="false">IF(ISNUMBER(kinematics!D135),kinematics!F135,0)</f>
        <v>0</v>
      </c>
      <c r="O111" s="205" t="n">
        <f aca="false">IF(ISNUMBER(kinematics!J135),kinematics!J135,0)</f>
        <v>0</v>
      </c>
      <c r="P111" s="27" t="n">
        <f aca="false">IF(ISNUMBER(kinematics!L135),kinematics!L135,0)</f>
        <v>0</v>
      </c>
      <c r="R111" s="27" t="n">
        <f aca="false">O111</f>
        <v>0</v>
      </c>
      <c r="S111" s="27" t="n">
        <f aca="false">P111</f>
        <v>0</v>
      </c>
    </row>
    <row r="112" customFormat="false" ht="12.75" hidden="false" customHeight="false" outlineLevel="0" collapsed="false">
      <c r="C112" s="27" t="n">
        <f aca="false">IF(ISNUMBER(kinematics!D136),kinematics!D136,MAX(kinematics!$D$30:$D$210))</f>
        <v>172.758</v>
      </c>
      <c r="D112" s="205" t="n">
        <f aca="false">IF(ISNUMBER(kinematics!D136),kinematics!B136,0)</f>
        <v>0</v>
      </c>
      <c r="E112" s="27" t="n">
        <f aca="false">IF(ISNUMBER(kinematics!J136),kinematics!J136,0)</f>
        <v>0</v>
      </c>
      <c r="I112" s="27" t="n">
        <f aca="false">C112</f>
        <v>172.758</v>
      </c>
      <c r="J112" s="205" t="n">
        <f aca="false">IF(ISNUMBER(kinematics!D136),kinematics!F136,0)</f>
        <v>0</v>
      </c>
      <c r="K112" s="27" t="n">
        <f aca="false">IF(ISNUMBER(kinematics!L136),kinematics!L136,0)</f>
        <v>0</v>
      </c>
      <c r="M112" s="205" t="n">
        <f aca="false">IF(ISNUMBER(kinematics!D136),kinematics!B136,MAX($D$6:$D$186))</f>
        <v>85</v>
      </c>
      <c r="N112" s="205" t="n">
        <f aca="false">IF(ISNUMBER(kinematics!D136),kinematics!F136,0)</f>
        <v>0</v>
      </c>
      <c r="O112" s="205" t="n">
        <f aca="false">IF(ISNUMBER(kinematics!J136),kinematics!J136,0)</f>
        <v>0</v>
      </c>
      <c r="P112" s="27" t="n">
        <f aca="false">IF(ISNUMBER(kinematics!L136),kinematics!L136,0)</f>
        <v>0</v>
      </c>
      <c r="R112" s="27" t="n">
        <f aca="false">O112</f>
        <v>0</v>
      </c>
      <c r="S112" s="27" t="n">
        <f aca="false">P112</f>
        <v>0</v>
      </c>
    </row>
    <row r="113" customFormat="false" ht="12.75" hidden="false" customHeight="false" outlineLevel="0" collapsed="false">
      <c r="C113" s="27" t="n">
        <f aca="false">IF(ISNUMBER(kinematics!D137),kinematics!D137,MAX(kinematics!$D$30:$D$210))</f>
        <v>172.758</v>
      </c>
      <c r="D113" s="205" t="n">
        <f aca="false">IF(ISNUMBER(kinematics!D137),kinematics!B137,0)</f>
        <v>0</v>
      </c>
      <c r="E113" s="27" t="n">
        <f aca="false">IF(ISNUMBER(kinematics!J137),kinematics!J137,0)</f>
        <v>0</v>
      </c>
      <c r="I113" s="27" t="n">
        <f aca="false">C113</f>
        <v>172.758</v>
      </c>
      <c r="J113" s="205" t="n">
        <f aca="false">IF(ISNUMBER(kinematics!D137),kinematics!F137,0)</f>
        <v>0</v>
      </c>
      <c r="K113" s="27" t="n">
        <f aca="false">IF(ISNUMBER(kinematics!L137),kinematics!L137,0)</f>
        <v>0</v>
      </c>
      <c r="M113" s="205" t="n">
        <f aca="false">IF(ISNUMBER(kinematics!D137),kinematics!B137,MAX($D$6:$D$186))</f>
        <v>85</v>
      </c>
      <c r="N113" s="205" t="n">
        <f aca="false">IF(ISNUMBER(kinematics!D137),kinematics!F137,0)</f>
        <v>0</v>
      </c>
      <c r="O113" s="205" t="n">
        <f aca="false">IF(ISNUMBER(kinematics!J137),kinematics!J137,0)</f>
        <v>0</v>
      </c>
      <c r="P113" s="27" t="n">
        <f aca="false">IF(ISNUMBER(kinematics!L137),kinematics!L137,0)</f>
        <v>0</v>
      </c>
      <c r="R113" s="27" t="n">
        <f aca="false">O113</f>
        <v>0</v>
      </c>
      <c r="S113" s="27" t="n">
        <f aca="false">P113</f>
        <v>0</v>
      </c>
    </row>
    <row r="114" customFormat="false" ht="12.75" hidden="false" customHeight="false" outlineLevel="0" collapsed="false">
      <c r="C114" s="27" t="n">
        <f aca="false">IF(ISNUMBER(kinematics!D138),kinematics!D138,MAX(kinematics!$D$30:$D$210))</f>
        <v>172.758</v>
      </c>
      <c r="D114" s="205" t="n">
        <f aca="false">IF(ISNUMBER(kinematics!D138),kinematics!B138,0)</f>
        <v>0</v>
      </c>
      <c r="E114" s="27" t="n">
        <f aca="false">IF(ISNUMBER(kinematics!J138),kinematics!J138,0)</f>
        <v>0</v>
      </c>
      <c r="I114" s="27" t="n">
        <f aca="false">C114</f>
        <v>172.758</v>
      </c>
      <c r="J114" s="205" t="n">
        <f aca="false">IF(ISNUMBER(kinematics!D138),kinematics!F138,0)</f>
        <v>0</v>
      </c>
      <c r="K114" s="27" t="n">
        <f aca="false">IF(ISNUMBER(kinematics!L138),kinematics!L138,0)</f>
        <v>0</v>
      </c>
      <c r="M114" s="205" t="n">
        <f aca="false">IF(ISNUMBER(kinematics!D138),kinematics!B138,MAX($D$6:$D$186))</f>
        <v>85</v>
      </c>
      <c r="N114" s="205" t="n">
        <f aca="false">IF(ISNUMBER(kinematics!D138),kinematics!F138,0)</f>
        <v>0</v>
      </c>
      <c r="O114" s="205" t="n">
        <f aca="false">IF(ISNUMBER(kinematics!J138),kinematics!J138,0)</f>
        <v>0</v>
      </c>
      <c r="P114" s="27" t="n">
        <f aca="false">IF(ISNUMBER(kinematics!L138),kinematics!L138,0)</f>
        <v>0</v>
      </c>
      <c r="R114" s="27" t="n">
        <f aca="false">O114</f>
        <v>0</v>
      </c>
      <c r="S114" s="27" t="n">
        <f aca="false">P114</f>
        <v>0</v>
      </c>
    </row>
    <row r="115" customFormat="false" ht="12.75" hidden="false" customHeight="false" outlineLevel="0" collapsed="false">
      <c r="C115" s="27" t="n">
        <f aca="false">IF(ISNUMBER(kinematics!D139),kinematics!D139,MAX(kinematics!$D$30:$D$210))</f>
        <v>172.758</v>
      </c>
      <c r="D115" s="205" t="n">
        <f aca="false">IF(ISNUMBER(kinematics!D139),kinematics!B139,0)</f>
        <v>0</v>
      </c>
      <c r="E115" s="27" t="n">
        <f aca="false">IF(ISNUMBER(kinematics!J139),kinematics!J139,0)</f>
        <v>0</v>
      </c>
      <c r="I115" s="27" t="n">
        <f aca="false">C115</f>
        <v>172.758</v>
      </c>
      <c r="J115" s="205" t="n">
        <f aca="false">IF(ISNUMBER(kinematics!D139),kinematics!F139,0)</f>
        <v>0</v>
      </c>
      <c r="K115" s="27" t="n">
        <f aca="false">IF(ISNUMBER(kinematics!L139),kinematics!L139,0)</f>
        <v>0</v>
      </c>
      <c r="M115" s="205" t="n">
        <f aca="false">IF(ISNUMBER(kinematics!D139),kinematics!B139,MAX($D$6:$D$186))</f>
        <v>85</v>
      </c>
      <c r="N115" s="205" t="n">
        <f aca="false">IF(ISNUMBER(kinematics!D139),kinematics!F139,0)</f>
        <v>0</v>
      </c>
      <c r="O115" s="205" t="n">
        <f aca="false">IF(ISNUMBER(kinematics!J139),kinematics!J139,0)</f>
        <v>0</v>
      </c>
      <c r="P115" s="27" t="n">
        <f aca="false">IF(ISNUMBER(kinematics!L139),kinematics!L139,0)</f>
        <v>0</v>
      </c>
      <c r="R115" s="27" t="n">
        <f aca="false">O115</f>
        <v>0</v>
      </c>
      <c r="S115" s="27" t="n">
        <f aca="false">P115</f>
        <v>0</v>
      </c>
    </row>
    <row r="116" customFormat="false" ht="12.75" hidden="false" customHeight="false" outlineLevel="0" collapsed="false">
      <c r="C116" s="27" t="n">
        <f aca="false">IF(ISNUMBER(kinematics!D140),kinematics!D140,MAX(kinematics!$D$30:$D$210))</f>
        <v>172.758</v>
      </c>
      <c r="D116" s="205" t="n">
        <f aca="false">IF(ISNUMBER(kinematics!D140),kinematics!B140,0)</f>
        <v>0</v>
      </c>
      <c r="E116" s="27" t="n">
        <f aca="false">IF(ISNUMBER(kinematics!J140),kinematics!J140,0)</f>
        <v>0</v>
      </c>
      <c r="I116" s="27" t="n">
        <f aca="false">C116</f>
        <v>172.758</v>
      </c>
      <c r="J116" s="205" t="n">
        <f aca="false">IF(ISNUMBER(kinematics!D140),kinematics!F140,0)</f>
        <v>0</v>
      </c>
      <c r="K116" s="27" t="n">
        <f aca="false">IF(ISNUMBER(kinematics!L140),kinematics!L140,0)</f>
        <v>0</v>
      </c>
      <c r="M116" s="205" t="n">
        <f aca="false">IF(ISNUMBER(kinematics!D140),kinematics!B140,MAX($D$6:$D$186))</f>
        <v>85</v>
      </c>
      <c r="N116" s="205" t="n">
        <f aca="false">IF(ISNUMBER(kinematics!D140),kinematics!F140,0)</f>
        <v>0</v>
      </c>
      <c r="O116" s="205" t="n">
        <f aca="false">IF(ISNUMBER(kinematics!J140),kinematics!J140,0)</f>
        <v>0</v>
      </c>
      <c r="P116" s="27" t="n">
        <f aca="false">IF(ISNUMBER(kinematics!L140),kinematics!L140,0)</f>
        <v>0</v>
      </c>
      <c r="R116" s="27" t="n">
        <f aca="false">O116</f>
        <v>0</v>
      </c>
      <c r="S116" s="27" t="n">
        <f aca="false">P116</f>
        <v>0</v>
      </c>
    </row>
    <row r="117" customFormat="false" ht="12.75" hidden="false" customHeight="false" outlineLevel="0" collapsed="false">
      <c r="C117" s="27" t="n">
        <f aca="false">IF(ISNUMBER(kinematics!D141),kinematics!D141,MAX(kinematics!$D$30:$D$210))</f>
        <v>172.758</v>
      </c>
      <c r="D117" s="205" t="n">
        <f aca="false">IF(ISNUMBER(kinematics!D141),kinematics!B141,0)</f>
        <v>0</v>
      </c>
      <c r="E117" s="27" t="n">
        <f aca="false">IF(ISNUMBER(kinematics!J141),kinematics!J141,0)</f>
        <v>0</v>
      </c>
      <c r="I117" s="27" t="n">
        <f aca="false">C117</f>
        <v>172.758</v>
      </c>
      <c r="J117" s="205" t="n">
        <f aca="false">IF(ISNUMBER(kinematics!D141),kinematics!F141,0)</f>
        <v>0</v>
      </c>
      <c r="K117" s="27" t="n">
        <f aca="false">IF(ISNUMBER(kinematics!L141),kinematics!L141,0)</f>
        <v>0</v>
      </c>
      <c r="M117" s="205" t="n">
        <f aca="false">IF(ISNUMBER(kinematics!D141),kinematics!B141,MAX($D$6:$D$186))</f>
        <v>85</v>
      </c>
      <c r="N117" s="205" t="n">
        <f aca="false">IF(ISNUMBER(kinematics!D141),kinematics!F141,0)</f>
        <v>0</v>
      </c>
      <c r="O117" s="205" t="n">
        <f aca="false">IF(ISNUMBER(kinematics!J141),kinematics!J141,0)</f>
        <v>0</v>
      </c>
      <c r="P117" s="27" t="n">
        <f aca="false">IF(ISNUMBER(kinematics!L141),kinematics!L141,0)</f>
        <v>0</v>
      </c>
      <c r="R117" s="27" t="n">
        <f aca="false">O117</f>
        <v>0</v>
      </c>
      <c r="S117" s="27" t="n">
        <f aca="false">P117</f>
        <v>0</v>
      </c>
    </row>
    <row r="118" customFormat="false" ht="12.75" hidden="false" customHeight="false" outlineLevel="0" collapsed="false">
      <c r="C118" s="27" t="n">
        <f aca="false">IF(ISNUMBER(kinematics!D142),kinematics!D142,MAX(kinematics!$D$30:$D$210))</f>
        <v>172.758</v>
      </c>
      <c r="D118" s="205" t="n">
        <f aca="false">IF(ISNUMBER(kinematics!D142),kinematics!B142,0)</f>
        <v>0</v>
      </c>
      <c r="E118" s="27" t="n">
        <f aca="false">IF(ISNUMBER(kinematics!J142),kinematics!J142,0)</f>
        <v>0</v>
      </c>
      <c r="I118" s="27" t="n">
        <f aca="false">C118</f>
        <v>172.758</v>
      </c>
      <c r="J118" s="205" t="n">
        <f aca="false">IF(ISNUMBER(kinematics!D142),kinematics!F142,0)</f>
        <v>0</v>
      </c>
      <c r="K118" s="27" t="n">
        <f aca="false">IF(ISNUMBER(kinematics!L142),kinematics!L142,0)</f>
        <v>0</v>
      </c>
      <c r="M118" s="205" t="n">
        <f aca="false">IF(ISNUMBER(kinematics!D142),kinematics!B142,MAX($D$6:$D$186))</f>
        <v>85</v>
      </c>
      <c r="N118" s="205" t="n">
        <f aca="false">IF(ISNUMBER(kinematics!D142),kinematics!F142,0)</f>
        <v>0</v>
      </c>
      <c r="O118" s="205" t="n">
        <f aca="false">IF(ISNUMBER(kinematics!J142),kinematics!J142,0)</f>
        <v>0</v>
      </c>
      <c r="P118" s="27" t="n">
        <f aca="false">IF(ISNUMBER(kinematics!L142),kinematics!L142,0)</f>
        <v>0</v>
      </c>
      <c r="R118" s="27" t="n">
        <f aca="false">O118</f>
        <v>0</v>
      </c>
      <c r="S118" s="27" t="n">
        <f aca="false">P118</f>
        <v>0</v>
      </c>
    </row>
    <row r="119" customFormat="false" ht="12.75" hidden="false" customHeight="false" outlineLevel="0" collapsed="false">
      <c r="C119" s="27" t="n">
        <f aca="false">IF(ISNUMBER(kinematics!D143),kinematics!D143,MAX(kinematics!$D$30:$D$210))</f>
        <v>172.758</v>
      </c>
      <c r="D119" s="205" t="n">
        <f aca="false">IF(ISNUMBER(kinematics!D143),kinematics!B143,0)</f>
        <v>0</v>
      </c>
      <c r="E119" s="27" t="n">
        <f aca="false">IF(ISNUMBER(kinematics!J143),kinematics!J143,0)</f>
        <v>0</v>
      </c>
      <c r="I119" s="27" t="n">
        <f aca="false">C119</f>
        <v>172.758</v>
      </c>
      <c r="J119" s="205" t="n">
        <f aca="false">IF(ISNUMBER(kinematics!D143),kinematics!F143,0)</f>
        <v>0</v>
      </c>
      <c r="K119" s="27" t="n">
        <f aca="false">IF(ISNUMBER(kinematics!L143),kinematics!L143,0)</f>
        <v>0</v>
      </c>
      <c r="M119" s="205" t="n">
        <f aca="false">IF(ISNUMBER(kinematics!D143),kinematics!B143,MAX($D$6:$D$186))</f>
        <v>85</v>
      </c>
      <c r="N119" s="205" t="n">
        <f aca="false">IF(ISNUMBER(kinematics!D143),kinematics!F143,0)</f>
        <v>0</v>
      </c>
      <c r="O119" s="205" t="n">
        <f aca="false">IF(ISNUMBER(kinematics!J143),kinematics!J143,0)</f>
        <v>0</v>
      </c>
      <c r="P119" s="27" t="n">
        <f aca="false">IF(ISNUMBER(kinematics!L143),kinematics!L143,0)</f>
        <v>0</v>
      </c>
      <c r="R119" s="27" t="n">
        <f aca="false">O119</f>
        <v>0</v>
      </c>
      <c r="S119" s="27" t="n">
        <f aca="false">P119</f>
        <v>0</v>
      </c>
    </row>
    <row r="120" customFormat="false" ht="12.75" hidden="false" customHeight="false" outlineLevel="0" collapsed="false">
      <c r="C120" s="27" t="n">
        <f aca="false">IF(ISNUMBER(kinematics!D144),kinematics!D144,MAX(kinematics!$D$30:$D$210))</f>
        <v>172.758</v>
      </c>
      <c r="D120" s="205" t="n">
        <f aca="false">IF(ISNUMBER(kinematics!D144),kinematics!B144,0)</f>
        <v>0</v>
      </c>
      <c r="E120" s="27" t="n">
        <f aca="false">IF(ISNUMBER(kinematics!J144),kinematics!J144,0)</f>
        <v>0</v>
      </c>
      <c r="I120" s="27" t="n">
        <f aca="false">C120</f>
        <v>172.758</v>
      </c>
      <c r="J120" s="205" t="n">
        <f aca="false">IF(ISNUMBER(kinematics!D144),kinematics!F144,0)</f>
        <v>0</v>
      </c>
      <c r="K120" s="27" t="n">
        <f aca="false">IF(ISNUMBER(kinematics!L144),kinematics!L144,0)</f>
        <v>0</v>
      </c>
      <c r="M120" s="205" t="n">
        <f aca="false">IF(ISNUMBER(kinematics!D144),kinematics!B144,MAX($D$6:$D$186))</f>
        <v>85</v>
      </c>
      <c r="N120" s="205" t="n">
        <f aca="false">IF(ISNUMBER(kinematics!D144),kinematics!F144,0)</f>
        <v>0</v>
      </c>
      <c r="O120" s="205" t="n">
        <f aca="false">IF(ISNUMBER(kinematics!J144),kinematics!J144,0)</f>
        <v>0</v>
      </c>
      <c r="P120" s="27" t="n">
        <f aca="false">IF(ISNUMBER(kinematics!L144),kinematics!L144,0)</f>
        <v>0</v>
      </c>
      <c r="R120" s="27" t="n">
        <f aca="false">O120</f>
        <v>0</v>
      </c>
      <c r="S120" s="27" t="n">
        <f aca="false">P120</f>
        <v>0</v>
      </c>
    </row>
    <row r="121" customFormat="false" ht="12.75" hidden="false" customHeight="false" outlineLevel="0" collapsed="false">
      <c r="C121" s="27" t="n">
        <f aca="false">IF(ISNUMBER(kinematics!D145),kinematics!D145,MAX(kinematics!$D$30:$D$210))</f>
        <v>172.758</v>
      </c>
      <c r="D121" s="205" t="n">
        <f aca="false">IF(ISNUMBER(kinematics!D145),kinematics!B145,0)</f>
        <v>0</v>
      </c>
      <c r="E121" s="27" t="n">
        <f aca="false">IF(ISNUMBER(kinematics!J145),kinematics!J145,0)</f>
        <v>0</v>
      </c>
      <c r="I121" s="27" t="n">
        <f aca="false">C121</f>
        <v>172.758</v>
      </c>
      <c r="J121" s="205" t="n">
        <f aca="false">IF(ISNUMBER(kinematics!D145),kinematics!F145,0)</f>
        <v>0</v>
      </c>
      <c r="K121" s="27" t="n">
        <f aca="false">IF(ISNUMBER(kinematics!L145),kinematics!L145,0)</f>
        <v>0</v>
      </c>
      <c r="M121" s="205" t="n">
        <f aca="false">IF(ISNUMBER(kinematics!D145),kinematics!B145,MAX($D$6:$D$186))</f>
        <v>85</v>
      </c>
      <c r="N121" s="205" t="n">
        <f aca="false">IF(ISNUMBER(kinematics!D145),kinematics!F145,0)</f>
        <v>0</v>
      </c>
      <c r="O121" s="205" t="n">
        <f aca="false">IF(ISNUMBER(kinematics!J145),kinematics!J145,0)</f>
        <v>0</v>
      </c>
      <c r="P121" s="27" t="n">
        <f aca="false">IF(ISNUMBER(kinematics!L145),kinematics!L145,0)</f>
        <v>0</v>
      </c>
      <c r="R121" s="27" t="n">
        <f aca="false">O121</f>
        <v>0</v>
      </c>
      <c r="S121" s="27" t="n">
        <f aca="false">P121</f>
        <v>0</v>
      </c>
    </row>
    <row r="122" customFormat="false" ht="12.75" hidden="false" customHeight="false" outlineLevel="0" collapsed="false">
      <c r="C122" s="27" t="n">
        <f aca="false">IF(ISNUMBER(kinematics!D146),kinematics!D146,MAX(kinematics!$D$30:$D$210))</f>
        <v>172.758</v>
      </c>
      <c r="D122" s="205" t="n">
        <f aca="false">IF(ISNUMBER(kinematics!D146),kinematics!B146,0)</f>
        <v>0</v>
      </c>
      <c r="E122" s="27" t="n">
        <f aca="false">IF(ISNUMBER(kinematics!J146),kinematics!J146,0)</f>
        <v>0</v>
      </c>
      <c r="I122" s="27" t="n">
        <f aca="false">C122</f>
        <v>172.758</v>
      </c>
      <c r="J122" s="205" t="n">
        <f aca="false">IF(ISNUMBER(kinematics!D146),kinematics!F146,0)</f>
        <v>0</v>
      </c>
      <c r="K122" s="27" t="n">
        <f aca="false">IF(ISNUMBER(kinematics!L146),kinematics!L146,0)</f>
        <v>0</v>
      </c>
      <c r="M122" s="205" t="n">
        <f aca="false">IF(ISNUMBER(kinematics!D146),kinematics!B146,MAX($D$6:$D$186))</f>
        <v>85</v>
      </c>
      <c r="N122" s="205" t="n">
        <f aca="false">IF(ISNUMBER(kinematics!D146),kinematics!F146,0)</f>
        <v>0</v>
      </c>
      <c r="O122" s="205" t="n">
        <f aca="false">IF(ISNUMBER(kinematics!J146),kinematics!J146,0)</f>
        <v>0</v>
      </c>
      <c r="P122" s="27" t="n">
        <f aca="false">IF(ISNUMBER(kinematics!L146),kinematics!L146,0)</f>
        <v>0</v>
      </c>
      <c r="R122" s="27" t="n">
        <f aca="false">O122</f>
        <v>0</v>
      </c>
      <c r="S122" s="27" t="n">
        <f aca="false">P122</f>
        <v>0</v>
      </c>
    </row>
    <row r="123" customFormat="false" ht="12.75" hidden="false" customHeight="false" outlineLevel="0" collapsed="false">
      <c r="C123" s="27" t="n">
        <f aca="false">IF(ISNUMBER(kinematics!D147),kinematics!D147,MAX(kinematics!$D$30:$D$210))</f>
        <v>172.758</v>
      </c>
      <c r="D123" s="205" t="n">
        <f aca="false">IF(ISNUMBER(kinematics!D147),kinematics!B147,0)</f>
        <v>0</v>
      </c>
      <c r="E123" s="27" t="n">
        <f aca="false">IF(ISNUMBER(kinematics!J147),kinematics!J147,0)</f>
        <v>0</v>
      </c>
      <c r="I123" s="27" t="n">
        <f aca="false">C123</f>
        <v>172.758</v>
      </c>
      <c r="J123" s="205" t="n">
        <f aca="false">IF(ISNUMBER(kinematics!D147),kinematics!F147,0)</f>
        <v>0</v>
      </c>
      <c r="K123" s="27" t="n">
        <f aca="false">IF(ISNUMBER(kinematics!L147),kinematics!L147,0)</f>
        <v>0</v>
      </c>
      <c r="M123" s="205" t="n">
        <f aca="false">IF(ISNUMBER(kinematics!D147),kinematics!B147,MAX($D$6:$D$186))</f>
        <v>85</v>
      </c>
      <c r="N123" s="205" t="n">
        <f aca="false">IF(ISNUMBER(kinematics!D147),kinematics!F147,0)</f>
        <v>0</v>
      </c>
      <c r="O123" s="205" t="n">
        <f aca="false">IF(ISNUMBER(kinematics!J147),kinematics!J147,0)</f>
        <v>0</v>
      </c>
      <c r="P123" s="27" t="n">
        <f aca="false">IF(ISNUMBER(kinematics!L147),kinematics!L147,0)</f>
        <v>0</v>
      </c>
      <c r="R123" s="27" t="n">
        <f aca="false">O123</f>
        <v>0</v>
      </c>
      <c r="S123" s="27" t="n">
        <f aca="false">P123</f>
        <v>0</v>
      </c>
    </row>
    <row r="124" customFormat="false" ht="12.75" hidden="false" customHeight="false" outlineLevel="0" collapsed="false">
      <c r="C124" s="27" t="n">
        <f aca="false">IF(ISNUMBER(kinematics!D148),kinematics!D148,MAX(kinematics!$D$30:$D$210))</f>
        <v>172.758</v>
      </c>
      <c r="D124" s="205" t="n">
        <f aca="false">IF(ISNUMBER(kinematics!D148),kinematics!B148,0)</f>
        <v>0</v>
      </c>
      <c r="E124" s="27" t="n">
        <f aca="false">IF(ISNUMBER(kinematics!J148),kinematics!J148,0)</f>
        <v>0</v>
      </c>
      <c r="I124" s="27" t="n">
        <f aca="false">C124</f>
        <v>172.758</v>
      </c>
      <c r="J124" s="205" t="n">
        <f aca="false">IF(ISNUMBER(kinematics!D148),kinematics!F148,0)</f>
        <v>0</v>
      </c>
      <c r="K124" s="27" t="n">
        <f aca="false">IF(ISNUMBER(kinematics!L148),kinematics!L148,0)</f>
        <v>0</v>
      </c>
      <c r="M124" s="205" t="n">
        <f aca="false">IF(ISNUMBER(kinematics!D148),kinematics!B148,MAX($D$6:$D$186))</f>
        <v>85</v>
      </c>
      <c r="N124" s="205" t="n">
        <f aca="false">IF(ISNUMBER(kinematics!D148),kinematics!F148,0)</f>
        <v>0</v>
      </c>
      <c r="O124" s="205" t="n">
        <f aca="false">IF(ISNUMBER(kinematics!J148),kinematics!J148,0)</f>
        <v>0</v>
      </c>
      <c r="P124" s="27" t="n">
        <f aca="false">IF(ISNUMBER(kinematics!L148),kinematics!L148,0)</f>
        <v>0</v>
      </c>
      <c r="R124" s="27" t="n">
        <f aca="false">O124</f>
        <v>0</v>
      </c>
      <c r="S124" s="27" t="n">
        <f aca="false">P124</f>
        <v>0</v>
      </c>
    </row>
    <row r="125" customFormat="false" ht="12.75" hidden="false" customHeight="false" outlineLevel="0" collapsed="false">
      <c r="C125" s="27" t="n">
        <f aca="false">IF(ISNUMBER(kinematics!D149),kinematics!D149,MAX(kinematics!$D$30:$D$210))</f>
        <v>172.758</v>
      </c>
      <c r="D125" s="205" t="n">
        <f aca="false">IF(ISNUMBER(kinematics!D149),kinematics!B149,0)</f>
        <v>0</v>
      </c>
      <c r="E125" s="27" t="n">
        <f aca="false">IF(ISNUMBER(kinematics!J149),kinematics!J149,0)</f>
        <v>0</v>
      </c>
      <c r="I125" s="27" t="n">
        <f aca="false">C125</f>
        <v>172.758</v>
      </c>
      <c r="J125" s="205" t="n">
        <f aca="false">IF(ISNUMBER(kinematics!D149),kinematics!F149,0)</f>
        <v>0</v>
      </c>
      <c r="K125" s="27" t="n">
        <f aca="false">IF(ISNUMBER(kinematics!L149),kinematics!L149,0)</f>
        <v>0</v>
      </c>
      <c r="M125" s="205" t="n">
        <f aca="false">IF(ISNUMBER(kinematics!D149),kinematics!B149,MAX($D$6:$D$186))</f>
        <v>85</v>
      </c>
      <c r="N125" s="205" t="n">
        <f aca="false">IF(ISNUMBER(kinematics!D149),kinematics!F149,0)</f>
        <v>0</v>
      </c>
      <c r="O125" s="205" t="n">
        <f aca="false">IF(ISNUMBER(kinematics!J149),kinematics!J149,0)</f>
        <v>0</v>
      </c>
      <c r="P125" s="27" t="n">
        <f aca="false">IF(ISNUMBER(kinematics!L149),kinematics!L149,0)</f>
        <v>0</v>
      </c>
      <c r="R125" s="27" t="n">
        <f aca="false">O125</f>
        <v>0</v>
      </c>
      <c r="S125" s="27" t="n">
        <f aca="false">P125</f>
        <v>0</v>
      </c>
    </row>
    <row r="126" customFormat="false" ht="12.75" hidden="false" customHeight="false" outlineLevel="0" collapsed="false">
      <c r="C126" s="27" t="n">
        <f aca="false">IF(ISNUMBER(kinematics!D150),kinematics!D150,MAX(kinematics!$D$30:$D$210))</f>
        <v>172.758</v>
      </c>
      <c r="D126" s="205" t="n">
        <f aca="false">IF(ISNUMBER(kinematics!D150),kinematics!B150,0)</f>
        <v>0</v>
      </c>
      <c r="E126" s="27" t="n">
        <f aca="false">IF(ISNUMBER(kinematics!J150),kinematics!J150,0)</f>
        <v>0</v>
      </c>
      <c r="I126" s="27" t="n">
        <f aca="false">C126</f>
        <v>172.758</v>
      </c>
      <c r="J126" s="205" t="n">
        <f aca="false">IF(ISNUMBER(kinematics!D150),kinematics!F150,0)</f>
        <v>0</v>
      </c>
      <c r="K126" s="27" t="n">
        <f aca="false">IF(ISNUMBER(kinematics!L150),kinematics!L150,0)</f>
        <v>0</v>
      </c>
      <c r="M126" s="205" t="n">
        <f aca="false">IF(ISNUMBER(kinematics!D150),kinematics!B150,MAX($D$6:$D$186))</f>
        <v>85</v>
      </c>
      <c r="N126" s="205" t="n">
        <f aca="false">IF(ISNUMBER(kinematics!D150),kinematics!F150,0)</f>
        <v>0</v>
      </c>
      <c r="O126" s="205" t="n">
        <f aca="false">IF(ISNUMBER(kinematics!J150),kinematics!J150,0)</f>
        <v>0</v>
      </c>
      <c r="P126" s="27" t="n">
        <f aca="false">IF(ISNUMBER(kinematics!L150),kinematics!L150,0)</f>
        <v>0</v>
      </c>
      <c r="R126" s="27" t="n">
        <f aca="false">O126</f>
        <v>0</v>
      </c>
      <c r="S126" s="27" t="n">
        <f aca="false">P126</f>
        <v>0</v>
      </c>
    </row>
    <row r="127" customFormat="false" ht="12.75" hidden="false" customHeight="false" outlineLevel="0" collapsed="false">
      <c r="C127" s="27" t="n">
        <f aca="false">IF(ISNUMBER(kinematics!D151),kinematics!D151,MAX(kinematics!$D$30:$D$210))</f>
        <v>172.758</v>
      </c>
      <c r="D127" s="205" t="n">
        <f aca="false">IF(ISNUMBER(kinematics!D151),kinematics!B151,0)</f>
        <v>0</v>
      </c>
      <c r="E127" s="27" t="n">
        <f aca="false">IF(ISNUMBER(kinematics!J151),kinematics!J151,0)</f>
        <v>0</v>
      </c>
      <c r="I127" s="27" t="n">
        <f aca="false">C127</f>
        <v>172.758</v>
      </c>
      <c r="J127" s="205" t="n">
        <f aca="false">IF(ISNUMBER(kinematics!D151),kinematics!F151,0)</f>
        <v>0</v>
      </c>
      <c r="K127" s="27" t="n">
        <f aca="false">IF(ISNUMBER(kinematics!L151),kinematics!L151,0)</f>
        <v>0</v>
      </c>
      <c r="M127" s="205" t="n">
        <f aca="false">IF(ISNUMBER(kinematics!D151),kinematics!B151,MAX($D$6:$D$186))</f>
        <v>85</v>
      </c>
      <c r="N127" s="205" t="n">
        <f aca="false">IF(ISNUMBER(kinematics!D151),kinematics!F151,0)</f>
        <v>0</v>
      </c>
      <c r="O127" s="205" t="n">
        <f aca="false">IF(ISNUMBER(kinematics!J151),kinematics!J151,0)</f>
        <v>0</v>
      </c>
      <c r="P127" s="27" t="n">
        <f aca="false">IF(ISNUMBER(kinematics!L151),kinematics!L151,0)</f>
        <v>0</v>
      </c>
      <c r="R127" s="27" t="n">
        <f aca="false">O127</f>
        <v>0</v>
      </c>
      <c r="S127" s="27" t="n">
        <f aca="false">P127</f>
        <v>0</v>
      </c>
    </row>
    <row r="128" customFormat="false" ht="12.75" hidden="false" customHeight="false" outlineLevel="0" collapsed="false">
      <c r="C128" s="27" t="n">
        <f aca="false">IF(ISNUMBER(kinematics!D152),kinematics!D152,MAX(kinematics!$D$30:$D$210))</f>
        <v>172.758</v>
      </c>
      <c r="D128" s="205" t="n">
        <f aca="false">IF(ISNUMBER(kinematics!D152),kinematics!B152,0)</f>
        <v>0</v>
      </c>
      <c r="E128" s="27" t="n">
        <f aca="false">IF(ISNUMBER(kinematics!J152),kinematics!J152,0)</f>
        <v>0</v>
      </c>
      <c r="I128" s="27" t="n">
        <f aca="false">C128</f>
        <v>172.758</v>
      </c>
      <c r="J128" s="205" t="n">
        <f aca="false">IF(ISNUMBER(kinematics!D152),kinematics!F152,0)</f>
        <v>0</v>
      </c>
      <c r="K128" s="27" t="n">
        <f aca="false">IF(ISNUMBER(kinematics!L152),kinematics!L152,0)</f>
        <v>0</v>
      </c>
      <c r="M128" s="205" t="n">
        <f aca="false">IF(ISNUMBER(kinematics!D152),kinematics!B152,MAX($D$6:$D$186))</f>
        <v>85</v>
      </c>
      <c r="N128" s="205" t="n">
        <f aca="false">IF(ISNUMBER(kinematics!D152),kinematics!F152,0)</f>
        <v>0</v>
      </c>
      <c r="O128" s="205" t="n">
        <f aca="false">IF(ISNUMBER(kinematics!J152),kinematics!J152,0)</f>
        <v>0</v>
      </c>
      <c r="P128" s="27" t="n">
        <f aca="false">IF(ISNUMBER(kinematics!L152),kinematics!L152,0)</f>
        <v>0</v>
      </c>
      <c r="R128" s="27" t="n">
        <f aca="false">O128</f>
        <v>0</v>
      </c>
      <c r="S128" s="27" t="n">
        <f aca="false">P128</f>
        <v>0</v>
      </c>
    </row>
    <row r="129" customFormat="false" ht="12.75" hidden="false" customHeight="false" outlineLevel="0" collapsed="false">
      <c r="C129" s="27" t="n">
        <f aca="false">IF(ISNUMBER(kinematics!D153),kinematics!D153,MAX(kinematics!$D$30:$D$210))</f>
        <v>172.758</v>
      </c>
      <c r="D129" s="205" t="n">
        <f aca="false">IF(ISNUMBER(kinematics!D153),kinematics!B153,0)</f>
        <v>0</v>
      </c>
      <c r="E129" s="27" t="n">
        <f aca="false">IF(ISNUMBER(kinematics!J153),kinematics!J153,0)</f>
        <v>0</v>
      </c>
      <c r="I129" s="27" t="n">
        <f aca="false">C129</f>
        <v>172.758</v>
      </c>
      <c r="J129" s="205" t="n">
        <f aca="false">IF(ISNUMBER(kinematics!D153),kinematics!F153,0)</f>
        <v>0</v>
      </c>
      <c r="K129" s="27" t="n">
        <f aca="false">IF(ISNUMBER(kinematics!L153),kinematics!L153,0)</f>
        <v>0</v>
      </c>
      <c r="M129" s="205" t="n">
        <f aca="false">IF(ISNUMBER(kinematics!D153),kinematics!B153,MAX($D$6:$D$186))</f>
        <v>85</v>
      </c>
      <c r="N129" s="205" t="n">
        <f aca="false">IF(ISNUMBER(kinematics!D153),kinematics!F153,0)</f>
        <v>0</v>
      </c>
      <c r="O129" s="205" t="n">
        <f aca="false">IF(ISNUMBER(kinematics!J153),kinematics!J153,0)</f>
        <v>0</v>
      </c>
      <c r="P129" s="27" t="n">
        <f aca="false">IF(ISNUMBER(kinematics!L153),kinematics!L153,0)</f>
        <v>0</v>
      </c>
      <c r="R129" s="27" t="n">
        <f aca="false">O129</f>
        <v>0</v>
      </c>
      <c r="S129" s="27" t="n">
        <f aca="false">P129</f>
        <v>0</v>
      </c>
    </row>
    <row r="130" customFormat="false" ht="12.75" hidden="false" customHeight="false" outlineLevel="0" collapsed="false">
      <c r="C130" s="27" t="n">
        <f aca="false">IF(ISNUMBER(kinematics!D154),kinematics!D154,MAX(kinematics!$D$30:$D$210))</f>
        <v>172.758</v>
      </c>
      <c r="D130" s="205" t="n">
        <f aca="false">IF(ISNUMBER(kinematics!D154),kinematics!B154,0)</f>
        <v>0</v>
      </c>
      <c r="E130" s="27" t="n">
        <f aca="false">IF(ISNUMBER(kinematics!J154),kinematics!J154,0)</f>
        <v>0</v>
      </c>
      <c r="I130" s="27" t="n">
        <f aca="false">C130</f>
        <v>172.758</v>
      </c>
      <c r="J130" s="205" t="n">
        <f aca="false">IF(ISNUMBER(kinematics!D154),kinematics!F154,0)</f>
        <v>0</v>
      </c>
      <c r="K130" s="27" t="n">
        <f aca="false">IF(ISNUMBER(kinematics!L154),kinematics!L154,0)</f>
        <v>0</v>
      </c>
      <c r="M130" s="205" t="n">
        <f aca="false">IF(ISNUMBER(kinematics!D154),kinematics!B154,MAX($D$6:$D$186))</f>
        <v>85</v>
      </c>
      <c r="N130" s="205" t="n">
        <f aca="false">IF(ISNUMBER(kinematics!D154),kinematics!F154,0)</f>
        <v>0</v>
      </c>
      <c r="O130" s="205" t="n">
        <f aca="false">IF(ISNUMBER(kinematics!J154),kinematics!J154,0)</f>
        <v>0</v>
      </c>
      <c r="P130" s="27" t="n">
        <f aca="false">IF(ISNUMBER(kinematics!L154),kinematics!L154,0)</f>
        <v>0</v>
      </c>
      <c r="R130" s="27" t="n">
        <f aca="false">O130</f>
        <v>0</v>
      </c>
      <c r="S130" s="27" t="n">
        <f aca="false">P130</f>
        <v>0</v>
      </c>
    </row>
    <row r="131" customFormat="false" ht="12.75" hidden="false" customHeight="false" outlineLevel="0" collapsed="false">
      <c r="C131" s="27" t="n">
        <f aca="false">IF(ISNUMBER(kinematics!D155),kinematics!D155,MAX(kinematics!$D$30:$D$210))</f>
        <v>172.758</v>
      </c>
      <c r="D131" s="205" t="n">
        <f aca="false">IF(ISNUMBER(kinematics!D155),kinematics!B155,0)</f>
        <v>0</v>
      </c>
      <c r="E131" s="27" t="n">
        <f aca="false">IF(ISNUMBER(kinematics!J155),kinematics!J155,0)</f>
        <v>0</v>
      </c>
      <c r="I131" s="27" t="n">
        <f aca="false">C131</f>
        <v>172.758</v>
      </c>
      <c r="J131" s="205" t="n">
        <f aca="false">IF(ISNUMBER(kinematics!D155),kinematics!F155,0)</f>
        <v>0</v>
      </c>
      <c r="K131" s="27" t="n">
        <f aca="false">IF(ISNUMBER(kinematics!L155),kinematics!L155,0)</f>
        <v>0</v>
      </c>
      <c r="M131" s="205" t="n">
        <f aca="false">IF(ISNUMBER(kinematics!D155),kinematics!B155,MAX($D$6:$D$186))</f>
        <v>85</v>
      </c>
      <c r="N131" s="205" t="n">
        <f aca="false">IF(ISNUMBER(kinematics!D155),kinematics!F155,0)</f>
        <v>0</v>
      </c>
      <c r="O131" s="205" t="n">
        <f aca="false">IF(ISNUMBER(kinematics!J155),kinematics!J155,0)</f>
        <v>0</v>
      </c>
      <c r="P131" s="27" t="n">
        <f aca="false">IF(ISNUMBER(kinematics!L155),kinematics!L155,0)</f>
        <v>0</v>
      </c>
      <c r="R131" s="27" t="n">
        <f aca="false">O131</f>
        <v>0</v>
      </c>
      <c r="S131" s="27" t="n">
        <f aca="false">P131</f>
        <v>0</v>
      </c>
    </row>
    <row r="132" customFormat="false" ht="12.75" hidden="false" customHeight="false" outlineLevel="0" collapsed="false">
      <c r="C132" s="27" t="n">
        <f aca="false">IF(ISNUMBER(kinematics!D156),kinematics!D156,MAX(kinematics!$D$30:$D$210))</f>
        <v>172.758</v>
      </c>
      <c r="D132" s="205" t="n">
        <f aca="false">IF(ISNUMBER(kinematics!D156),kinematics!B156,0)</f>
        <v>0</v>
      </c>
      <c r="E132" s="27" t="n">
        <f aca="false">IF(ISNUMBER(kinematics!J156),kinematics!J156,0)</f>
        <v>0</v>
      </c>
      <c r="I132" s="27" t="n">
        <f aca="false">C132</f>
        <v>172.758</v>
      </c>
      <c r="J132" s="205" t="n">
        <f aca="false">IF(ISNUMBER(kinematics!D156),kinematics!F156,0)</f>
        <v>0</v>
      </c>
      <c r="K132" s="27" t="n">
        <f aca="false">IF(ISNUMBER(kinematics!L156),kinematics!L156,0)</f>
        <v>0</v>
      </c>
      <c r="M132" s="205" t="n">
        <f aca="false">IF(ISNUMBER(kinematics!D156),kinematics!B156,MAX($D$6:$D$186))</f>
        <v>85</v>
      </c>
      <c r="N132" s="205" t="n">
        <f aca="false">IF(ISNUMBER(kinematics!D156),kinematics!F156,0)</f>
        <v>0</v>
      </c>
      <c r="O132" s="205" t="n">
        <f aca="false">IF(ISNUMBER(kinematics!J156),kinematics!J156,0)</f>
        <v>0</v>
      </c>
      <c r="P132" s="27" t="n">
        <f aca="false">IF(ISNUMBER(kinematics!L156),kinematics!L156,0)</f>
        <v>0</v>
      </c>
      <c r="R132" s="27" t="n">
        <f aca="false">O132</f>
        <v>0</v>
      </c>
      <c r="S132" s="27" t="n">
        <f aca="false">P132</f>
        <v>0</v>
      </c>
    </row>
    <row r="133" customFormat="false" ht="12.75" hidden="false" customHeight="false" outlineLevel="0" collapsed="false">
      <c r="C133" s="27" t="n">
        <f aca="false">IF(ISNUMBER(kinematics!D157),kinematics!D157,MAX(kinematics!$D$30:$D$210))</f>
        <v>172.758</v>
      </c>
      <c r="D133" s="205" t="n">
        <f aca="false">IF(ISNUMBER(kinematics!D157),kinematics!B157,0)</f>
        <v>0</v>
      </c>
      <c r="E133" s="27" t="n">
        <f aca="false">IF(ISNUMBER(kinematics!J157),kinematics!J157,0)</f>
        <v>0</v>
      </c>
      <c r="I133" s="27" t="n">
        <f aca="false">C133</f>
        <v>172.758</v>
      </c>
      <c r="J133" s="205" t="n">
        <f aca="false">IF(ISNUMBER(kinematics!D157),kinematics!F157,0)</f>
        <v>0</v>
      </c>
      <c r="K133" s="27" t="n">
        <f aca="false">IF(ISNUMBER(kinematics!L157),kinematics!L157,0)</f>
        <v>0</v>
      </c>
      <c r="M133" s="205" t="n">
        <f aca="false">IF(ISNUMBER(kinematics!D157),kinematics!B157,MAX($D$6:$D$186))</f>
        <v>85</v>
      </c>
      <c r="N133" s="205" t="n">
        <f aca="false">IF(ISNUMBER(kinematics!D157),kinematics!F157,0)</f>
        <v>0</v>
      </c>
      <c r="O133" s="205" t="n">
        <f aca="false">IF(ISNUMBER(kinematics!J157),kinematics!J157,0)</f>
        <v>0</v>
      </c>
      <c r="P133" s="27" t="n">
        <f aca="false">IF(ISNUMBER(kinematics!L157),kinematics!L157,0)</f>
        <v>0</v>
      </c>
      <c r="R133" s="27" t="n">
        <f aca="false">O133</f>
        <v>0</v>
      </c>
      <c r="S133" s="27" t="n">
        <f aca="false">P133</f>
        <v>0</v>
      </c>
    </row>
    <row r="134" customFormat="false" ht="12.75" hidden="false" customHeight="false" outlineLevel="0" collapsed="false">
      <c r="C134" s="27" t="n">
        <f aca="false">IF(ISNUMBER(kinematics!D158),kinematics!D158,MAX(kinematics!$D$30:$D$210))</f>
        <v>172.758</v>
      </c>
      <c r="D134" s="205" t="n">
        <f aca="false">IF(ISNUMBER(kinematics!D158),kinematics!B158,0)</f>
        <v>0</v>
      </c>
      <c r="E134" s="27" t="n">
        <f aca="false">IF(ISNUMBER(kinematics!J158),kinematics!J158,0)</f>
        <v>0</v>
      </c>
      <c r="I134" s="27" t="n">
        <f aca="false">C134</f>
        <v>172.758</v>
      </c>
      <c r="J134" s="205" t="n">
        <f aca="false">IF(ISNUMBER(kinematics!D158),kinematics!F158,0)</f>
        <v>0</v>
      </c>
      <c r="K134" s="27" t="n">
        <f aca="false">IF(ISNUMBER(kinematics!L158),kinematics!L158,0)</f>
        <v>0</v>
      </c>
      <c r="M134" s="205" t="n">
        <f aca="false">IF(ISNUMBER(kinematics!D158),kinematics!B158,MAX($D$6:$D$186))</f>
        <v>85</v>
      </c>
      <c r="N134" s="205" t="n">
        <f aca="false">IF(ISNUMBER(kinematics!D158),kinematics!F158,0)</f>
        <v>0</v>
      </c>
      <c r="O134" s="205" t="n">
        <f aca="false">IF(ISNUMBER(kinematics!J158),kinematics!J158,0)</f>
        <v>0</v>
      </c>
      <c r="P134" s="27" t="n">
        <f aca="false">IF(ISNUMBER(kinematics!L158),kinematics!L158,0)</f>
        <v>0</v>
      </c>
      <c r="R134" s="27" t="n">
        <f aca="false">O134</f>
        <v>0</v>
      </c>
      <c r="S134" s="27" t="n">
        <f aca="false">P134</f>
        <v>0</v>
      </c>
    </row>
    <row r="135" customFormat="false" ht="12.75" hidden="false" customHeight="false" outlineLevel="0" collapsed="false">
      <c r="C135" s="27" t="n">
        <f aca="false">IF(ISNUMBER(kinematics!D159),kinematics!D159,MAX(kinematics!$D$30:$D$210))</f>
        <v>172.758</v>
      </c>
      <c r="D135" s="205" t="n">
        <f aca="false">IF(ISNUMBER(kinematics!D159),kinematics!B159,0)</f>
        <v>0</v>
      </c>
      <c r="E135" s="27" t="n">
        <f aca="false">IF(ISNUMBER(kinematics!J159),kinematics!J159,0)</f>
        <v>0</v>
      </c>
      <c r="I135" s="27" t="n">
        <f aca="false">C135</f>
        <v>172.758</v>
      </c>
      <c r="J135" s="205" t="n">
        <f aca="false">IF(ISNUMBER(kinematics!D159),kinematics!F159,0)</f>
        <v>0</v>
      </c>
      <c r="K135" s="27" t="n">
        <f aca="false">IF(ISNUMBER(kinematics!L159),kinematics!L159,0)</f>
        <v>0</v>
      </c>
      <c r="M135" s="205" t="n">
        <f aca="false">IF(ISNUMBER(kinematics!D159),kinematics!B159,MAX($D$6:$D$186))</f>
        <v>85</v>
      </c>
      <c r="N135" s="205" t="n">
        <f aca="false">IF(ISNUMBER(kinematics!D159),kinematics!F159,0)</f>
        <v>0</v>
      </c>
      <c r="O135" s="205" t="n">
        <f aca="false">IF(ISNUMBER(kinematics!J159),kinematics!J159,0)</f>
        <v>0</v>
      </c>
      <c r="P135" s="27" t="n">
        <f aca="false">IF(ISNUMBER(kinematics!L159),kinematics!L159,0)</f>
        <v>0</v>
      </c>
      <c r="R135" s="27" t="n">
        <f aca="false">O135</f>
        <v>0</v>
      </c>
      <c r="S135" s="27" t="n">
        <f aca="false">P135</f>
        <v>0</v>
      </c>
    </row>
    <row r="136" customFormat="false" ht="12.75" hidden="false" customHeight="false" outlineLevel="0" collapsed="false">
      <c r="C136" s="27" t="n">
        <f aca="false">IF(ISNUMBER(kinematics!D160),kinematics!D160,MAX(kinematics!$D$30:$D$210))</f>
        <v>172.758</v>
      </c>
      <c r="D136" s="205" t="n">
        <f aca="false">IF(ISNUMBER(kinematics!D160),kinematics!B160,0)</f>
        <v>0</v>
      </c>
      <c r="E136" s="27" t="n">
        <f aca="false">IF(ISNUMBER(kinematics!J160),kinematics!J160,0)</f>
        <v>0</v>
      </c>
      <c r="I136" s="27" t="n">
        <f aca="false">C136</f>
        <v>172.758</v>
      </c>
      <c r="J136" s="205" t="n">
        <f aca="false">IF(ISNUMBER(kinematics!D160),kinematics!F160,0)</f>
        <v>0</v>
      </c>
      <c r="K136" s="27" t="n">
        <f aca="false">IF(ISNUMBER(kinematics!L160),kinematics!L160,0)</f>
        <v>0</v>
      </c>
      <c r="M136" s="205" t="n">
        <f aca="false">IF(ISNUMBER(kinematics!D160),kinematics!B160,MAX($D$6:$D$186))</f>
        <v>85</v>
      </c>
      <c r="N136" s="205" t="n">
        <f aca="false">IF(ISNUMBER(kinematics!D160),kinematics!F160,0)</f>
        <v>0</v>
      </c>
      <c r="O136" s="205" t="n">
        <f aca="false">IF(ISNUMBER(kinematics!J160),kinematics!J160,0)</f>
        <v>0</v>
      </c>
      <c r="P136" s="27" t="n">
        <f aca="false">IF(ISNUMBER(kinematics!L160),kinematics!L160,0)</f>
        <v>0</v>
      </c>
      <c r="R136" s="27" t="n">
        <f aca="false">O136</f>
        <v>0</v>
      </c>
      <c r="S136" s="27" t="n">
        <f aca="false">P136</f>
        <v>0</v>
      </c>
    </row>
    <row r="137" customFormat="false" ht="12.75" hidden="false" customHeight="false" outlineLevel="0" collapsed="false">
      <c r="C137" s="27" t="n">
        <f aca="false">IF(ISNUMBER(kinematics!D161),kinematics!D161,MAX(kinematics!$D$30:$D$210))</f>
        <v>172.758</v>
      </c>
      <c r="D137" s="205" t="n">
        <f aca="false">IF(ISNUMBER(kinematics!D161),kinematics!B161,0)</f>
        <v>0</v>
      </c>
      <c r="E137" s="27" t="n">
        <f aca="false">IF(ISNUMBER(kinematics!J161),kinematics!J161,0)</f>
        <v>0</v>
      </c>
      <c r="I137" s="27" t="n">
        <f aca="false">C137</f>
        <v>172.758</v>
      </c>
      <c r="J137" s="205" t="n">
        <f aca="false">IF(ISNUMBER(kinematics!D161),kinematics!F161,0)</f>
        <v>0</v>
      </c>
      <c r="K137" s="27" t="n">
        <f aca="false">IF(ISNUMBER(kinematics!L161),kinematics!L161,0)</f>
        <v>0</v>
      </c>
      <c r="M137" s="205" t="n">
        <f aca="false">IF(ISNUMBER(kinematics!D161),kinematics!B161,MAX($D$6:$D$186))</f>
        <v>85</v>
      </c>
      <c r="N137" s="205" t="n">
        <f aca="false">IF(ISNUMBER(kinematics!D161),kinematics!F161,0)</f>
        <v>0</v>
      </c>
      <c r="O137" s="205" t="n">
        <f aca="false">IF(ISNUMBER(kinematics!J161),kinematics!J161,0)</f>
        <v>0</v>
      </c>
      <c r="P137" s="27" t="n">
        <f aca="false">IF(ISNUMBER(kinematics!L161),kinematics!L161,0)</f>
        <v>0</v>
      </c>
      <c r="R137" s="27" t="n">
        <f aca="false">O137</f>
        <v>0</v>
      </c>
      <c r="S137" s="27" t="n">
        <f aca="false">P137</f>
        <v>0</v>
      </c>
    </row>
    <row r="138" customFormat="false" ht="12.75" hidden="false" customHeight="false" outlineLevel="0" collapsed="false">
      <c r="C138" s="27" t="n">
        <f aca="false">IF(ISNUMBER(kinematics!D162),kinematics!D162,MAX(kinematics!$D$30:$D$210))</f>
        <v>172.758</v>
      </c>
      <c r="D138" s="205" t="n">
        <f aca="false">IF(ISNUMBER(kinematics!D162),kinematics!B162,0)</f>
        <v>0</v>
      </c>
      <c r="E138" s="27" t="n">
        <f aca="false">IF(ISNUMBER(kinematics!J162),kinematics!J162,0)</f>
        <v>0</v>
      </c>
      <c r="I138" s="27" t="n">
        <f aca="false">C138</f>
        <v>172.758</v>
      </c>
      <c r="J138" s="205" t="n">
        <f aca="false">IF(ISNUMBER(kinematics!D162),kinematics!F162,0)</f>
        <v>0</v>
      </c>
      <c r="K138" s="27" t="n">
        <f aca="false">IF(ISNUMBER(kinematics!L162),kinematics!L162,0)</f>
        <v>0</v>
      </c>
      <c r="M138" s="205" t="n">
        <f aca="false">IF(ISNUMBER(kinematics!D162),kinematics!B162,MAX($D$6:$D$186))</f>
        <v>85</v>
      </c>
      <c r="N138" s="205" t="n">
        <f aca="false">IF(ISNUMBER(kinematics!D162),kinematics!F162,0)</f>
        <v>0</v>
      </c>
      <c r="O138" s="205" t="n">
        <f aca="false">IF(ISNUMBER(kinematics!J162),kinematics!J162,0)</f>
        <v>0</v>
      </c>
      <c r="P138" s="27" t="n">
        <f aca="false">IF(ISNUMBER(kinematics!L162),kinematics!L162,0)</f>
        <v>0</v>
      </c>
      <c r="R138" s="27" t="n">
        <f aca="false">O138</f>
        <v>0</v>
      </c>
      <c r="S138" s="27" t="n">
        <f aca="false">P138</f>
        <v>0</v>
      </c>
    </row>
    <row r="139" customFormat="false" ht="12.75" hidden="false" customHeight="false" outlineLevel="0" collapsed="false">
      <c r="C139" s="27" t="n">
        <f aca="false">IF(ISNUMBER(kinematics!D163),kinematics!D163,MAX(kinematics!$D$30:$D$210))</f>
        <v>172.758</v>
      </c>
      <c r="D139" s="205" t="n">
        <f aca="false">IF(ISNUMBER(kinematics!D163),kinematics!B163,0)</f>
        <v>0</v>
      </c>
      <c r="E139" s="27" t="n">
        <f aca="false">IF(ISNUMBER(kinematics!J163),kinematics!J163,0)</f>
        <v>0</v>
      </c>
      <c r="I139" s="27" t="n">
        <f aca="false">C139</f>
        <v>172.758</v>
      </c>
      <c r="J139" s="205" t="n">
        <f aca="false">IF(ISNUMBER(kinematics!D163),kinematics!F163,0)</f>
        <v>0</v>
      </c>
      <c r="K139" s="27" t="n">
        <f aca="false">IF(ISNUMBER(kinematics!L163),kinematics!L163,0)</f>
        <v>0</v>
      </c>
      <c r="M139" s="205" t="n">
        <f aca="false">IF(ISNUMBER(kinematics!D163),kinematics!B163,MAX($D$6:$D$186))</f>
        <v>85</v>
      </c>
      <c r="N139" s="205" t="n">
        <f aca="false">IF(ISNUMBER(kinematics!D163),kinematics!F163,0)</f>
        <v>0</v>
      </c>
      <c r="O139" s="205" t="n">
        <f aca="false">IF(ISNUMBER(kinematics!J163),kinematics!J163,0)</f>
        <v>0</v>
      </c>
      <c r="P139" s="27" t="n">
        <f aca="false">IF(ISNUMBER(kinematics!L163),kinematics!L163,0)</f>
        <v>0</v>
      </c>
      <c r="R139" s="27" t="n">
        <f aca="false">O139</f>
        <v>0</v>
      </c>
      <c r="S139" s="27" t="n">
        <f aca="false">P139</f>
        <v>0</v>
      </c>
    </row>
    <row r="140" customFormat="false" ht="12.75" hidden="false" customHeight="false" outlineLevel="0" collapsed="false">
      <c r="C140" s="27" t="n">
        <f aca="false">IF(ISNUMBER(kinematics!D164),kinematics!D164,MAX(kinematics!$D$30:$D$210))</f>
        <v>172.758</v>
      </c>
      <c r="D140" s="205" t="n">
        <f aca="false">IF(ISNUMBER(kinematics!D164),kinematics!B164,0)</f>
        <v>0</v>
      </c>
      <c r="E140" s="27" t="n">
        <f aca="false">IF(ISNUMBER(kinematics!J164),kinematics!J164,0)</f>
        <v>0</v>
      </c>
      <c r="I140" s="27" t="n">
        <f aca="false">C140</f>
        <v>172.758</v>
      </c>
      <c r="J140" s="205" t="n">
        <f aca="false">IF(ISNUMBER(kinematics!D164),kinematics!F164,0)</f>
        <v>0</v>
      </c>
      <c r="K140" s="27" t="n">
        <f aca="false">IF(ISNUMBER(kinematics!L164),kinematics!L164,0)</f>
        <v>0</v>
      </c>
      <c r="M140" s="205" t="n">
        <f aca="false">IF(ISNUMBER(kinematics!D164),kinematics!B164,MAX($D$6:$D$186))</f>
        <v>85</v>
      </c>
      <c r="N140" s="205" t="n">
        <f aca="false">IF(ISNUMBER(kinematics!D164),kinematics!F164,0)</f>
        <v>0</v>
      </c>
      <c r="O140" s="205" t="n">
        <f aca="false">IF(ISNUMBER(kinematics!J164),kinematics!J164,0)</f>
        <v>0</v>
      </c>
      <c r="P140" s="27" t="n">
        <f aca="false">IF(ISNUMBER(kinematics!L164),kinematics!L164,0)</f>
        <v>0</v>
      </c>
      <c r="R140" s="27" t="n">
        <f aca="false">O140</f>
        <v>0</v>
      </c>
      <c r="S140" s="27" t="n">
        <f aca="false">P140</f>
        <v>0</v>
      </c>
    </row>
    <row r="141" customFormat="false" ht="12.75" hidden="false" customHeight="false" outlineLevel="0" collapsed="false">
      <c r="C141" s="27" t="n">
        <f aca="false">IF(ISNUMBER(kinematics!D165),kinematics!D165,MAX(kinematics!$D$30:$D$210))</f>
        <v>172.758</v>
      </c>
      <c r="D141" s="205" t="n">
        <f aca="false">IF(ISNUMBER(kinematics!D165),kinematics!B165,0)</f>
        <v>0</v>
      </c>
      <c r="E141" s="27" t="n">
        <f aca="false">IF(ISNUMBER(kinematics!J165),kinematics!J165,0)</f>
        <v>0</v>
      </c>
      <c r="I141" s="27" t="n">
        <f aca="false">C141</f>
        <v>172.758</v>
      </c>
      <c r="J141" s="205" t="n">
        <f aca="false">IF(ISNUMBER(kinematics!D165),kinematics!F165,0)</f>
        <v>0</v>
      </c>
      <c r="K141" s="27" t="n">
        <f aca="false">IF(ISNUMBER(kinematics!L165),kinematics!L165,0)</f>
        <v>0</v>
      </c>
      <c r="M141" s="205" t="n">
        <f aca="false">IF(ISNUMBER(kinematics!D165),kinematics!B165,MAX($D$6:$D$186))</f>
        <v>85</v>
      </c>
      <c r="N141" s="205" t="n">
        <f aca="false">IF(ISNUMBER(kinematics!D165),kinematics!F165,0)</f>
        <v>0</v>
      </c>
      <c r="O141" s="205" t="n">
        <f aca="false">IF(ISNUMBER(kinematics!J165),kinematics!J165,0)</f>
        <v>0</v>
      </c>
      <c r="P141" s="27" t="n">
        <f aca="false">IF(ISNUMBER(kinematics!L165),kinematics!L165,0)</f>
        <v>0</v>
      </c>
      <c r="R141" s="27" t="n">
        <f aca="false">O141</f>
        <v>0</v>
      </c>
      <c r="S141" s="27" t="n">
        <f aca="false">P141</f>
        <v>0</v>
      </c>
    </row>
    <row r="142" customFormat="false" ht="12.75" hidden="false" customHeight="false" outlineLevel="0" collapsed="false">
      <c r="C142" s="27" t="n">
        <f aca="false">IF(ISNUMBER(kinematics!D166),kinematics!D166,MAX(kinematics!$D$30:$D$210))</f>
        <v>172.758</v>
      </c>
      <c r="D142" s="205" t="n">
        <f aca="false">IF(ISNUMBER(kinematics!D166),kinematics!B166,0)</f>
        <v>0</v>
      </c>
      <c r="E142" s="27" t="n">
        <f aca="false">IF(ISNUMBER(kinematics!J166),kinematics!J166,0)</f>
        <v>0</v>
      </c>
      <c r="I142" s="27" t="n">
        <f aca="false">C142</f>
        <v>172.758</v>
      </c>
      <c r="J142" s="205" t="n">
        <f aca="false">IF(ISNUMBER(kinematics!D166),kinematics!F166,0)</f>
        <v>0</v>
      </c>
      <c r="K142" s="27" t="n">
        <f aca="false">IF(ISNUMBER(kinematics!L166),kinematics!L166,0)</f>
        <v>0</v>
      </c>
      <c r="M142" s="205" t="n">
        <f aca="false">IF(ISNUMBER(kinematics!D166),kinematics!B166,MAX($D$6:$D$186))</f>
        <v>85</v>
      </c>
      <c r="N142" s="205" t="n">
        <f aca="false">IF(ISNUMBER(kinematics!D166),kinematics!F166,0)</f>
        <v>0</v>
      </c>
      <c r="O142" s="205" t="n">
        <f aca="false">IF(ISNUMBER(kinematics!J166),kinematics!J166,0)</f>
        <v>0</v>
      </c>
      <c r="P142" s="27" t="n">
        <f aca="false">IF(ISNUMBER(kinematics!L166),kinematics!L166,0)</f>
        <v>0</v>
      </c>
      <c r="R142" s="27" t="n">
        <f aca="false">O142</f>
        <v>0</v>
      </c>
      <c r="S142" s="27" t="n">
        <f aca="false">P142</f>
        <v>0</v>
      </c>
    </row>
    <row r="143" customFormat="false" ht="12.75" hidden="false" customHeight="false" outlineLevel="0" collapsed="false">
      <c r="C143" s="27" t="n">
        <f aca="false">IF(ISNUMBER(kinematics!D167),kinematics!D167,MAX(kinematics!$D$30:$D$210))</f>
        <v>172.758</v>
      </c>
      <c r="D143" s="205" t="n">
        <f aca="false">IF(ISNUMBER(kinematics!D167),kinematics!B167,0)</f>
        <v>0</v>
      </c>
      <c r="E143" s="27" t="n">
        <f aca="false">IF(ISNUMBER(kinematics!J167),kinematics!J167,0)</f>
        <v>0</v>
      </c>
      <c r="I143" s="27" t="n">
        <f aca="false">C143</f>
        <v>172.758</v>
      </c>
      <c r="J143" s="205" t="n">
        <f aca="false">IF(ISNUMBER(kinematics!D167),kinematics!F167,0)</f>
        <v>0</v>
      </c>
      <c r="K143" s="27" t="n">
        <f aca="false">IF(ISNUMBER(kinematics!L167),kinematics!L167,0)</f>
        <v>0</v>
      </c>
      <c r="M143" s="205" t="n">
        <f aca="false">IF(ISNUMBER(kinematics!D167),kinematics!B167,MAX($D$6:$D$186))</f>
        <v>85</v>
      </c>
      <c r="N143" s="205" t="n">
        <f aca="false">IF(ISNUMBER(kinematics!D167),kinematics!F167,0)</f>
        <v>0</v>
      </c>
      <c r="O143" s="205" t="n">
        <f aca="false">IF(ISNUMBER(kinematics!J167),kinematics!J167,0)</f>
        <v>0</v>
      </c>
      <c r="P143" s="27" t="n">
        <f aca="false">IF(ISNUMBER(kinematics!L167),kinematics!L167,0)</f>
        <v>0</v>
      </c>
      <c r="R143" s="27" t="n">
        <f aca="false">O143</f>
        <v>0</v>
      </c>
      <c r="S143" s="27" t="n">
        <f aca="false">P143</f>
        <v>0</v>
      </c>
    </row>
    <row r="144" customFormat="false" ht="12.75" hidden="false" customHeight="false" outlineLevel="0" collapsed="false">
      <c r="C144" s="27" t="n">
        <f aca="false">IF(ISNUMBER(kinematics!D168),kinematics!D168,MAX(kinematics!$D$30:$D$210))</f>
        <v>172.758</v>
      </c>
      <c r="D144" s="205" t="n">
        <f aca="false">IF(ISNUMBER(kinematics!D168),kinematics!B168,0)</f>
        <v>0</v>
      </c>
      <c r="E144" s="27" t="n">
        <f aca="false">IF(ISNUMBER(kinematics!J168),kinematics!J168,0)</f>
        <v>0</v>
      </c>
      <c r="I144" s="27" t="n">
        <f aca="false">C144</f>
        <v>172.758</v>
      </c>
      <c r="J144" s="205" t="n">
        <f aca="false">IF(ISNUMBER(kinematics!D168),kinematics!F168,0)</f>
        <v>0</v>
      </c>
      <c r="K144" s="27" t="n">
        <f aca="false">IF(ISNUMBER(kinematics!L168),kinematics!L168,0)</f>
        <v>0</v>
      </c>
      <c r="M144" s="205" t="n">
        <f aca="false">IF(ISNUMBER(kinematics!D168),kinematics!B168,MAX($D$6:$D$186))</f>
        <v>85</v>
      </c>
      <c r="N144" s="205" t="n">
        <f aca="false">IF(ISNUMBER(kinematics!D168),kinematics!F168,0)</f>
        <v>0</v>
      </c>
      <c r="O144" s="205" t="n">
        <f aca="false">IF(ISNUMBER(kinematics!J168),kinematics!J168,0)</f>
        <v>0</v>
      </c>
      <c r="P144" s="27" t="n">
        <f aca="false">IF(ISNUMBER(kinematics!L168),kinematics!L168,0)</f>
        <v>0</v>
      </c>
      <c r="R144" s="27" t="n">
        <f aca="false">O144</f>
        <v>0</v>
      </c>
      <c r="S144" s="27" t="n">
        <f aca="false">P144</f>
        <v>0</v>
      </c>
    </row>
    <row r="145" customFormat="false" ht="12.75" hidden="false" customHeight="false" outlineLevel="0" collapsed="false">
      <c r="C145" s="27" t="n">
        <f aca="false">IF(ISNUMBER(kinematics!D169),kinematics!D169,MAX(kinematics!$D$30:$D$210))</f>
        <v>172.758</v>
      </c>
      <c r="D145" s="205" t="n">
        <f aca="false">IF(ISNUMBER(kinematics!D169),kinematics!B169,0)</f>
        <v>0</v>
      </c>
      <c r="E145" s="27" t="n">
        <f aca="false">IF(ISNUMBER(kinematics!J169),kinematics!J169,0)</f>
        <v>0</v>
      </c>
      <c r="I145" s="27" t="n">
        <f aca="false">C145</f>
        <v>172.758</v>
      </c>
      <c r="J145" s="205" t="n">
        <f aca="false">IF(ISNUMBER(kinematics!D169),kinematics!F169,0)</f>
        <v>0</v>
      </c>
      <c r="K145" s="27" t="n">
        <f aca="false">IF(ISNUMBER(kinematics!L169),kinematics!L169,0)</f>
        <v>0</v>
      </c>
      <c r="M145" s="205" t="n">
        <f aca="false">IF(ISNUMBER(kinematics!D169),kinematics!B169,MAX($D$6:$D$186))</f>
        <v>85</v>
      </c>
      <c r="N145" s="205" t="n">
        <f aca="false">IF(ISNUMBER(kinematics!D169),kinematics!F169,0)</f>
        <v>0</v>
      </c>
      <c r="O145" s="205" t="n">
        <f aca="false">IF(ISNUMBER(kinematics!J169),kinematics!J169,0)</f>
        <v>0</v>
      </c>
      <c r="P145" s="27" t="n">
        <f aca="false">IF(ISNUMBER(kinematics!L169),kinematics!L169,0)</f>
        <v>0</v>
      </c>
      <c r="R145" s="27" t="n">
        <f aca="false">O145</f>
        <v>0</v>
      </c>
      <c r="S145" s="27" t="n">
        <f aca="false">P145</f>
        <v>0</v>
      </c>
    </row>
    <row r="146" customFormat="false" ht="12.75" hidden="false" customHeight="false" outlineLevel="0" collapsed="false">
      <c r="C146" s="27" t="n">
        <f aca="false">IF(ISNUMBER(kinematics!D170),kinematics!D170,MAX(kinematics!$D$30:$D$210))</f>
        <v>172.758</v>
      </c>
      <c r="D146" s="205" t="n">
        <f aca="false">IF(ISNUMBER(kinematics!D170),kinematics!B170,0)</f>
        <v>0</v>
      </c>
      <c r="E146" s="27" t="n">
        <f aca="false">IF(ISNUMBER(kinematics!J170),kinematics!J170,0)</f>
        <v>0</v>
      </c>
      <c r="I146" s="27" t="n">
        <f aca="false">C146</f>
        <v>172.758</v>
      </c>
      <c r="J146" s="205" t="n">
        <f aca="false">IF(ISNUMBER(kinematics!D170),kinematics!F170,0)</f>
        <v>0</v>
      </c>
      <c r="K146" s="27" t="n">
        <f aca="false">IF(ISNUMBER(kinematics!L170),kinematics!L170,0)</f>
        <v>0</v>
      </c>
      <c r="M146" s="205" t="n">
        <f aca="false">IF(ISNUMBER(kinematics!D170),kinematics!B170,MAX($D$6:$D$186))</f>
        <v>85</v>
      </c>
      <c r="N146" s="205" t="n">
        <f aca="false">IF(ISNUMBER(kinematics!D170),kinematics!F170,0)</f>
        <v>0</v>
      </c>
      <c r="O146" s="205" t="n">
        <f aca="false">IF(ISNUMBER(kinematics!J170),kinematics!J170,0)</f>
        <v>0</v>
      </c>
      <c r="P146" s="27" t="n">
        <f aca="false">IF(ISNUMBER(kinematics!L170),kinematics!L170,0)</f>
        <v>0</v>
      </c>
      <c r="R146" s="27" t="n">
        <f aca="false">O146</f>
        <v>0</v>
      </c>
      <c r="S146" s="27" t="n">
        <f aca="false">P146</f>
        <v>0</v>
      </c>
    </row>
    <row r="147" customFormat="false" ht="12.75" hidden="false" customHeight="false" outlineLevel="0" collapsed="false">
      <c r="C147" s="27" t="n">
        <f aca="false">IF(ISNUMBER(kinematics!D171),kinematics!D171,MAX(kinematics!$D$30:$D$210))</f>
        <v>172.758</v>
      </c>
      <c r="D147" s="205" t="n">
        <f aca="false">IF(ISNUMBER(kinematics!D171),kinematics!B171,0)</f>
        <v>0</v>
      </c>
      <c r="E147" s="27" t="n">
        <f aca="false">IF(ISNUMBER(kinematics!J171),kinematics!J171,0)</f>
        <v>0</v>
      </c>
      <c r="I147" s="27" t="n">
        <f aca="false">C147</f>
        <v>172.758</v>
      </c>
      <c r="J147" s="205" t="n">
        <f aca="false">IF(ISNUMBER(kinematics!D171),kinematics!F171,0)</f>
        <v>0</v>
      </c>
      <c r="K147" s="27" t="n">
        <f aca="false">IF(ISNUMBER(kinematics!L171),kinematics!L171,0)</f>
        <v>0</v>
      </c>
      <c r="M147" s="205" t="n">
        <f aca="false">IF(ISNUMBER(kinematics!D171),kinematics!B171,MAX($D$6:$D$186))</f>
        <v>85</v>
      </c>
      <c r="N147" s="205" t="n">
        <f aca="false">IF(ISNUMBER(kinematics!D171),kinematics!F171,0)</f>
        <v>0</v>
      </c>
      <c r="O147" s="205" t="n">
        <f aca="false">IF(ISNUMBER(kinematics!J171),kinematics!J171,0)</f>
        <v>0</v>
      </c>
      <c r="P147" s="27" t="n">
        <f aca="false">IF(ISNUMBER(kinematics!L171),kinematics!L171,0)</f>
        <v>0</v>
      </c>
      <c r="R147" s="27" t="n">
        <f aca="false">O147</f>
        <v>0</v>
      </c>
      <c r="S147" s="27" t="n">
        <f aca="false">P147</f>
        <v>0</v>
      </c>
    </row>
    <row r="148" customFormat="false" ht="12.75" hidden="false" customHeight="false" outlineLevel="0" collapsed="false">
      <c r="C148" s="27" t="n">
        <f aca="false">IF(ISNUMBER(kinematics!D172),kinematics!D172,MAX(kinematics!$D$30:$D$210))</f>
        <v>172.758</v>
      </c>
      <c r="D148" s="205" t="n">
        <f aca="false">IF(ISNUMBER(kinematics!D172),kinematics!B172,0)</f>
        <v>0</v>
      </c>
      <c r="E148" s="27" t="n">
        <f aca="false">IF(ISNUMBER(kinematics!J172),kinematics!J172,0)</f>
        <v>0</v>
      </c>
      <c r="I148" s="27" t="n">
        <f aca="false">C148</f>
        <v>172.758</v>
      </c>
      <c r="J148" s="205" t="n">
        <f aca="false">IF(ISNUMBER(kinematics!D172),kinematics!F172,0)</f>
        <v>0</v>
      </c>
      <c r="K148" s="27" t="n">
        <f aca="false">IF(ISNUMBER(kinematics!L172),kinematics!L172,0)</f>
        <v>0</v>
      </c>
      <c r="M148" s="205" t="n">
        <f aca="false">IF(ISNUMBER(kinematics!D172),kinematics!B172,MAX($D$6:$D$186))</f>
        <v>85</v>
      </c>
      <c r="N148" s="205" t="n">
        <f aca="false">IF(ISNUMBER(kinematics!D172),kinematics!F172,0)</f>
        <v>0</v>
      </c>
      <c r="O148" s="205" t="n">
        <f aca="false">IF(ISNUMBER(kinematics!J172),kinematics!J172,0)</f>
        <v>0</v>
      </c>
      <c r="P148" s="27" t="n">
        <f aca="false">IF(ISNUMBER(kinematics!L172),kinematics!L172,0)</f>
        <v>0</v>
      </c>
      <c r="R148" s="27" t="n">
        <f aca="false">O148</f>
        <v>0</v>
      </c>
      <c r="S148" s="27" t="n">
        <f aca="false">P148</f>
        <v>0</v>
      </c>
    </row>
    <row r="149" customFormat="false" ht="12.75" hidden="false" customHeight="false" outlineLevel="0" collapsed="false">
      <c r="C149" s="27" t="n">
        <f aca="false">IF(ISNUMBER(kinematics!D173),kinematics!D173,MAX(kinematics!$D$30:$D$210))</f>
        <v>172.758</v>
      </c>
      <c r="D149" s="205" t="n">
        <f aca="false">IF(ISNUMBER(kinematics!D173),kinematics!B173,0)</f>
        <v>0</v>
      </c>
      <c r="E149" s="27" t="n">
        <f aca="false">IF(ISNUMBER(kinematics!J173),kinematics!J173,0)</f>
        <v>0</v>
      </c>
      <c r="I149" s="27" t="n">
        <f aca="false">C149</f>
        <v>172.758</v>
      </c>
      <c r="J149" s="205" t="n">
        <f aca="false">IF(ISNUMBER(kinematics!D173),kinematics!F173,0)</f>
        <v>0</v>
      </c>
      <c r="K149" s="27" t="n">
        <f aca="false">IF(ISNUMBER(kinematics!L173),kinematics!L173,0)</f>
        <v>0</v>
      </c>
      <c r="M149" s="205" t="n">
        <f aca="false">IF(ISNUMBER(kinematics!D173),kinematics!B173,MAX($D$6:$D$186))</f>
        <v>85</v>
      </c>
      <c r="N149" s="205" t="n">
        <f aca="false">IF(ISNUMBER(kinematics!D173),kinematics!F173,0)</f>
        <v>0</v>
      </c>
      <c r="O149" s="205" t="n">
        <f aca="false">IF(ISNUMBER(kinematics!J173),kinematics!J173,0)</f>
        <v>0</v>
      </c>
      <c r="P149" s="27" t="n">
        <f aca="false">IF(ISNUMBER(kinematics!L173),kinematics!L173,0)</f>
        <v>0</v>
      </c>
      <c r="R149" s="27" t="n">
        <f aca="false">O149</f>
        <v>0</v>
      </c>
      <c r="S149" s="27" t="n">
        <f aca="false">P149</f>
        <v>0</v>
      </c>
    </row>
    <row r="150" customFormat="false" ht="12.75" hidden="false" customHeight="false" outlineLevel="0" collapsed="false">
      <c r="C150" s="27" t="n">
        <f aca="false">IF(ISNUMBER(kinematics!D174),kinematics!D174,MAX(kinematics!$D$30:$D$210))</f>
        <v>172.758</v>
      </c>
      <c r="D150" s="205" t="n">
        <f aca="false">IF(ISNUMBER(kinematics!D174),kinematics!B174,0)</f>
        <v>0</v>
      </c>
      <c r="E150" s="27" t="n">
        <f aca="false">IF(ISNUMBER(kinematics!J174),kinematics!J174,0)</f>
        <v>0</v>
      </c>
      <c r="I150" s="27" t="n">
        <f aca="false">C150</f>
        <v>172.758</v>
      </c>
      <c r="J150" s="205" t="n">
        <f aca="false">IF(ISNUMBER(kinematics!D174),kinematics!F174,0)</f>
        <v>0</v>
      </c>
      <c r="K150" s="27" t="n">
        <f aca="false">IF(ISNUMBER(kinematics!L174),kinematics!L174,0)</f>
        <v>0</v>
      </c>
      <c r="M150" s="205" t="n">
        <f aca="false">IF(ISNUMBER(kinematics!D174),kinematics!B174,MAX($D$6:$D$186))</f>
        <v>85</v>
      </c>
      <c r="N150" s="205" t="n">
        <f aca="false">IF(ISNUMBER(kinematics!D174),kinematics!F174,0)</f>
        <v>0</v>
      </c>
      <c r="O150" s="205" t="n">
        <f aca="false">IF(ISNUMBER(kinematics!J174),kinematics!J174,0)</f>
        <v>0</v>
      </c>
      <c r="P150" s="27" t="n">
        <f aca="false">IF(ISNUMBER(kinematics!L174),kinematics!L174,0)</f>
        <v>0</v>
      </c>
      <c r="R150" s="27" t="n">
        <f aca="false">O150</f>
        <v>0</v>
      </c>
      <c r="S150" s="27" t="n">
        <f aca="false">P150</f>
        <v>0</v>
      </c>
    </row>
    <row r="151" customFormat="false" ht="12.75" hidden="false" customHeight="false" outlineLevel="0" collapsed="false">
      <c r="C151" s="27" t="n">
        <f aca="false">IF(ISNUMBER(kinematics!D175),kinematics!D175,MAX(kinematics!$D$30:$D$210))</f>
        <v>172.758</v>
      </c>
      <c r="D151" s="205" t="n">
        <f aca="false">IF(ISNUMBER(kinematics!D175),kinematics!B175,0)</f>
        <v>0</v>
      </c>
      <c r="E151" s="27" t="n">
        <f aca="false">IF(ISNUMBER(kinematics!J175),kinematics!J175,0)</f>
        <v>0</v>
      </c>
      <c r="I151" s="27" t="n">
        <f aca="false">C151</f>
        <v>172.758</v>
      </c>
      <c r="J151" s="205" t="n">
        <f aca="false">IF(ISNUMBER(kinematics!D175),kinematics!F175,0)</f>
        <v>0</v>
      </c>
      <c r="K151" s="27" t="n">
        <f aca="false">IF(ISNUMBER(kinematics!L175),kinematics!L175,0)</f>
        <v>0</v>
      </c>
      <c r="M151" s="205" t="n">
        <f aca="false">IF(ISNUMBER(kinematics!D175),kinematics!B175,MAX($D$6:$D$186))</f>
        <v>85</v>
      </c>
      <c r="N151" s="205" t="n">
        <f aca="false">IF(ISNUMBER(kinematics!D175),kinematics!F175,0)</f>
        <v>0</v>
      </c>
      <c r="O151" s="205" t="n">
        <f aca="false">IF(ISNUMBER(kinematics!J175),kinematics!J175,0)</f>
        <v>0</v>
      </c>
      <c r="P151" s="27" t="n">
        <f aca="false">IF(ISNUMBER(kinematics!L175),kinematics!L175,0)</f>
        <v>0</v>
      </c>
      <c r="R151" s="27" t="n">
        <f aca="false">O151</f>
        <v>0</v>
      </c>
      <c r="S151" s="27" t="n">
        <f aca="false">P151</f>
        <v>0</v>
      </c>
    </row>
    <row r="152" customFormat="false" ht="12.75" hidden="false" customHeight="false" outlineLevel="0" collapsed="false">
      <c r="C152" s="27" t="n">
        <f aca="false">IF(ISNUMBER(kinematics!D176),kinematics!D176,MAX(kinematics!$D$30:$D$210))</f>
        <v>172.758</v>
      </c>
      <c r="D152" s="205" t="n">
        <f aca="false">IF(ISNUMBER(kinematics!D176),kinematics!B176,0)</f>
        <v>0</v>
      </c>
      <c r="E152" s="27" t="n">
        <f aca="false">IF(ISNUMBER(kinematics!J176),kinematics!J176,0)</f>
        <v>0</v>
      </c>
      <c r="I152" s="27" t="n">
        <f aca="false">C152</f>
        <v>172.758</v>
      </c>
      <c r="J152" s="205" t="n">
        <f aca="false">IF(ISNUMBER(kinematics!D176),kinematics!F176,0)</f>
        <v>0</v>
      </c>
      <c r="K152" s="27" t="n">
        <f aca="false">IF(ISNUMBER(kinematics!L176),kinematics!L176,0)</f>
        <v>0</v>
      </c>
      <c r="M152" s="205" t="n">
        <f aca="false">IF(ISNUMBER(kinematics!D176),kinematics!B176,MAX($D$6:$D$186))</f>
        <v>85</v>
      </c>
      <c r="N152" s="205" t="n">
        <f aca="false">IF(ISNUMBER(kinematics!D176),kinematics!F176,0)</f>
        <v>0</v>
      </c>
      <c r="O152" s="205" t="n">
        <f aca="false">IF(ISNUMBER(kinematics!J176),kinematics!J176,0)</f>
        <v>0</v>
      </c>
      <c r="P152" s="27" t="n">
        <f aca="false">IF(ISNUMBER(kinematics!L176),kinematics!L176,0)</f>
        <v>0</v>
      </c>
      <c r="R152" s="27" t="n">
        <f aca="false">O152</f>
        <v>0</v>
      </c>
      <c r="S152" s="27" t="n">
        <f aca="false">P152</f>
        <v>0</v>
      </c>
    </row>
    <row r="153" customFormat="false" ht="12.75" hidden="false" customHeight="false" outlineLevel="0" collapsed="false">
      <c r="C153" s="27" t="n">
        <f aca="false">IF(ISNUMBER(kinematics!D177),kinematics!D177,MAX(kinematics!$D$30:$D$210))</f>
        <v>172.758</v>
      </c>
      <c r="D153" s="205" t="n">
        <f aca="false">IF(ISNUMBER(kinematics!D177),kinematics!B177,0)</f>
        <v>0</v>
      </c>
      <c r="E153" s="27" t="n">
        <f aca="false">IF(ISNUMBER(kinematics!J177),kinematics!J177,0)</f>
        <v>0</v>
      </c>
      <c r="I153" s="27" t="n">
        <f aca="false">C153</f>
        <v>172.758</v>
      </c>
      <c r="J153" s="205" t="n">
        <f aca="false">IF(ISNUMBER(kinematics!D177),kinematics!F177,0)</f>
        <v>0</v>
      </c>
      <c r="K153" s="27" t="n">
        <f aca="false">IF(ISNUMBER(kinematics!L177),kinematics!L177,0)</f>
        <v>0</v>
      </c>
      <c r="M153" s="205" t="n">
        <f aca="false">IF(ISNUMBER(kinematics!D177),kinematics!B177,MAX($D$6:$D$186))</f>
        <v>85</v>
      </c>
      <c r="N153" s="205" t="n">
        <f aca="false">IF(ISNUMBER(kinematics!D177),kinematics!F177,0)</f>
        <v>0</v>
      </c>
      <c r="O153" s="205" t="n">
        <f aca="false">IF(ISNUMBER(kinematics!J177),kinematics!J177,0)</f>
        <v>0</v>
      </c>
      <c r="P153" s="27" t="n">
        <f aca="false">IF(ISNUMBER(kinematics!L177),kinematics!L177,0)</f>
        <v>0</v>
      </c>
      <c r="R153" s="27" t="n">
        <f aca="false">O153</f>
        <v>0</v>
      </c>
      <c r="S153" s="27" t="n">
        <f aca="false">P153</f>
        <v>0</v>
      </c>
    </row>
    <row r="154" customFormat="false" ht="12.75" hidden="false" customHeight="false" outlineLevel="0" collapsed="false">
      <c r="C154" s="27" t="n">
        <f aca="false">IF(ISNUMBER(kinematics!D178),kinematics!D178,MAX(kinematics!$D$30:$D$210))</f>
        <v>172.758</v>
      </c>
      <c r="D154" s="205" t="n">
        <f aca="false">IF(ISNUMBER(kinematics!D178),kinematics!B178,0)</f>
        <v>0</v>
      </c>
      <c r="E154" s="27" t="n">
        <f aca="false">IF(ISNUMBER(kinematics!J178),kinematics!J178,0)</f>
        <v>0</v>
      </c>
      <c r="I154" s="27" t="n">
        <f aca="false">C154</f>
        <v>172.758</v>
      </c>
      <c r="J154" s="205" t="n">
        <f aca="false">IF(ISNUMBER(kinematics!D178),kinematics!F178,0)</f>
        <v>0</v>
      </c>
      <c r="K154" s="27" t="n">
        <f aca="false">IF(ISNUMBER(kinematics!L178),kinematics!L178,0)</f>
        <v>0</v>
      </c>
      <c r="M154" s="205" t="n">
        <f aca="false">IF(ISNUMBER(kinematics!D178),kinematics!B178,MAX($D$6:$D$186))</f>
        <v>85</v>
      </c>
      <c r="N154" s="205" t="n">
        <f aca="false">IF(ISNUMBER(kinematics!D178),kinematics!F178,0)</f>
        <v>0</v>
      </c>
      <c r="O154" s="205" t="n">
        <f aca="false">IF(ISNUMBER(kinematics!J178),kinematics!J178,0)</f>
        <v>0</v>
      </c>
      <c r="P154" s="27" t="n">
        <f aca="false">IF(ISNUMBER(kinematics!L178),kinematics!L178,0)</f>
        <v>0</v>
      </c>
      <c r="R154" s="27" t="n">
        <f aca="false">O154</f>
        <v>0</v>
      </c>
      <c r="S154" s="27" t="n">
        <f aca="false">P154</f>
        <v>0</v>
      </c>
    </row>
    <row r="155" customFormat="false" ht="12.75" hidden="false" customHeight="false" outlineLevel="0" collapsed="false">
      <c r="C155" s="27" t="n">
        <f aca="false">IF(ISNUMBER(kinematics!D179),kinematics!D179,MAX(kinematics!$D$30:$D$210))</f>
        <v>172.758</v>
      </c>
      <c r="D155" s="205" t="n">
        <f aca="false">IF(ISNUMBER(kinematics!D179),kinematics!B179,0)</f>
        <v>0</v>
      </c>
      <c r="E155" s="27" t="n">
        <f aca="false">IF(ISNUMBER(kinematics!J179),kinematics!J179,0)</f>
        <v>0</v>
      </c>
      <c r="I155" s="27" t="n">
        <f aca="false">C155</f>
        <v>172.758</v>
      </c>
      <c r="J155" s="205" t="n">
        <f aca="false">IF(ISNUMBER(kinematics!D179),kinematics!F179,0)</f>
        <v>0</v>
      </c>
      <c r="K155" s="27" t="n">
        <f aca="false">IF(ISNUMBER(kinematics!L179),kinematics!L179,0)</f>
        <v>0</v>
      </c>
      <c r="M155" s="205" t="n">
        <f aca="false">IF(ISNUMBER(kinematics!D179),kinematics!B179,MAX($D$6:$D$186))</f>
        <v>85</v>
      </c>
      <c r="N155" s="205" t="n">
        <f aca="false">IF(ISNUMBER(kinematics!D179),kinematics!F179,0)</f>
        <v>0</v>
      </c>
      <c r="O155" s="205" t="n">
        <f aca="false">IF(ISNUMBER(kinematics!J179),kinematics!J179,0)</f>
        <v>0</v>
      </c>
      <c r="P155" s="27" t="n">
        <f aca="false">IF(ISNUMBER(kinematics!L179),kinematics!L179,0)</f>
        <v>0</v>
      </c>
      <c r="R155" s="27" t="n">
        <f aca="false">O155</f>
        <v>0</v>
      </c>
      <c r="S155" s="27" t="n">
        <f aca="false">P155</f>
        <v>0</v>
      </c>
    </row>
    <row r="156" customFormat="false" ht="12.75" hidden="false" customHeight="false" outlineLevel="0" collapsed="false">
      <c r="C156" s="27" t="n">
        <f aca="false">IF(ISNUMBER(kinematics!D180),kinematics!D180,MAX(kinematics!$D$30:$D$210))</f>
        <v>172.758</v>
      </c>
      <c r="D156" s="205" t="n">
        <f aca="false">IF(ISNUMBER(kinematics!D180),kinematics!B180,0)</f>
        <v>0</v>
      </c>
      <c r="E156" s="27" t="n">
        <f aca="false">IF(ISNUMBER(kinematics!J180),kinematics!J180,0)</f>
        <v>0</v>
      </c>
      <c r="I156" s="27" t="n">
        <f aca="false">C156</f>
        <v>172.758</v>
      </c>
      <c r="J156" s="205" t="n">
        <f aca="false">IF(ISNUMBER(kinematics!D180),kinematics!F180,0)</f>
        <v>0</v>
      </c>
      <c r="K156" s="27" t="n">
        <f aca="false">IF(ISNUMBER(kinematics!L180),kinematics!L180,0)</f>
        <v>0</v>
      </c>
      <c r="M156" s="205" t="n">
        <f aca="false">IF(ISNUMBER(kinematics!D180),kinematics!B180,MAX($D$6:$D$186))</f>
        <v>85</v>
      </c>
      <c r="N156" s="205" t="n">
        <f aca="false">IF(ISNUMBER(kinematics!D180),kinematics!F180,0)</f>
        <v>0</v>
      </c>
      <c r="O156" s="205" t="n">
        <f aca="false">IF(ISNUMBER(kinematics!J180),kinematics!J180,0)</f>
        <v>0</v>
      </c>
      <c r="P156" s="27" t="n">
        <f aca="false">IF(ISNUMBER(kinematics!L180),kinematics!L180,0)</f>
        <v>0</v>
      </c>
      <c r="R156" s="27" t="n">
        <f aca="false">O156</f>
        <v>0</v>
      </c>
      <c r="S156" s="27" t="n">
        <f aca="false">P156</f>
        <v>0</v>
      </c>
    </row>
    <row r="157" customFormat="false" ht="12.75" hidden="false" customHeight="false" outlineLevel="0" collapsed="false">
      <c r="C157" s="27" t="n">
        <f aca="false">IF(ISNUMBER(kinematics!D181),kinematics!D181,MAX(kinematics!$D$30:$D$210))</f>
        <v>172.758</v>
      </c>
      <c r="D157" s="205" t="n">
        <f aca="false">IF(ISNUMBER(kinematics!D181),kinematics!B181,0)</f>
        <v>0</v>
      </c>
      <c r="E157" s="27" t="n">
        <f aca="false">IF(ISNUMBER(kinematics!J181),kinematics!J181,0)</f>
        <v>0</v>
      </c>
      <c r="I157" s="27" t="n">
        <f aca="false">C157</f>
        <v>172.758</v>
      </c>
      <c r="J157" s="205" t="n">
        <f aca="false">IF(ISNUMBER(kinematics!D181),kinematics!F181,0)</f>
        <v>0</v>
      </c>
      <c r="K157" s="27" t="n">
        <f aca="false">IF(ISNUMBER(kinematics!L181),kinematics!L181,0)</f>
        <v>0</v>
      </c>
      <c r="M157" s="205" t="n">
        <f aca="false">IF(ISNUMBER(kinematics!D181),kinematics!B181,MAX($D$6:$D$186))</f>
        <v>85</v>
      </c>
      <c r="N157" s="205" t="n">
        <f aca="false">IF(ISNUMBER(kinematics!D181),kinematics!F181,0)</f>
        <v>0</v>
      </c>
      <c r="O157" s="205" t="n">
        <f aca="false">IF(ISNUMBER(kinematics!J181),kinematics!J181,0)</f>
        <v>0</v>
      </c>
      <c r="P157" s="27" t="n">
        <f aca="false">IF(ISNUMBER(kinematics!L181),kinematics!L181,0)</f>
        <v>0</v>
      </c>
      <c r="R157" s="27" t="n">
        <f aca="false">O157</f>
        <v>0</v>
      </c>
      <c r="S157" s="27" t="n">
        <f aca="false">P157</f>
        <v>0</v>
      </c>
    </row>
    <row r="158" customFormat="false" ht="12.75" hidden="false" customHeight="false" outlineLevel="0" collapsed="false">
      <c r="C158" s="27" t="n">
        <f aca="false">IF(ISNUMBER(kinematics!D182),kinematics!D182,MAX(kinematics!$D$30:$D$210))</f>
        <v>172.758</v>
      </c>
      <c r="D158" s="205" t="n">
        <f aca="false">IF(ISNUMBER(kinematics!D182),kinematics!B182,0)</f>
        <v>0</v>
      </c>
      <c r="E158" s="27" t="n">
        <f aca="false">IF(ISNUMBER(kinematics!J182),kinematics!J182,0)</f>
        <v>0</v>
      </c>
      <c r="I158" s="27" t="n">
        <f aca="false">C158</f>
        <v>172.758</v>
      </c>
      <c r="J158" s="205" t="n">
        <f aca="false">IF(ISNUMBER(kinematics!D182),kinematics!F182,0)</f>
        <v>0</v>
      </c>
      <c r="K158" s="27" t="n">
        <f aca="false">IF(ISNUMBER(kinematics!L182),kinematics!L182,0)</f>
        <v>0</v>
      </c>
      <c r="M158" s="205" t="n">
        <f aca="false">IF(ISNUMBER(kinematics!D182),kinematics!B182,MAX($D$6:$D$186))</f>
        <v>85</v>
      </c>
      <c r="N158" s="205" t="n">
        <f aca="false">IF(ISNUMBER(kinematics!D182),kinematics!F182,0)</f>
        <v>0</v>
      </c>
      <c r="O158" s="205" t="n">
        <f aca="false">IF(ISNUMBER(kinematics!J182),kinematics!J182,0)</f>
        <v>0</v>
      </c>
      <c r="P158" s="27" t="n">
        <f aca="false">IF(ISNUMBER(kinematics!L182),kinematics!L182,0)</f>
        <v>0</v>
      </c>
      <c r="R158" s="27" t="n">
        <f aca="false">O158</f>
        <v>0</v>
      </c>
      <c r="S158" s="27" t="n">
        <f aca="false">P158</f>
        <v>0</v>
      </c>
    </row>
    <row r="159" customFormat="false" ht="12.75" hidden="false" customHeight="false" outlineLevel="0" collapsed="false">
      <c r="C159" s="27" t="n">
        <f aca="false">IF(ISNUMBER(kinematics!D183),kinematics!D183,MAX(kinematics!$D$30:$D$210))</f>
        <v>172.758</v>
      </c>
      <c r="D159" s="205" t="n">
        <f aca="false">IF(ISNUMBER(kinematics!D183),kinematics!B183,0)</f>
        <v>0</v>
      </c>
      <c r="E159" s="27" t="n">
        <f aca="false">IF(ISNUMBER(kinematics!J183),kinematics!J183,0)</f>
        <v>0</v>
      </c>
      <c r="I159" s="27" t="n">
        <f aca="false">C159</f>
        <v>172.758</v>
      </c>
      <c r="J159" s="205" t="n">
        <f aca="false">IF(ISNUMBER(kinematics!D183),kinematics!F183,0)</f>
        <v>0</v>
      </c>
      <c r="K159" s="27" t="n">
        <f aca="false">IF(ISNUMBER(kinematics!L183),kinematics!L183,0)</f>
        <v>0</v>
      </c>
      <c r="M159" s="205" t="n">
        <f aca="false">IF(ISNUMBER(kinematics!D183),kinematics!B183,MAX($D$6:$D$186))</f>
        <v>85</v>
      </c>
      <c r="N159" s="205" t="n">
        <f aca="false">IF(ISNUMBER(kinematics!D183),kinematics!F183,0)</f>
        <v>0</v>
      </c>
      <c r="O159" s="205" t="n">
        <f aca="false">IF(ISNUMBER(kinematics!J183),kinematics!J183,0)</f>
        <v>0</v>
      </c>
      <c r="P159" s="27" t="n">
        <f aca="false">IF(ISNUMBER(kinematics!L183),kinematics!L183,0)</f>
        <v>0</v>
      </c>
      <c r="R159" s="27" t="n">
        <f aca="false">O159</f>
        <v>0</v>
      </c>
      <c r="S159" s="27" t="n">
        <f aca="false">P159</f>
        <v>0</v>
      </c>
    </row>
    <row r="160" customFormat="false" ht="12.75" hidden="false" customHeight="false" outlineLevel="0" collapsed="false">
      <c r="C160" s="27" t="n">
        <f aca="false">IF(ISNUMBER(kinematics!D184),kinematics!D184,MAX(kinematics!$D$30:$D$210))</f>
        <v>172.758</v>
      </c>
      <c r="D160" s="205" t="n">
        <f aca="false">IF(ISNUMBER(kinematics!D184),kinematics!B184,0)</f>
        <v>0</v>
      </c>
      <c r="E160" s="27" t="n">
        <f aca="false">IF(ISNUMBER(kinematics!J184),kinematics!J184,0)</f>
        <v>0</v>
      </c>
      <c r="I160" s="27" t="n">
        <f aca="false">C160</f>
        <v>172.758</v>
      </c>
      <c r="J160" s="205" t="n">
        <f aca="false">IF(ISNUMBER(kinematics!D184),kinematics!F184,0)</f>
        <v>0</v>
      </c>
      <c r="K160" s="27" t="n">
        <f aca="false">IF(ISNUMBER(kinematics!L184),kinematics!L184,0)</f>
        <v>0</v>
      </c>
      <c r="M160" s="205" t="n">
        <f aca="false">IF(ISNUMBER(kinematics!D184),kinematics!B184,MAX($D$6:$D$186))</f>
        <v>85</v>
      </c>
      <c r="N160" s="205" t="n">
        <f aca="false">IF(ISNUMBER(kinematics!D184),kinematics!F184,0)</f>
        <v>0</v>
      </c>
      <c r="O160" s="205" t="n">
        <f aca="false">IF(ISNUMBER(kinematics!J184),kinematics!J184,0)</f>
        <v>0</v>
      </c>
      <c r="P160" s="27" t="n">
        <f aca="false">IF(ISNUMBER(kinematics!L184),kinematics!L184,0)</f>
        <v>0</v>
      </c>
      <c r="R160" s="27" t="n">
        <f aca="false">O160</f>
        <v>0</v>
      </c>
      <c r="S160" s="27" t="n">
        <f aca="false">P160</f>
        <v>0</v>
      </c>
    </row>
    <row r="161" customFormat="false" ht="12.75" hidden="false" customHeight="false" outlineLevel="0" collapsed="false">
      <c r="C161" s="27" t="n">
        <f aca="false">IF(ISNUMBER(kinematics!D185),kinematics!D185,MAX(kinematics!$D$30:$D$210))</f>
        <v>172.758</v>
      </c>
      <c r="D161" s="205" t="n">
        <f aca="false">IF(ISNUMBER(kinematics!D185),kinematics!B185,0)</f>
        <v>0</v>
      </c>
      <c r="E161" s="27" t="n">
        <f aca="false">IF(ISNUMBER(kinematics!J185),kinematics!J185,0)</f>
        <v>0</v>
      </c>
      <c r="I161" s="27" t="n">
        <f aca="false">C161</f>
        <v>172.758</v>
      </c>
      <c r="J161" s="205" t="n">
        <f aca="false">IF(ISNUMBER(kinematics!D185),kinematics!F185,0)</f>
        <v>0</v>
      </c>
      <c r="K161" s="27" t="n">
        <f aca="false">IF(ISNUMBER(kinematics!L185),kinematics!L185,0)</f>
        <v>0</v>
      </c>
      <c r="M161" s="205" t="n">
        <f aca="false">IF(ISNUMBER(kinematics!D185),kinematics!B185,MAX($D$6:$D$186))</f>
        <v>85</v>
      </c>
      <c r="N161" s="205" t="n">
        <f aca="false">IF(ISNUMBER(kinematics!D185),kinematics!F185,0)</f>
        <v>0</v>
      </c>
      <c r="O161" s="205" t="n">
        <f aca="false">IF(ISNUMBER(kinematics!J185),kinematics!J185,0)</f>
        <v>0</v>
      </c>
      <c r="P161" s="27" t="n">
        <f aca="false">IF(ISNUMBER(kinematics!L185),kinematics!L185,0)</f>
        <v>0</v>
      </c>
      <c r="R161" s="27" t="n">
        <f aca="false">O161</f>
        <v>0</v>
      </c>
      <c r="S161" s="27" t="n">
        <f aca="false">P161</f>
        <v>0</v>
      </c>
    </row>
    <row r="162" customFormat="false" ht="12.75" hidden="false" customHeight="false" outlineLevel="0" collapsed="false">
      <c r="C162" s="27" t="n">
        <f aca="false">IF(ISNUMBER(kinematics!D186),kinematics!D186,MAX(kinematics!$D$30:$D$210))</f>
        <v>172.758</v>
      </c>
      <c r="D162" s="205" t="n">
        <f aca="false">IF(ISNUMBER(kinematics!D186),kinematics!B186,0)</f>
        <v>0</v>
      </c>
      <c r="E162" s="27" t="n">
        <f aca="false">IF(ISNUMBER(kinematics!J186),kinematics!J186,0)</f>
        <v>0</v>
      </c>
      <c r="I162" s="27" t="n">
        <f aca="false">C162</f>
        <v>172.758</v>
      </c>
      <c r="J162" s="205" t="n">
        <f aca="false">IF(ISNUMBER(kinematics!D186),kinematics!F186,0)</f>
        <v>0</v>
      </c>
      <c r="K162" s="27" t="n">
        <f aca="false">IF(ISNUMBER(kinematics!L186),kinematics!L186,0)</f>
        <v>0</v>
      </c>
      <c r="M162" s="205" t="n">
        <f aca="false">IF(ISNUMBER(kinematics!D186),kinematics!B186,MAX($D$6:$D$186))</f>
        <v>85</v>
      </c>
      <c r="N162" s="205" t="n">
        <f aca="false">IF(ISNUMBER(kinematics!D186),kinematics!F186,0)</f>
        <v>0</v>
      </c>
      <c r="O162" s="205" t="n">
        <f aca="false">IF(ISNUMBER(kinematics!J186),kinematics!J186,0)</f>
        <v>0</v>
      </c>
      <c r="P162" s="27" t="n">
        <f aca="false">IF(ISNUMBER(kinematics!L186),kinematics!L186,0)</f>
        <v>0</v>
      </c>
      <c r="R162" s="27" t="n">
        <f aca="false">O162</f>
        <v>0</v>
      </c>
      <c r="S162" s="27" t="n">
        <f aca="false">P162</f>
        <v>0</v>
      </c>
    </row>
    <row r="163" customFormat="false" ht="12.75" hidden="false" customHeight="false" outlineLevel="0" collapsed="false">
      <c r="C163" s="27" t="n">
        <f aca="false">IF(ISNUMBER(kinematics!D187),kinematics!D187,MAX(kinematics!$D$30:$D$210))</f>
        <v>172.758</v>
      </c>
      <c r="D163" s="205" t="n">
        <f aca="false">IF(ISNUMBER(kinematics!D187),kinematics!B187,0)</f>
        <v>0</v>
      </c>
      <c r="E163" s="27" t="n">
        <f aca="false">IF(ISNUMBER(kinematics!J187),kinematics!J187,0)</f>
        <v>0</v>
      </c>
      <c r="I163" s="27" t="n">
        <f aca="false">C163</f>
        <v>172.758</v>
      </c>
      <c r="J163" s="205" t="n">
        <f aca="false">IF(ISNUMBER(kinematics!D187),kinematics!F187,0)</f>
        <v>0</v>
      </c>
      <c r="K163" s="27" t="n">
        <f aca="false">IF(ISNUMBER(kinematics!L187),kinematics!L187,0)</f>
        <v>0</v>
      </c>
      <c r="M163" s="205" t="n">
        <f aca="false">IF(ISNUMBER(kinematics!D187),kinematics!B187,MAX($D$6:$D$186))</f>
        <v>85</v>
      </c>
      <c r="N163" s="205" t="n">
        <f aca="false">IF(ISNUMBER(kinematics!D187),kinematics!F187,0)</f>
        <v>0</v>
      </c>
      <c r="O163" s="205" t="n">
        <f aca="false">IF(ISNUMBER(kinematics!J187),kinematics!J187,0)</f>
        <v>0</v>
      </c>
      <c r="P163" s="27" t="n">
        <f aca="false">IF(ISNUMBER(kinematics!L187),kinematics!L187,0)</f>
        <v>0</v>
      </c>
      <c r="R163" s="27" t="n">
        <f aca="false">O163</f>
        <v>0</v>
      </c>
      <c r="S163" s="27" t="n">
        <f aca="false">P163</f>
        <v>0</v>
      </c>
    </row>
    <row r="164" customFormat="false" ht="12.75" hidden="false" customHeight="false" outlineLevel="0" collapsed="false">
      <c r="C164" s="27" t="n">
        <f aca="false">IF(ISNUMBER(kinematics!D188),kinematics!D188,MAX(kinematics!$D$30:$D$210))</f>
        <v>172.758</v>
      </c>
      <c r="D164" s="205" t="n">
        <f aca="false">IF(ISNUMBER(kinematics!D188),kinematics!B188,0)</f>
        <v>0</v>
      </c>
      <c r="E164" s="27" t="n">
        <f aca="false">IF(ISNUMBER(kinematics!J188),kinematics!J188,0)</f>
        <v>0</v>
      </c>
      <c r="I164" s="27" t="n">
        <f aca="false">C164</f>
        <v>172.758</v>
      </c>
      <c r="J164" s="205" t="n">
        <f aca="false">IF(ISNUMBER(kinematics!D188),kinematics!F188,0)</f>
        <v>0</v>
      </c>
      <c r="K164" s="27" t="n">
        <f aca="false">IF(ISNUMBER(kinematics!L188),kinematics!L188,0)</f>
        <v>0</v>
      </c>
      <c r="M164" s="205" t="n">
        <f aca="false">IF(ISNUMBER(kinematics!D188),kinematics!B188,MAX($D$6:$D$186))</f>
        <v>85</v>
      </c>
      <c r="N164" s="205" t="n">
        <f aca="false">IF(ISNUMBER(kinematics!D188),kinematics!F188,0)</f>
        <v>0</v>
      </c>
      <c r="O164" s="205" t="n">
        <f aca="false">IF(ISNUMBER(kinematics!J188),kinematics!J188,0)</f>
        <v>0</v>
      </c>
      <c r="P164" s="27" t="n">
        <f aca="false">IF(ISNUMBER(kinematics!L188),kinematics!L188,0)</f>
        <v>0</v>
      </c>
      <c r="R164" s="27" t="n">
        <f aca="false">O164</f>
        <v>0</v>
      </c>
      <c r="S164" s="27" t="n">
        <f aca="false">P164</f>
        <v>0</v>
      </c>
    </row>
    <row r="165" customFormat="false" ht="12.75" hidden="false" customHeight="false" outlineLevel="0" collapsed="false">
      <c r="C165" s="27" t="n">
        <f aca="false">IF(ISNUMBER(kinematics!D189),kinematics!D189,MAX(kinematics!$D$30:$D$210))</f>
        <v>172.758</v>
      </c>
      <c r="D165" s="205" t="n">
        <f aca="false">IF(ISNUMBER(kinematics!D189),kinematics!B189,0)</f>
        <v>0</v>
      </c>
      <c r="E165" s="27" t="n">
        <f aca="false">IF(ISNUMBER(kinematics!J189),kinematics!J189,0)</f>
        <v>0</v>
      </c>
      <c r="I165" s="27" t="n">
        <f aca="false">C165</f>
        <v>172.758</v>
      </c>
      <c r="J165" s="205" t="n">
        <f aca="false">IF(ISNUMBER(kinematics!D189),kinematics!F189,0)</f>
        <v>0</v>
      </c>
      <c r="K165" s="27" t="n">
        <f aca="false">IF(ISNUMBER(kinematics!L189),kinematics!L189,0)</f>
        <v>0</v>
      </c>
      <c r="M165" s="205" t="n">
        <f aca="false">IF(ISNUMBER(kinematics!D189),kinematics!B189,MAX($D$6:$D$186))</f>
        <v>85</v>
      </c>
      <c r="N165" s="205" t="n">
        <f aca="false">IF(ISNUMBER(kinematics!D189),kinematics!F189,0)</f>
        <v>0</v>
      </c>
      <c r="O165" s="205" t="n">
        <f aca="false">IF(ISNUMBER(kinematics!J189),kinematics!J189,0)</f>
        <v>0</v>
      </c>
      <c r="P165" s="27" t="n">
        <f aca="false">IF(ISNUMBER(kinematics!L189),kinematics!L189,0)</f>
        <v>0</v>
      </c>
      <c r="R165" s="27" t="n">
        <f aca="false">O165</f>
        <v>0</v>
      </c>
      <c r="S165" s="27" t="n">
        <f aca="false">P165</f>
        <v>0</v>
      </c>
    </row>
    <row r="166" customFormat="false" ht="12.75" hidden="false" customHeight="false" outlineLevel="0" collapsed="false">
      <c r="C166" s="27" t="n">
        <f aca="false">IF(ISNUMBER(kinematics!D190),kinematics!D190,MAX(kinematics!$D$30:$D$210))</f>
        <v>172.758</v>
      </c>
      <c r="D166" s="205" t="n">
        <f aca="false">IF(ISNUMBER(kinematics!D190),kinematics!B190,0)</f>
        <v>0</v>
      </c>
      <c r="E166" s="27" t="n">
        <f aca="false">IF(ISNUMBER(kinematics!J190),kinematics!J190,0)</f>
        <v>0</v>
      </c>
      <c r="I166" s="27" t="n">
        <f aca="false">C166</f>
        <v>172.758</v>
      </c>
      <c r="J166" s="205" t="n">
        <f aca="false">IF(ISNUMBER(kinematics!D190),kinematics!F190,0)</f>
        <v>0</v>
      </c>
      <c r="K166" s="27" t="n">
        <f aca="false">IF(ISNUMBER(kinematics!L190),kinematics!L190,0)</f>
        <v>0</v>
      </c>
      <c r="M166" s="205" t="n">
        <f aca="false">IF(ISNUMBER(kinematics!D190),kinematics!B190,MAX($D$6:$D$186))</f>
        <v>85</v>
      </c>
      <c r="N166" s="205" t="n">
        <f aca="false">IF(ISNUMBER(kinematics!D190),kinematics!F190,0)</f>
        <v>0</v>
      </c>
      <c r="O166" s="205" t="n">
        <f aca="false">IF(ISNUMBER(kinematics!J190),kinematics!J190,0)</f>
        <v>0</v>
      </c>
      <c r="P166" s="27" t="n">
        <f aca="false">IF(ISNUMBER(kinematics!L190),kinematics!L190,0)</f>
        <v>0</v>
      </c>
      <c r="R166" s="27" t="n">
        <f aca="false">O166</f>
        <v>0</v>
      </c>
      <c r="S166" s="27" t="n">
        <f aca="false">P166</f>
        <v>0</v>
      </c>
    </row>
    <row r="167" customFormat="false" ht="12.75" hidden="false" customHeight="false" outlineLevel="0" collapsed="false">
      <c r="C167" s="27" t="n">
        <f aca="false">IF(ISNUMBER(kinematics!D191),kinematics!D191,MAX(kinematics!$D$30:$D$210))</f>
        <v>172.758</v>
      </c>
      <c r="D167" s="205" t="n">
        <f aca="false">IF(ISNUMBER(kinematics!D191),kinematics!B191,0)</f>
        <v>0</v>
      </c>
      <c r="E167" s="27" t="n">
        <f aca="false">IF(ISNUMBER(kinematics!J191),kinematics!J191,0)</f>
        <v>0</v>
      </c>
      <c r="I167" s="27" t="n">
        <f aca="false">C167</f>
        <v>172.758</v>
      </c>
      <c r="J167" s="205" t="n">
        <f aca="false">IF(ISNUMBER(kinematics!D191),kinematics!F191,0)</f>
        <v>0</v>
      </c>
      <c r="K167" s="27" t="n">
        <f aca="false">IF(ISNUMBER(kinematics!L191),kinematics!L191,0)</f>
        <v>0</v>
      </c>
      <c r="M167" s="205" t="n">
        <f aca="false">IF(ISNUMBER(kinematics!D191),kinematics!B191,MAX($D$6:$D$186))</f>
        <v>85</v>
      </c>
      <c r="N167" s="205" t="n">
        <f aca="false">IF(ISNUMBER(kinematics!D191),kinematics!F191,0)</f>
        <v>0</v>
      </c>
      <c r="O167" s="205" t="n">
        <f aca="false">IF(ISNUMBER(kinematics!J191),kinematics!J191,0)</f>
        <v>0</v>
      </c>
      <c r="P167" s="27" t="n">
        <f aca="false">IF(ISNUMBER(kinematics!L191),kinematics!L191,0)</f>
        <v>0</v>
      </c>
      <c r="R167" s="27" t="n">
        <f aca="false">O167</f>
        <v>0</v>
      </c>
      <c r="S167" s="27" t="n">
        <f aca="false">P167</f>
        <v>0</v>
      </c>
    </row>
    <row r="168" customFormat="false" ht="12.75" hidden="false" customHeight="false" outlineLevel="0" collapsed="false">
      <c r="C168" s="27" t="n">
        <f aca="false">IF(ISNUMBER(kinematics!D192),kinematics!D192,MAX(kinematics!$D$30:$D$210))</f>
        <v>172.758</v>
      </c>
      <c r="D168" s="205" t="n">
        <f aca="false">IF(ISNUMBER(kinematics!D192),kinematics!B192,0)</f>
        <v>0</v>
      </c>
      <c r="E168" s="27" t="n">
        <f aca="false">IF(ISNUMBER(kinematics!J192),kinematics!J192,0)</f>
        <v>0</v>
      </c>
      <c r="I168" s="27" t="n">
        <f aca="false">C168</f>
        <v>172.758</v>
      </c>
      <c r="J168" s="205" t="n">
        <f aca="false">IF(ISNUMBER(kinematics!D192),kinematics!F192,0)</f>
        <v>0</v>
      </c>
      <c r="K168" s="27" t="n">
        <f aca="false">IF(ISNUMBER(kinematics!L192),kinematics!L192,0)</f>
        <v>0</v>
      </c>
      <c r="M168" s="205" t="n">
        <f aca="false">IF(ISNUMBER(kinematics!D192),kinematics!B192,MAX($D$6:$D$186))</f>
        <v>85</v>
      </c>
      <c r="N168" s="205" t="n">
        <f aca="false">IF(ISNUMBER(kinematics!D192),kinematics!F192,0)</f>
        <v>0</v>
      </c>
      <c r="O168" s="205" t="n">
        <f aca="false">IF(ISNUMBER(kinematics!J192),kinematics!J192,0)</f>
        <v>0</v>
      </c>
      <c r="P168" s="27" t="n">
        <f aca="false">IF(ISNUMBER(kinematics!L192),kinematics!L192,0)</f>
        <v>0</v>
      </c>
      <c r="R168" s="27" t="n">
        <f aca="false">O168</f>
        <v>0</v>
      </c>
      <c r="S168" s="27" t="n">
        <f aca="false">P168</f>
        <v>0</v>
      </c>
    </row>
    <row r="169" customFormat="false" ht="12.75" hidden="false" customHeight="false" outlineLevel="0" collapsed="false">
      <c r="C169" s="27" t="n">
        <f aca="false">IF(ISNUMBER(kinematics!D193),kinematics!D193,MAX(kinematics!$D$30:$D$210))</f>
        <v>172.758</v>
      </c>
      <c r="D169" s="205" t="n">
        <f aca="false">IF(ISNUMBER(kinematics!D193),kinematics!B193,0)</f>
        <v>0</v>
      </c>
      <c r="E169" s="27" t="n">
        <f aca="false">IF(ISNUMBER(kinematics!J193),kinematics!J193,0)</f>
        <v>0</v>
      </c>
      <c r="I169" s="27" t="n">
        <f aca="false">C169</f>
        <v>172.758</v>
      </c>
      <c r="J169" s="205" t="n">
        <f aca="false">IF(ISNUMBER(kinematics!D193),kinematics!F193,0)</f>
        <v>0</v>
      </c>
      <c r="K169" s="27" t="n">
        <f aca="false">IF(ISNUMBER(kinematics!L193),kinematics!L193,0)</f>
        <v>0</v>
      </c>
      <c r="M169" s="205" t="n">
        <f aca="false">IF(ISNUMBER(kinematics!D193),kinematics!B193,MAX($D$6:$D$186))</f>
        <v>85</v>
      </c>
      <c r="N169" s="205" t="n">
        <f aca="false">IF(ISNUMBER(kinematics!D193),kinematics!F193,0)</f>
        <v>0</v>
      </c>
      <c r="O169" s="205" t="n">
        <f aca="false">IF(ISNUMBER(kinematics!J193),kinematics!J193,0)</f>
        <v>0</v>
      </c>
      <c r="P169" s="27" t="n">
        <f aca="false">IF(ISNUMBER(kinematics!L193),kinematics!L193,0)</f>
        <v>0</v>
      </c>
      <c r="R169" s="27" t="n">
        <f aca="false">O169</f>
        <v>0</v>
      </c>
      <c r="S169" s="27" t="n">
        <f aca="false">P169</f>
        <v>0</v>
      </c>
    </row>
    <row r="170" customFormat="false" ht="12.75" hidden="false" customHeight="false" outlineLevel="0" collapsed="false">
      <c r="C170" s="27" t="n">
        <f aca="false">IF(ISNUMBER(kinematics!D194),kinematics!D194,MAX(kinematics!$D$30:$D$210))</f>
        <v>172.758</v>
      </c>
      <c r="D170" s="205" t="n">
        <f aca="false">IF(ISNUMBER(kinematics!D194),kinematics!B194,0)</f>
        <v>0</v>
      </c>
      <c r="E170" s="27" t="n">
        <f aca="false">IF(ISNUMBER(kinematics!J194),kinematics!J194,0)</f>
        <v>0</v>
      </c>
      <c r="I170" s="27" t="n">
        <f aca="false">C170</f>
        <v>172.758</v>
      </c>
      <c r="J170" s="205" t="n">
        <f aca="false">IF(ISNUMBER(kinematics!D194),kinematics!F194,0)</f>
        <v>0</v>
      </c>
      <c r="K170" s="27" t="n">
        <f aca="false">IF(ISNUMBER(kinematics!L194),kinematics!L194,0)</f>
        <v>0</v>
      </c>
      <c r="M170" s="205" t="n">
        <f aca="false">IF(ISNUMBER(kinematics!D194),kinematics!B194,MAX($D$6:$D$186))</f>
        <v>85</v>
      </c>
      <c r="N170" s="205" t="n">
        <f aca="false">IF(ISNUMBER(kinematics!D194),kinematics!F194,0)</f>
        <v>0</v>
      </c>
      <c r="O170" s="205" t="n">
        <f aca="false">IF(ISNUMBER(kinematics!J194),kinematics!J194,0)</f>
        <v>0</v>
      </c>
      <c r="P170" s="27" t="n">
        <f aca="false">IF(ISNUMBER(kinematics!L194),kinematics!L194,0)</f>
        <v>0</v>
      </c>
      <c r="R170" s="27" t="n">
        <f aca="false">O170</f>
        <v>0</v>
      </c>
      <c r="S170" s="27" t="n">
        <f aca="false">P170</f>
        <v>0</v>
      </c>
    </row>
    <row r="171" customFormat="false" ht="12.75" hidden="false" customHeight="false" outlineLevel="0" collapsed="false">
      <c r="C171" s="27" t="n">
        <f aca="false">IF(ISNUMBER(kinematics!D195),kinematics!D195,MAX(kinematics!$D$30:$D$210))</f>
        <v>172.758</v>
      </c>
      <c r="D171" s="205" t="n">
        <f aca="false">IF(ISNUMBER(kinematics!D195),kinematics!B195,0)</f>
        <v>0</v>
      </c>
      <c r="E171" s="27" t="n">
        <f aca="false">IF(ISNUMBER(kinematics!J195),kinematics!J195,0)</f>
        <v>0</v>
      </c>
      <c r="I171" s="27" t="n">
        <f aca="false">C171</f>
        <v>172.758</v>
      </c>
      <c r="J171" s="205" t="n">
        <f aca="false">IF(ISNUMBER(kinematics!D195),kinematics!F195,0)</f>
        <v>0</v>
      </c>
      <c r="K171" s="27" t="n">
        <f aca="false">IF(ISNUMBER(kinematics!L195),kinematics!L195,0)</f>
        <v>0</v>
      </c>
      <c r="M171" s="205" t="n">
        <f aca="false">IF(ISNUMBER(kinematics!D195),kinematics!B195,MAX($D$6:$D$186))</f>
        <v>85</v>
      </c>
      <c r="N171" s="205" t="n">
        <f aca="false">IF(ISNUMBER(kinematics!D195),kinematics!F195,0)</f>
        <v>0</v>
      </c>
      <c r="O171" s="205" t="n">
        <f aca="false">IF(ISNUMBER(kinematics!J195),kinematics!J195,0)</f>
        <v>0</v>
      </c>
      <c r="P171" s="27" t="n">
        <f aca="false">IF(ISNUMBER(kinematics!L195),kinematics!L195,0)</f>
        <v>0</v>
      </c>
      <c r="R171" s="27" t="n">
        <f aca="false">O171</f>
        <v>0</v>
      </c>
      <c r="S171" s="27" t="n">
        <f aca="false">P171</f>
        <v>0</v>
      </c>
    </row>
    <row r="172" customFormat="false" ht="12.75" hidden="false" customHeight="false" outlineLevel="0" collapsed="false">
      <c r="C172" s="27" t="n">
        <f aca="false">IF(ISNUMBER(kinematics!D196),kinematics!D196,MAX(kinematics!$D$30:$D$210))</f>
        <v>172.758</v>
      </c>
      <c r="D172" s="205" t="n">
        <f aca="false">IF(ISNUMBER(kinematics!D196),kinematics!B196,0)</f>
        <v>0</v>
      </c>
      <c r="E172" s="27" t="n">
        <f aca="false">IF(ISNUMBER(kinematics!J196),kinematics!J196,0)</f>
        <v>0</v>
      </c>
      <c r="I172" s="27" t="n">
        <f aca="false">C172</f>
        <v>172.758</v>
      </c>
      <c r="J172" s="205" t="n">
        <f aca="false">IF(ISNUMBER(kinematics!D196),kinematics!F196,0)</f>
        <v>0</v>
      </c>
      <c r="K172" s="27" t="n">
        <f aca="false">IF(ISNUMBER(kinematics!L196),kinematics!L196,0)</f>
        <v>0</v>
      </c>
      <c r="M172" s="205" t="n">
        <f aca="false">IF(ISNUMBER(kinematics!D196),kinematics!B196,MAX($D$6:$D$186))</f>
        <v>85</v>
      </c>
      <c r="N172" s="205" t="n">
        <f aca="false">IF(ISNUMBER(kinematics!D196),kinematics!F196,0)</f>
        <v>0</v>
      </c>
      <c r="O172" s="205" t="n">
        <f aca="false">IF(ISNUMBER(kinematics!J196),kinematics!J196,0)</f>
        <v>0</v>
      </c>
      <c r="P172" s="27" t="n">
        <f aca="false">IF(ISNUMBER(kinematics!L196),kinematics!L196,0)</f>
        <v>0</v>
      </c>
      <c r="R172" s="27" t="n">
        <f aca="false">O172</f>
        <v>0</v>
      </c>
      <c r="S172" s="27" t="n">
        <f aca="false">P172</f>
        <v>0</v>
      </c>
    </row>
    <row r="173" customFormat="false" ht="12.75" hidden="false" customHeight="false" outlineLevel="0" collapsed="false">
      <c r="C173" s="27" t="n">
        <f aca="false">IF(ISNUMBER(kinematics!D197),kinematics!D197,MAX(kinematics!$D$30:$D$210))</f>
        <v>172.758</v>
      </c>
      <c r="D173" s="205" t="n">
        <f aca="false">IF(ISNUMBER(kinematics!D197),kinematics!B197,0)</f>
        <v>0</v>
      </c>
      <c r="E173" s="27" t="n">
        <f aca="false">IF(ISNUMBER(kinematics!J197),kinematics!J197,0)</f>
        <v>0</v>
      </c>
      <c r="I173" s="27" t="n">
        <f aca="false">C173</f>
        <v>172.758</v>
      </c>
      <c r="J173" s="205" t="n">
        <f aca="false">IF(ISNUMBER(kinematics!D197),kinematics!F197,0)</f>
        <v>0</v>
      </c>
      <c r="K173" s="27" t="n">
        <f aca="false">IF(ISNUMBER(kinematics!L197),kinematics!L197,0)</f>
        <v>0</v>
      </c>
      <c r="M173" s="205" t="n">
        <f aca="false">IF(ISNUMBER(kinematics!D197),kinematics!B197,MAX($D$6:$D$186))</f>
        <v>85</v>
      </c>
      <c r="N173" s="205" t="n">
        <f aca="false">IF(ISNUMBER(kinematics!D197),kinematics!F197,0)</f>
        <v>0</v>
      </c>
      <c r="O173" s="205" t="n">
        <f aca="false">IF(ISNUMBER(kinematics!J197),kinematics!J197,0)</f>
        <v>0</v>
      </c>
      <c r="P173" s="27" t="n">
        <f aca="false">IF(ISNUMBER(kinematics!L197),kinematics!L197,0)</f>
        <v>0</v>
      </c>
      <c r="R173" s="27" t="n">
        <f aca="false">O173</f>
        <v>0</v>
      </c>
      <c r="S173" s="27" t="n">
        <f aca="false">P173</f>
        <v>0</v>
      </c>
    </row>
    <row r="174" customFormat="false" ht="12.75" hidden="false" customHeight="false" outlineLevel="0" collapsed="false">
      <c r="C174" s="27" t="n">
        <f aca="false">IF(ISNUMBER(kinematics!D198),kinematics!D198,MAX(kinematics!$D$30:$D$210))</f>
        <v>172.758</v>
      </c>
      <c r="D174" s="205" t="n">
        <f aca="false">IF(ISNUMBER(kinematics!D198),kinematics!B198,0)</f>
        <v>0</v>
      </c>
      <c r="E174" s="27" t="n">
        <f aca="false">IF(ISNUMBER(kinematics!J198),kinematics!J198,0)</f>
        <v>0</v>
      </c>
      <c r="I174" s="27" t="n">
        <f aca="false">C174</f>
        <v>172.758</v>
      </c>
      <c r="J174" s="205" t="n">
        <f aca="false">IF(ISNUMBER(kinematics!D198),kinematics!F198,0)</f>
        <v>0</v>
      </c>
      <c r="K174" s="27" t="n">
        <f aca="false">IF(ISNUMBER(kinematics!L198),kinematics!L198,0)</f>
        <v>0</v>
      </c>
      <c r="M174" s="205" t="n">
        <f aca="false">IF(ISNUMBER(kinematics!D198),kinematics!B198,MAX($D$6:$D$186))</f>
        <v>85</v>
      </c>
      <c r="N174" s="205" t="n">
        <f aca="false">IF(ISNUMBER(kinematics!D198),kinematics!F198,0)</f>
        <v>0</v>
      </c>
      <c r="O174" s="205" t="n">
        <f aca="false">IF(ISNUMBER(kinematics!J198),kinematics!J198,0)</f>
        <v>0</v>
      </c>
      <c r="P174" s="27" t="n">
        <f aca="false">IF(ISNUMBER(kinematics!L198),kinematics!L198,0)</f>
        <v>0</v>
      </c>
      <c r="R174" s="27" t="n">
        <f aca="false">O174</f>
        <v>0</v>
      </c>
      <c r="S174" s="27" t="n">
        <f aca="false">P174</f>
        <v>0</v>
      </c>
    </row>
    <row r="175" customFormat="false" ht="12.75" hidden="false" customHeight="false" outlineLevel="0" collapsed="false">
      <c r="C175" s="27" t="n">
        <f aca="false">IF(ISNUMBER(kinematics!D199),kinematics!D199,MAX(kinematics!$D$30:$D$210))</f>
        <v>172.758</v>
      </c>
      <c r="D175" s="205" t="n">
        <f aca="false">IF(ISNUMBER(kinematics!D199),kinematics!B199,0)</f>
        <v>0</v>
      </c>
      <c r="E175" s="27" t="n">
        <f aca="false">IF(ISNUMBER(kinematics!J199),kinematics!J199,0)</f>
        <v>0</v>
      </c>
      <c r="I175" s="27" t="n">
        <f aca="false">C175</f>
        <v>172.758</v>
      </c>
      <c r="J175" s="205" t="n">
        <f aca="false">IF(ISNUMBER(kinematics!D199),kinematics!F199,0)</f>
        <v>0</v>
      </c>
      <c r="K175" s="27" t="n">
        <f aca="false">IF(ISNUMBER(kinematics!L199),kinematics!L199,0)</f>
        <v>0</v>
      </c>
      <c r="M175" s="205" t="n">
        <f aca="false">IF(ISNUMBER(kinematics!D199),kinematics!B199,MAX($D$6:$D$186))</f>
        <v>85</v>
      </c>
      <c r="N175" s="205" t="n">
        <f aca="false">IF(ISNUMBER(kinematics!D199),kinematics!F199,0)</f>
        <v>0</v>
      </c>
      <c r="O175" s="205" t="n">
        <f aca="false">IF(ISNUMBER(kinematics!J199),kinematics!J199,0)</f>
        <v>0</v>
      </c>
      <c r="P175" s="27" t="n">
        <f aca="false">IF(ISNUMBER(kinematics!L199),kinematics!L199,0)</f>
        <v>0</v>
      </c>
      <c r="R175" s="27" t="n">
        <f aca="false">O175</f>
        <v>0</v>
      </c>
      <c r="S175" s="27" t="n">
        <f aca="false">P175</f>
        <v>0</v>
      </c>
    </row>
    <row r="176" customFormat="false" ht="12.75" hidden="false" customHeight="false" outlineLevel="0" collapsed="false">
      <c r="C176" s="27" t="n">
        <f aca="false">IF(ISNUMBER(kinematics!D200),kinematics!D200,MAX(kinematics!$D$30:$D$210))</f>
        <v>172.758</v>
      </c>
      <c r="D176" s="205" t="n">
        <f aca="false">IF(ISNUMBER(kinematics!D200),kinematics!B200,0)</f>
        <v>0</v>
      </c>
      <c r="E176" s="27" t="n">
        <f aca="false">IF(ISNUMBER(kinematics!J200),kinematics!J200,0)</f>
        <v>0</v>
      </c>
      <c r="I176" s="27" t="n">
        <f aca="false">C176</f>
        <v>172.758</v>
      </c>
      <c r="J176" s="205" t="n">
        <f aca="false">IF(ISNUMBER(kinematics!D200),kinematics!F200,0)</f>
        <v>0</v>
      </c>
      <c r="K176" s="27" t="n">
        <f aca="false">IF(ISNUMBER(kinematics!L200),kinematics!L200,0)</f>
        <v>0</v>
      </c>
      <c r="M176" s="205" t="n">
        <f aca="false">IF(ISNUMBER(kinematics!D200),kinematics!B200,MAX($D$6:$D$186))</f>
        <v>85</v>
      </c>
      <c r="N176" s="205" t="n">
        <f aca="false">IF(ISNUMBER(kinematics!D200),kinematics!F200,0)</f>
        <v>0</v>
      </c>
      <c r="O176" s="205" t="n">
        <f aca="false">IF(ISNUMBER(kinematics!J200),kinematics!J200,0)</f>
        <v>0</v>
      </c>
      <c r="P176" s="27" t="n">
        <f aca="false">IF(ISNUMBER(kinematics!L200),kinematics!L200,0)</f>
        <v>0</v>
      </c>
      <c r="R176" s="27" t="n">
        <f aca="false">O176</f>
        <v>0</v>
      </c>
      <c r="S176" s="27" t="n">
        <f aca="false">P176</f>
        <v>0</v>
      </c>
    </row>
    <row r="177" customFormat="false" ht="12.75" hidden="false" customHeight="false" outlineLevel="0" collapsed="false">
      <c r="C177" s="27" t="n">
        <f aca="false">IF(ISNUMBER(kinematics!D201),kinematics!D201,MAX(kinematics!$D$30:$D$210))</f>
        <v>172.758</v>
      </c>
      <c r="D177" s="205" t="n">
        <f aca="false">IF(ISNUMBER(kinematics!D201),kinematics!B201,0)</f>
        <v>0</v>
      </c>
      <c r="E177" s="27" t="n">
        <f aca="false">IF(ISNUMBER(kinematics!J201),kinematics!J201,0)</f>
        <v>0</v>
      </c>
      <c r="I177" s="27" t="n">
        <f aca="false">C177</f>
        <v>172.758</v>
      </c>
      <c r="J177" s="205" t="n">
        <f aca="false">IF(ISNUMBER(kinematics!D201),kinematics!F201,0)</f>
        <v>0</v>
      </c>
      <c r="K177" s="27" t="n">
        <f aca="false">IF(ISNUMBER(kinematics!L201),kinematics!L201,0)</f>
        <v>0</v>
      </c>
      <c r="M177" s="205" t="n">
        <f aca="false">IF(ISNUMBER(kinematics!D201),kinematics!B201,MAX($D$6:$D$186))</f>
        <v>85</v>
      </c>
      <c r="N177" s="205" t="n">
        <f aca="false">IF(ISNUMBER(kinematics!D201),kinematics!F201,0)</f>
        <v>0</v>
      </c>
      <c r="O177" s="205" t="n">
        <f aca="false">IF(ISNUMBER(kinematics!J201),kinematics!J201,0)</f>
        <v>0</v>
      </c>
      <c r="P177" s="27" t="n">
        <f aca="false">IF(ISNUMBER(kinematics!L201),kinematics!L201,0)</f>
        <v>0</v>
      </c>
      <c r="R177" s="27" t="n">
        <f aca="false">O177</f>
        <v>0</v>
      </c>
      <c r="S177" s="27" t="n">
        <f aca="false">P177</f>
        <v>0</v>
      </c>
    </row>
    <row r="178" customFormat="false" ht="12.75" hidden="false" customHeight="false" outlineLevel="0" collapsed="false">
      <c r="C178" s="27" t="n">
        <f aca="false">IF(ISNUMBER(kinematics!D202),kinematics!D202,MAX(kinematics!$D$30:$D$210))</f>
        <v>172.758</v>
      </c>
      <c r="D178" s="205" t="n">
        <f aca="false">IF(ISNUMBER(kinematics!D202),kinematics!B202,0)</f>
        <v>0</v>
      </c>
      <c r="E178" s="27" t="n">
        <f aca="false">IF(ISNUMBER(kinematics!J202),kinematics!J202,0)</f>
        <v>0</v>
      </c>
      <c r="I178" s="27" t="n">
        <f aca="false">C178</f>
        <v>172.758</v>
      </c>
      <c r="J178" s="205" t="n">
        <f aca="false">IF(ISNUMBER(kinematics!D202),kinematics!F202,0)</f>
        <v>0</v>
      </c>
      <c r="K178" s="27" t="n">
        <f aca="false">IF(ISNUMBER(kinematics!L202),kinematics!L202,0)</f>
        <v>0</v>
      </c>
      <c r="M178" s="205" t="n">
        <f aca="false">IF(ISNUMBER(kinematics!D202),kinematics!B202,MAX($D$6:$D$186))</f>
        <v>85</v>
      </c>
      <c r="N178" s="205" t="n">
        <f aca="false">IF(ISNUMBER(kinematics!D202),kinematics!F202,0)</f>
        <v>0</v>
      </c>
      <c r="O178" s="205" t="n">
        <f aca="false">IF(ISNUMBER(kinematics!J202),kinematics!J202,0)</f>
        <v>0</v>
      </c>
      <c r="P178" s="27" t="n">
        <f aca="false">IF(ISNUMBER(kinematics!L202),kinematics!L202,0)</f>
        <v>0</v>
      </c>
      <c r="R178" s="27" t="n">
        <f aca="false">O178</f>
        <v>0</v>
      </c>
      <c r="S178" s="27" t="n">
        <f aca="false">P178</f>
        <v>0</v>
      </c>
    </row>
    <row r="179" customFormat="false" ht="12.75" hidden="false" customHeight="false" outlineLevel="0" collapsed="false">
      <c r="C179" s="27" t="n">
        <f aca="false">IF(ISNUMBER(kinematics!D203),kinematics!D203,MAX(kinematics!$D$30:$D$210))</f>
        <v>172.758</v>
      </c>
      <c r="D179" s="205" t="n">
        <f aca="false">IF(ISNUMBER(kinematics!D203),kinematics!B203,0)</f>
        <v>0</v>
      </c>
      <c r="E179" s="27" t="n">
        <f aca="false">IF(ISNUMBER(kinematics!J203),kinematics!J203,0)</f>
        <v>0</v>
      </c>
      <c r="I179" s="27" t="n">
        <f aca="false">C179</f>
        <v>172.758</v>
      </c>
      <c r="J179" s="205" t="n">
        <f aca="false">IF(ISNUMBER(kinematics!D203),kinematics!F203,0)</f>
        <v>0</v>
      </c>
      <c r="K179" s="27" t="n">
        <f aca="false">IF(ISNUMBER(kinematics!L203),kinematics!L203,0)</f>
        <v>0</v>
      </c>
      <c r="M179" s="205" t="n">
        <f aca="false">IF(ISNUMBER(kinematics!D203),kinematics!B203,MAX($D$6:$D$186))</f>
        <v>85</v>
      </c>
      <c r="N179" s="205" t="n">
        <f aca="false">IF(ISNUMBER(kinematics!D203),kinematics!F203,0)</f>
        <v>0</v>
      </c>
      <c r="O179" s="205" t="n">
        <f aca="false">IF(ISNUMBER(kinematics!J203),kinematics!J203,0)</f>
        <v>0</v>
      </c>
      <c r="P179" s="27" t="n">
        <f aca="false">IF(ISNUMBER(kinematics!L203),kinematics!L203,0)</f>
        <v>0</v>
      </c>
      <c r="R179" s="27" t="n">
        <f aca="false">O179</f>
        <v>0</v>
      </c>
      <c r="S179" s="27" t="n">
        <f aca="false">P179</f>
        <v>0</v>
      </c>
    </row>
    <row r="180" customFormat="false" ht="12.75" hidden="false" customHeight="false" outlineLevel="0" collapsed="false">
      <c r="C180" s="27" t="n">
        <f aca="false">IF(ISNUMBER(kinematics!D204),kinematics!D204,MAX(kinematics!$D$30:$D$210))</f>
        <v>172.758</v>
      </c>
      <c r="D180" s="205" t="n">
        <f aca="false">IF(ISNUMBER(kinematics!D204),kinematics!B204,0)</f>
        <v>0</v>
      </c>
      <c r="E180" s="27" t="n">
        <f aca="false">IF(ISNUMBER(kinematics!J204),kinematics!J204,0)</f>
        <v>0</v>
      </c>
      <c r="I180" s="27" t="n">
        <f aca="false">C180</f>
        <v>172.758</v>
      </c>
      <c r="J180" s="205" t="n">
        <f aca="false">IF(ISNUMBER(kinematics!D204),kinematics!F204,0)</f>
        <v>0</v>
      </c>
      <c r="K180" s="27" t="n">
        <f aca="false">IF(ISNUMBER(kinematics!L204),kinematics!L204,0)</f>
        <v>0</v>
      </c>
      <c r="M180" s="205" t="n">
        <f aca="false">IF(ISNUMBER(kinematics!D204),kinematics!B204,MAX($D$6:$D$186))</f>
        <v>85</v>
      </c>
      <c r="N180" s="205" t="n">
        <f aca="false">IF(ISNUMBER(kinematics!D204),kinematics!F204,0)</f>
        <v>0</v>
      </c>
      <c r="O180" s="205" t="n">
        <f aca="false">IF(ISNUMBER(kinematics!J204),kinematics!J204,0)</f>
        <v>0</v>
      </c>
      <c r="P180" s="27" t="n">
        <f aca="false">IF(ISNUMBER(kinematics!L204),kinematics!L204,0)</f>
        <v>0</v>
      </c>
      <c r="R180" s="27" t="n">
        <f aca="false">O180</f>
        <v>0</v>
      </c>
      <c r="S180" s="27" t="n">
        <f aca="false">P180</f>
        <v>0</v>
      </c>
    </row>
    <row r="181" customFormat="false" ht="12.75" hidden="false" customHeight="false" outlineLevel="0" collapsed="false">
      <c r="C181" s="27" t="n">
        <f aca="false">IF(ISNUMBER(kinematics!D205),kinematics!D205,MAX(kinematics!$D$30:$D$210))</f>
        <v>172.758</v>
      </c>
      <c r="D181" s="205" t="n">
        <f aca="false">IF(ISNUMBER(kinematics!D205),kinematics!B205,0)</f>
        <v>0</v>
      </c>
      <c r="E181" s="27" t="n">
        <f aca="false">IF(ISNUMBER(kinematics!J205),kinematics!J205,0)</f>
        <v>0</v>
      </c>
      <c r="I181" s="27" t="n">
        <f aca="false">C181</f>
        <v>172.758</v>
      </c>
      <c r="J181" s="205" t="n">
        <f aca="false">IF(ISNUMBER(kinematics!D205),kinematics!F205,0)</f>
        <v>0</v>
      </c>
      <c r="K181" s="27" t="n">
        <f aca="false">IF(ISNUMBER(kinematics!L205),kinematics!L205,0)</f>
        <v>0</v>
      </c>
      <c r="M181" s="205" t="n">
        <f aca="false">IF(ISNUMBER(kinematics!D205),kinematics!B205,MAX($D$6:$D$186))</f>
        <v>85</v>
      </c>
      <c r="N181" s="205" t="n">
        <f aca="false">IF(ISNUMBER(kinematics!D205),kinematics!F205,0)</f>
        <v>0</v>
      </c>
      <c r="O181" s="205" t="n">
        <f aca="false">IF(ISNUMBER(kinematics!J205),kinematics!J205,0)</f>
        <v>0</v>
      </c>
      <c r="P181" s="27" t="n">
        <f aca="false">IF(ISNUMBER(kinematics!L205),kinematics!L205,0)</f>
        <v>0</v>
      </c>
      <c r="R181" s="27" t="n">
        <f aca="false">O181</f>
        <v>0</v>
      </c>
      <c r="S181" s="27" t="n">
        <f aca="false">P181</f>
        <v>0</v>
      </c>
    </row>
    <row r="182" customFormat="false" ht="12.75" hidden="false" customHeight="false" outlineLevel="0" collapsed="false">
      <c r="C182" s="27" t="n">
        <f aca="false">IF(ISNUMBER(kinematics!D206),kinematics!D206,MAX(kinematics!$D$30:$D$210))</f>
        <v>172.758</v>
      </c>
      <c r="D182" s="205" t="n">
        <f aca="false">IF(ISNUMBER(kinematics!D206),kinematics!B206,0)</f>
        <v>0</v>
      </c>
      <c r="E182" s="27" t="n">
        <f aca="false">IF(ISNUMBER(kinematics!J206),kinematics!J206,0)</f>
        <v>0</v>
      </c>
      <c r="I182" s="27" t="n">
        <f aca="false">C182</f>
        <v>172.758</v>
      </c>
      <c r="J182" s="205" t="n">
        <f aca="false">IF(ISNUMBER(kinematics!D206),kinematics!F206,0)</f>
        <v>0</v>
      </c>
      <c r="K182" s="27" t="n">
        <f aca="false">IF(ISNUMBER(kinematics!L206),kinematics!L206,0)</f>
        <v>0</v>
      </c>
      <c r="M182" s="205" t="n">
        <f aca="false">IF(ISNUMBER(kinematics!D206),kinematics!B206,MAX($D$6:$D$186))</f>
        <v>85</v>
      </c>
      <c r="N182" s="205" t="n">
        <f aca="false">IF(ISNUMBER(kinematics!D206),kinematics!F206,0)</f>
        <v>0</v>
      </c>
      <c r="O182" s="205" t="n">
        <f aca="false">IF(ISNUMBER(kinematics!J206),kinematics!J206,0)</f>
        <v>0</v>
      </c>
      <c r="P182" s="27" t="n">
        <f aca="false">IF(ISNUMBER(kinematics!L206),kinematics!L206,0)</f>
        <v>0</v>
      </c>
      <c r="R182" s="27" t="n">
        <f aca="false">O182</f>
        <v>0</v>
      </c>
      <c r="S182" s="27" t="n">
        <f aca="false">P182</f>
        <v>0</v>
      </c>
    </row>
    <row r="183" customFormat="false" ht="12.75" hidden="false" customHeight="false" outlineLevel="0" collapsed="false">
      <c r="C183" s="27" t="n">
        <f aca="false">IF(ISNUMBER(kinematics!D207),kinematics!D207,MAX(kinematics!$D$30:$D$210))</f>
        <v>172.758</v>
      </c>
      <c r="D183" s="205" t="n">
        <f aca="false">IF(ISNUMBER(kinematics!D207),kinematics!B207,0)</f>
        <v>0</v>
      </c>
      <c r="E183" s="27" t="n">
        <f aca="false">IF(ISNUMBER(kinematics!J207),kinematics!J207,0)</f>
        <v>0</v>
      </c>
      <c r="I183" s="27" t="n">
        <f aca="false">C183</f>
        <v>172.758</v>
      </c>
      <c r="J183" s="205" t="n">
        <f aca="false">IF(ISNUMBER(kinematics!D207),kinematics!F207,0)</f>
        <v>0</v>
      </c>
      <c r="K183" s="27" t="n">
        <f aca="false">IF(ISNUMBER(kinematics!L207),kinematics!L207,0)</f>
        <v>0</v>
      </c>
      <c r="M183" s="205" t="n">
        <f aca="false">IF(ISNUMBER(kinematics!D207),kinematics!B207,MAX($D$6:$D$186))</f>
        <v>85</v>
      </c>
      <c r="N183" s="205" t="n">
        <f aca="false">IF(ISNUMBER(kinematics!D207),kinematics!F207,0)</f>
        <v>0</v>
      </c>
      <c r="O183" s="205" t="n">
        <f aca="false">IF(ISNUMBER(kinematics!J207),kinematics!J207,0)</f>
        <v>0</v>
      </c>
      <c r="P183" s="27" t="n">
        <f aca="false">IF(ISNUMBER(kinematics!L207),kinematics!L207,0)</f>
        <v>0</v>
      </c>
      <c r="R183" s="27" t="n">
        <f aca="false">O183</f>
        <v>0</v>
      </c>
      <c r="S183" s="27" t="n">
        <f aca="false">P183</f>
        <v>0</v>
      </c>
    </row>
    <row r="184" customFormat="false" ht="12.75" hidden="false" customHeight="false" outlineLevel="0" collapsed="false">
      <c r="C184" s="27" t="n">
        <f aca="false">IF(ISNUMBER(kinematics!D208),kinematics!D208,MAX(kinematics!$D$30:$D$210))</f>
        <v>172.758</v>
      </c>
      <c r="D184" s="205" t="n">
        <f aca="false">IF(ISNUMBER(kinematics!D208),kinematics!B208,0)</f>
        <v>0</v>
      </c>
      <c r="E184" s="27" t="n">
        <f aca="false">IF(ISNUMBER(kinematics!J208),kinematics!J208,0)</f>
        <v>0</v>
      </c>
      <c r="I184" s="27" t="n">
        <f aca="false">C184</f>
        <v>172.758</v>
      </c>
      <c r="J184" s="205" t="n">
        <f aca="false">IF(ISNUMBER(kinematics!D208),kinematics!F208,0)</f>
        <v>0</v>
      </c>
      <c r="K184" s="27" t="n">
        <f aca="false">IF(ISNUMBER(kinematics!L208),kinematics!L208,0)</f>
        <v>0</v>
      </c>
      <c r="M184" s="205" t="n">
        <f aca="false">IF(ISNUMBER(kinematics!D208),kinematics!B208,MAX($D$6:$D$186))</f>
        <v>85</v>
      </c>
      <c r="N184" s="205" t="n">
        <f aca="false">IF(ISNUMBER(kinematics!D208),kinematics!F208,0)</f>
        <v>0</v>
      </c>
      <c r="O184" s="205" t="n">
        <f aca="false">IF(ISNUMBER(kinematics!J208),kinematics!J208,0)</f>
        <v>0</v>
      </c>
      <c r="P184" s="27" t="n">
        <f aca="false">IF(ISNUMBER(kinematics!L208),kinematics!L208,0)</f>
        <v>0</v>
      </c>
      <c r="R184" s="27" t="n">
        <f aca="false">O184</f>
        <v>0</v>
      </c>
      <c r="S184" s="27" t="n">
        <f aca="false">P184</f>
        <v>0</v>
      </c>
    </row>
    <row r="185" customFormat="false" ht="12.75" hidden="false" customHeight="false" outlineLevel="0" collapsed="false">
      <c r="C185" s="27" t="n">
        <f aca="false">IF(ISNUMBER(kinematics!D209),kinematics!D209,MAX(kinematics!$D$30:$D$210))</f>
        <v>172.758</v>
      </c>
      <c r="D185" s="205" t="n">
        <f aca="false">IF(ISNUMBER(kinematics!D209),kinematics!B209,0)</f>
        <v>0</v>
      </c>
      <c r="E185" s="27" t="n">
        <f aca="false">IF(ISNUMBER(kinematics!J209),kinematics!J209,0)</f>
        <v>0</v>
      </c>
      <c r="I185" s="27" t="n">
        <f aca="false">C185</f>
        <v>172.758</v>
      </c>
      <c r="J185" s="205" t="n">
        <f aca="false">IF(ISNUMBER(kinematics!D209),kinematics!F209,0)</f>
        <v>0</v>
      </c>
      <c r="K185" s="27" t="n">
        <f aca="false">IF(ISNUMBER(kinematics!L209),kinematics!L209,0)</f>
        <v>0</v>
      </c>
      <c r="M185" s="205" t="n">
        <f aca="false">IF(ISNUMBER(kinematics!D209),kinematics!B209,MAX($D$6:$D$186))</f>
        <v>85</v>
      </c>
      <c r="N185" s="205" t="n">
        <f aca="false">IF(ISNUMBER(kinematics!D209),kinematics!F209,0)</f>
        <v>0</v>
      </c>
      <c r="O185" s="205" t="n">
        <f aca="false">IF(ISNUMBER(kinematics!J209),kinematics!J209,0)</f>
        <v>0</v>
      </c>
      <c r="P185" s="27" t="n">
        <f aca="false">IF(ISNUMBER(kinematics!L209),kinematics!L209,0)</f>
        <v>0</v>
      </c>
      <c r="R185" s="27" t="n">
        <f aca="false">O185</f>
        <v>0</v>
      </c>
      <c r="S185" s="27" t="n">
        <f aca="false">P185</f>
        <v>0</v>
      </c>
    </row>
    <row r="186" customFormat="false" ht="12.75" hidden="false" customHeight="false" outlineLevel="0" collapsed="false">
      <c r="C186" s="27" t="n">
        <f aca="false">IF(ISNUMBER(kinematics!D210),kinematics!D210,MAX(kinematics!$D$30:$D$210))</f>
        <v>172.758</v>
      </c>
      <c r="D186" s="205" t="n">
        <f aca="false">IF(ISNUMBER(kinematics!D210),kinematics!B210,0)</f>
        <v>0</v>
      </c>
      <c r="E186" s="27" t="n">
        <f aca="false">IF(ISNUMBER(kinematics!J210),kinematics!J210,0)</f>
        <v>0</v>
      </c>
      <c r="I186" s="27" t="n">
        <f aca="false">C186</f>
        <v>172.758</v>
      </c>
      <c r="J186" s="205" t="n">
        <f aca="false">IF(ISNUMBER(kinematics!D210),kinematics!F210,0)</f>
        <v>0</v>
      </c>
      <c r="K186" s="27" t="n">
        <f aca="false">IF(ISNUMBER(kinematics!L210),kinematics!L210,0)</f>
        <v>0</v>
      </c>
      <c r="M186" s="205" t="n">
        <f aca="false">IF(ISNUMBER(kinematics!D210),kinematics!B210,MAX($D$6:$D$186))</f>
        <v>85</v>
      </c>
      <c r="N186" s="205" t="n">
        <f aca="false">IF(ISNUMBER(kinematics!D210),kinematics!F210,0)</f>
        <v>0</v>
      </c>
      <c r="O186" s="205" t="n">
        <f aca="false">IF(ISNUMBER(kinematics!J210),kinematics!J210,0)</f>
        <v>0</v>
      </c>
      <c r="P186" s="27" t="n">
        <f aca="false">IF(ISNUMBER(kinematics!L210),kinematics!L210,0)</f>
        <v>0</v>
      </c>
      <c r="R186" s="27" t="n">
        <f aca="false">O186</f>
        <v>0</v>
      </c>
      <c r="S186" s="27" t="n">
        <f aca="false">P186</f>
        <v>0</v>
      </c>
    </row>
    <row r="187" customFormat="false" ht="12.75" hidden="false" customHeight="false" outlineLevel="0" collapsed="false">
      <c r="A187" s="1" t="s">
        <v>279</v>
      </c>
      <c r="C187" s="27" t="n">
        <f aca="false">C188</f>
        <v>180</v>
      </c>
      <c r="D187" s="205" t="n">
        <f aca="false">D186</f>
        <v>0</v>
      </c>
      <c r="E187" s="27" t="n">
        <f aca="false">E186</f>
        <v>0</v>
      </c>
      <c r="I187" s="27" t="n">
        <f aca="false">I188</f>
        <v>180</v>
      </c>
      <c r="J187" s="205" t="n">
        <f aca="false">J186</f>
        <v>0</v>
      </c>
      <c r="K187" s="27" t="n">
        <f aca="false">K186</f>
        <v>0</v>
      </c>
      <c r="M187" s="205" t="n">
        <v>0</v>
      </c>
      <c r="N187" s="205" t="n">
        <f aca="false">N186</f>
        <v>0</v>
      </c>
      <c r="O187" s="205" t="n">
        <f aca="false">O186</f>
        <v>0</v>
      </c>
      <c r="P187" s="27" t="n">
        <f aca="false">P186</f>
        <v>0</v>
      </c>
      <c r="R187" s="27" t="n">
        <f aca="false">O187</f>
        <v>0</v>
      </c>
      <c r="S187" s="27" t="n">
        <f aca="false">P187</f>
        <v>0</v>
      </c>
    </row>
    <row r="188" customFormat="false" ht="12.75" hidden="false" customHeight="false" outlineLevel="0" collapsed="false">
      <c r="A188" s="1" t="s">
        <v>61</v>
      </c>
      <c r="C188" s="27" t="n">
        <f aca="false">IF(ISNUMBER(kinematics!O30),kinematics!O30,IF(ISNUMBER(kinematics!$O$30),MIN(kinematics!$O$30:$O$210),180))</f>
        <v>180</v>
      </c>
      <c r="D188" s="205" t="n">
        <f aca="false">IF(ISNUMBER(kinematics!O30),kinematics!N30,0)</f>
        <v>0</v>
      </c>
      <c r="E188" s="205" t="n">
        <f aca="false">IF(ISNUMBER(kinematics!O30),kinematics!R30,0)</f>
        <v>0</v>
      </c>
      <c r="I188" s="27" t="n">
        <f aca="false">C188</f>
        <v>180</v>
      </c>
      <c r="J188" s="205" t="n">
        <f aca="false">IF(ISNUMBER(kinematics!O30),kinematics!P30,0)</f>
        <v>0.0011070078888641</v>
      </c>
      <c r="K188" s="205" t="n">
        <f aca="false">IF(ISNUMBER(kinematics!O30),kinematics!S30,0)</f>
        <v>615.198892992111</v>
      </c>
      <c r="M188" s="205" t="n">
        <f aca="false">IF(ISNUMBER(kinematics!O30),kinematics!N30,MAX($D$6:$D$186))</f>
        <v>0</v>
      </c>
      <c r="N188" s="205" t="n">
        <f aca="false">IF(ISNUMBER(kinematics!O30),kinematics!P30,0)</f>
        <v>0.0011070078888641</v>
      </c>
      <c r="O188" s="205" t="n">
        <f aca="false">IF(ISNUMBER(kinematics!O30),kinematics!R30,0)</f>
        <v>0</v>
      </c>
      <c r="P188" s="205" t="n">
        <f aca="false">IF(ISNUMBER(kinematics!O30),kinematics!S30,0)</f>
        <v>615.198892992111</v>
      </c>
      <c r="R188" s="27" t="n">
        <f aca="false">O188</f>
        <v>0</v>
      </c>
      <c r="S188" s="27" t="n">
        <f aca="false">P188</f>
        <v>615.198892992111</v>
      </c>
    </row>
    <row r="189" customFormat="false" ht="12.75" hidden="false" customHeight="false" outlineLevel="0" collapsed="false">
      <c r="C189" s="27" t="n">
        <f aca="false">IF(ISNUMBER(kinematics!O31),kinematics!O31,IF(ISNUMBER(kinematics!$O$30),MIN(kinematics!$O$30:$O$210),180))</f>
        <v>180</v>
      </c>
      <c r="D189" s="205" t="n">
        <f aca="false">IF(ISNUMBER(kinematics!O31),kinematics!N31,0)</f>
        <v>1</v>
      </c>
      <c r="E189" s="205" t="n">
        <f aca="false">IF(ISNUMBER(kinematics!O31),kinematics!R31,0)</f>
        <v>0.000811701725615445</v>
      </c>
      <c r="I189" s="27" t="n">
        <f aca="false">C189</f>
        <v>180</v>
      </c>
      <c r="J189" s="205" t="n">
        <f aca="false">IF(ISNUMBER(kinematics!O31),kinematics!P31,0)</f>
        <v>0.00110734619436017</v>
      </c>
      <c r="K189" s="205" t="n">
        <f aca="false">IF(ISNUMBER(kinematics!O31),kinematics!S31,0)</f>
        <v>615.198892653806</v>
      </c>
      <c r="M189" s="205" t="n">
        <f aca="false">IF(ISNUMBER(kinematics!O31),kinematics!N31,MAX($D$6:$D$186))</f>
        <v>1</v>
      </c>
      <c r="N189" s="205" t="n">
        <f aca="false">IF(ISNUMBER(kinematics!O31),kinematics!P31,0)</f>
        <v>0.00110734619436017</v>
      </c>
      <c r="O189" s="205" t="n">
        <f aca="false">IF(ISNUMBER(kinematics!O31),kinematics!R31,0)</f>
        <v>0.000811701725615445</v>
      </c>
      <c r="P189" s="205" t="n">
        <f aca="false">IF(ISNUMBER(kinematics!O31),kinematics!S31,0)</f>
        <v>615.198892653806</v>
      </c>
      <c r="R189" s="27" t="n">
        <f aca="false">O189</f>
        <v>0.000811701725615445</v>
      </c>
      <c r="S189" s="27" t="n">
        <f aca="false">P189</f>
        <v>615.198892653806</v>
      </c>
    </row>
    <row r="190" customFormat="false" ht="12.75" hidden="false" customHeight="false" outlineLevel="0" collapsed="false">
      <c r="C190" s="27" t="n">
        <f aca="false">IF(ISNUMBER(kinematics!O32),kinematics!O32,IF(ISNUMBER(kinematics!$O$30),MIN(kinematics!$O$30:$O$210),180))</f>
        <v>180</v>
      </c>
      <c r="D190" s="205" t="n">
        <f aca="false">IF(ISNUMBER(kinematics!O32),kinematics!N32,0)</f>
        <v>2</v>
      </c>
      <c r="E190" s="205" t="n">
        <f aca="false">IF(ISNUMBER(kinematics!O32),kinematics!R32,0)</f>
        <v>0.00162390048069299</v>
      </c>
      <c r="I190" s="27" t="n">
        <f aca="false">C190</f>
        <v>180</v>
      </c>
      <c r="J190" s="205" t="n">
        <f aca="false">IF(ISNUMBER(kinematics!O32),kinematics!P32,0)</f>
        <v>0.00110836194966195</v>
      </c>
      <c r="K190" s="205" t="n">
        <f aca="false">IF(ISNUMBER(kinematics!O32),kinematics!S32,0)</f>
        <v>615.19889163805</v>
      </c>
      <c r="M190" s="205" t="n">
        <f aca="false">IF(ISNUMBER(kinematics!O32),kinematics!N32,MAX($D$6:$D$186))</f>
        <v>2</v>
      </c>
      <c r="N190" s="205" t="n">
        <f aca="false">IF(ISNUMBER(kinematics!O32),kinematics!P32,0)</f>
        <v>0.00110836194966195</v>
      </c>
      <c r="O190" s="205" t="n">
        <f aca="false">IF(ISNUMBER(kinematics!O32),kinematics!R32,0)</f>
        <v>0.00162390048069299</v>
      </c>
      <c r="P190" s="205" t="n">
        <f aca="false">IF(ISNUMBER(kinematics!O32),kinematics!S32,0)</f>
        <v>615.19889163805</v>
      </c>
      <c r="R190" s="27" t="n">
        <f aca="false">O190</f>
        <v>0.00162390048069299</v>
      </c>
      <c r="S190" s="27" t="n">
        <f aca="false">P190</f>
        <v>615.19889163805</v>
      </c>
    </row>
    <row r="191" customFormat="false" ht="12.75" hidden="false" customHeight="false" outlineLevel="0" collapsed="false">
      <c r="C191" s="27" t="n">
        <f aca="false">IF(ISNUMBER(kinematics!O33),kinematics!O33,IF(ISNUMBER(kinematics!$O$30),MIN(kinematics!$O$30:$O$210),180))</f>
        <v>180</v>
      </c>
      <c r="D191" s="205" t="n">
        <f aca="false">IF(ISNUMBER(kinematics!O33),kinematics!N33,0)</f>
        <v>3</v>
      </c>
      <c r="E191" s="205" t="n">
        <f aca="false">IF(ISNUMBER(kinematics!O33),kinematics!R33,0)</f>
        <v>0.0024370945082042</v>
      </c>
      <c r="I191" s="27" t="n">
        <f aca="false">C191</f>
        <v>180</v>
      </c>
      <c r="J191" s="205" t="n">
        <f aca="false">IF(ISNUMBER(kinematics!O33),kinematics!P33,0)</f>
        <v>0.00111005763526099</v>
      </c>
      <c r="K191" s="205" t="n">
        <f aca="false">IF(ISNUMBER(kinematics!O33),kinematics!S33,0)</f>
        <v>615.198889942365</v>
      </c>
      <c r="M191" s="205" t="n">
        <f aca="false">IF(ISNUMBER(kinematics!O33),kinematics!N33,MAX($D$6:$D$186))</f>
        <v>3</v>
      </c>
      <c r="N191" s="205" t="n">
        <f aca="false">IF(ISNUMBER(kinematics!O33),kinematics!P33,0)</f>
        <v>0.00111005763526099</v>
      </c>
      <c r="O191" s="205" t="n">
        <f aca="false">IF(ISNUMBER(kinematics!O33),kinematics!R33,0)</f>
        <v>0.0024370945082042</v>
      </c>
      <c r="P191" s="205" t="n">
        <f aca="false">IF(ISNUMBER(kinematics!O33),kinematics!S33,0)</f>
        <v>615.198889942365</v>
      </c>
      <c r="R191" s="27" t="n">
        <f aca="false">O191</f>
        <v>0.0024370945082042</v>
      </c>
      <c r="S191" s="27" t="n">
        <f aca="false">P191</f>
        <v>615.198889942365</v>
      </c>
    </row>
    <row r="192" customFormat="false" ht="12.75" hidden="false" customHeight="false" outlineLevel="0" collapsed="false">
      <c r="C192" s="27" t="n">
        <f aca="false">IF(ISNUMBER(kinematics!O34),kinematics!O34,IF(ISNUMBER(kinematics!$O$30),MIN(kinematics!$O$30:$O$210),180))</f>
        <v>180</v>
      </c>
      <c r="D192" s="205" t="n">
        <f aca="false">IF(ISNUMBER(kinematics!O34),kinematics!N34,0)</f>
        <v>4</v>
      </c>
      <c r="E192" s="205" t="n">
        <f aca="false">IF(ISNUMBER(kinematics!O34),kinematics!R34,0)</f>
        <v>0.0032517845237188</v>
      </c>
      <c r="I192" s="27" t="n">
        <f aca="false">C192</f>
        <v>180</v>
      </c>
      <c r="J192" s="205" t="n">
        <f aca="false">IF(ISNUMBER(kinematics!O34),kinematics!P34,0)</f>
        <v>0.00111243743324209</v>
      </c>
      <c r="K192" s="205" t="n">
        <f aca="false">IF(ISNUMBER(kinematics!O34),kinematics!S34,0)</f>
        <v>615.198887562567</v>
      </c>
      <c r="M192" s="205" t="n">
        <f aca="false">IF(ISNUMBER(kinematics!O34),kinematics!N34,MAX($D$6:$D$186))</f>
        <v>4</v>
      </c>
      <c r="N192" s="205" t="n">
        <f aca="false">IF(ISNUMBER(kinematics!O34),kinematics!P34,0)</f>
        <v>0.00111243743324209</v>
      </c>
      <c r="O192" s="205" t="n">
        <f aca="false">IF(ISNUMBER(kinematics!O34),kinematics!R34,0)</f>
        <v>0.0032517845237188</v>
      </c>
      <c r="P192" s="205" t="n">
        <f aca="false">IF(ISNUMBER(kinematics!O34),kinematics!S34,0)</f>
        <v>615.198887562567</v>
      </c>
      <c r="R192" s="27" t="n">
        <f aca="false">O192</f>
        <v>0.0032517845237188</v>
      </c>
      <c r="S192" s="27" t="n">
        <f aca="false">P192</f>
        <v>615.198887562567</v>
      </c>
    </row>
    <row r="193" customFormat="false" ht="12.75" hidden="false" customHeight="false" outlineLevel="0" collapsed="false">
      <c r="C193" s="27" t="n">
        <f aca="false">IF(ISNUMBER(kinematics!O35),kinematics!O35,IF(ISNUMBER(kinematics!$O$30),MIN(kinematics!$O$30:$O$210),180))</f>
        <v>180</v>
      </c>
      <c r="D193" s="205" t="n">
        <f aca="false">IF(ISNUMBER(kinematics!O35),kinematics!N35,0)</f>
        <v>5</v>
      </c>
      <c r="E193" s="205" t="n">
        <f aca="false">IF(ISNUMBER(kinematics!O35),kinematics!R35,0)</f>
        <v>0.00406847487694972</v>
      </c>
      <c r="I193" s="27" t="n">
        <f aca="false">C193</f>
        <v>180</v>
      </c>
      <c r="J193" s="205" t="n">
        <f aca="false">IF(ISNUMBER(kinematics!O35),kinematics!P35,0)</f>
        <v>0.00111550717935111</v>
      </c>
      <c r="K193" s="205" t="n">
        <f aca="false">IF(ISNUMBER(kinematics!O35),kinematics!S35,0)</f>
        <v>615.198884492821</v>
      </c>
      <c r="M193" s="205" t="n">
        <f aca="false">IF(ISNUMBER(kinematics!O35),kinematics!N35,MAX($D$6:$D$186))</f>
        <v>5</v>
      </c>
      <c r="N193" s="205" t="n">
        <f aca="false">IF(ISNUMBER(kinematics!O35),kinematics!P35,0)</f>
        <v>0.00111550717935111</v>
      </c>
      <c r="O193" s="205" t="n">
        <f aca="false">IF(ISNUMBER(kinematics!O35),kinematics!R35,0)</f>
        <v>0.00406847487694972</v>
      </c>
      <c r="P193" s="205" t="n">
        <f aca="false">IF(ISNUMBER(kinematics!O35),kinematics!S35,0)</f>
        <v>615.198884492821</v>
      </c>
      <c r="R193" s="27" t="n">
        <f aca="false">O193</f>
        <v>0.00406847487694972</v>
      </c>
      <c r="S193" s="27" t="n">
        <f aca="false">P193</f>
        <v>615.198884492821</v>
      </c>
    </row>
    <row r="194" customFormat="false" ht="12.75" hidden="false" customHeight="false" outlineLevel="0" collapsed="false">
      <c r="C194" s="27" t="n">
        <f aca="false">IF(ISNUMBER(kinematics!O36),kinematics!O36,IF(ISNUMBER(kinematics!$O$30),MIN(kinematics!$O$30:$O$210),180))</f>
        <v>180</v>
      </c>
      <c r="D194" s="205" t="n">
        <f aca="false">IF(ISNUMBER(kinematics!O36),kinematics!N36,0)</f>
        <v>6</v>
      </c>
      <c r="E194" s="205" t="n">
        <f aca="false">IF(ISNUMBER(kinematics!O36),kinematics!R36,0)</f>
        <v>0.00488767492797317</v>
      </c>
      <c r="I194" s="27" t="n">
        <f aca="false">C194</f>
        <v>180</v>
      </c>
      <c r="J194" s="205" t="n">
        <f aca="false">IF(ISNUMBER(kinematics!O36),kinematics!P36,0)</f>
        <v>0.00111927448282542</v>
      </c>
      <c r="K194" s="205" t="n">
        <f aca="false">IF(ISNUMBER(kinematics!O36),kinematics!S36,0)</f>
        <v>615.198880725517</v>
      </c>
      <c r="M194" s="205" t="n">
        <f aca="false">IF(ISNUMBER(kinematics!O36),kinematics!N36,MAX($D$6:$D$186))</f>
        <v>6</v>
      </c>
      <c r="N194" s="205" t="n">
        <f aca="false">IF(ISNUMBER(kinematics!O36),kinematics!P36,0)</f>
        <v>0.00111927448282542</v>
      </c>
      <c r="O194" s="205" t="n">
        <f aca="false">IF(ISNUMBER(kinematics!O36),kinematics!R36,0)</f>
        <v>0.00488767492797317</v>
      </c>
      <c r="P194" s="205" t="n">
        <f aca="false">IF(ISNUMBER(kinematics!O36),kinematics!S36,0)</f>
        <v>615.198880725517</v>
      </c>
      <c r="R194" s="27" t="n">
        <f aca="false">O194</f>
        <v>0.00488767492797317</v>
      </c>
      <c r="S194" s="27" t="n">
        <f aca="false">P194</f>
        <v>615.198880725517</v>
      </c>
    </row>
    <row r="195" customFormat="false" ht="12.75" hidden="false" customHeight="false" outlineLevel="0" collapsed="false">
      <c r="C195" s="27" t="n">
        <f aca="false">IF(ISNUMBER(kinematics!O37),kinematics!O37,IF(ISNUMBER(kinematics!$O$30),MIN(kinematics!$O$30:$O$210),180))</f>
        <v>180</v>
      </c>
      <c r="D195" s="205" t="n">
        <f aca="false">IF(ISNUMBER(kinematics!O37),kinematics!N37,0)</f>
        <v>7</v>
      </c>
      <c r="E195" s="205" t="n">
        <f aca="false">IF(ISNUMBER(kinematics!O37),kinematics!R37,0)</f>
        <v>0.00570990025302459</v>
      </c>
      <c r="I195" s="27" t="n">
        <f aca="false">C195</f>
        <v>180</v>
      </c>
      <c r="J195" s="205" t="n">
        <f aca="false">IF(ISNUMBER(kinematics!O37),kinematics!P37,0)</f>
        <v>0.00112374870242787</v>
      </c>
      <c r="K195" s="205" t="n">
        <f aca="false">IF(ISNUMBER(kinematics!O37),kinematics!S37,0)</f>
        <v>615.198876251298</v>
      </c>
      <c r="M195" s="205" t="n">
        <f aca="false">IF(ISNUMBER(kinematics!O37),kinematics!N37,MAX($D$6:$D$186))</f>
        <v>7</v>
      </c>
      <c r="N195" s="205" t="n">
        <f aca="false">IF(ISNUMBER(kinematics!O37),kinematics!P37,0)</f>
        <v>0.00112374870242787</v>
      </c>
      <c r="O195" s="205" t="n">
        <f aca="false">IF(ISNUMBER(kinematics!O37),kinematics!R37,0)</f>
        <v>0.00570990025302459</v>
      </c>
      <c r="P195" s="205" t="n">
        <f aca="false">IF(ISNUMBER(kinematics!O37),kinematics!S37,0)</f>
        <v>615.198876251298</v>
      </c>
      <c r="R195" s="27" t="n">
        <f aca="false">O195</f>
        <v>0.00570990025302459</v>
      </c>
      <c r="S195" s="27" t="n">
        <f aca="false">P195</f>
        <v>615.198876251298</v>
      </c>
    </row>
    <row r="196" customFormat="false" ht="12.75" hidden="false" customHeight="false" outlineLevel="0" collapsed="false">
      <c r="C196" s="27" t="n">
        <f aca="false">IF(ISNUMBER(kinematics!O38),kinematics!O38,IF(ISNUMBER(kinematics!$O$30),MIN(kinematics!$O$30:$O$210),180))</f>
        <v>180</v>
      </c>
      <c r="D196" s="205" t="n">
        <f aca="false">IF(ISNUMBER(kinematics!O38),kinematics!N38,0)</f>
        <v>8</v>
      </c>
      <c r="E196" s="205" t="n">
        <f aca="false">IF(ISNUMBER(kinematics!O38),kinematics!R38,0)</f>
        <v>0.00653567392563292</v>
      </c>
      <c r="I196" s="27" t="n">
        <f aca="false">C196</f>
        <v>180</v>
      </c>
      <c r="J196" s="205" t="n">
        <f aca="false">IF(ISNUMBER(kinematics!O38),kinematics!P38,0)</f>
        <v>0.00112894099437894</v>
      </c>
      <c r="K196" s="205" t="n">
        <f aca="false">IF(ISNUMBER(kinematics!O38),kinematics!S38,0)</f>
        <v>615.198871059006</v>
      </c>
      <c r="M196" s="205" t="n">
        <f aca="false">IF(ISNUMBER(kinematics!O38),kinematics!N38,MAX($D$6:$D$186))</f>
        <v>8</v>
      </c>
      <c r="N196" s="205" t="n">
        <f aca="false">IF(ISNUMBER(kinematics!O38),kinematics!P38,0)</f>
        <v>0.00112894099437894</v>
      </c>
      <c r="O196" s="205" t="n">
        <f aca="false">IF(ISNUMBER(kinematics!O38),kinematics!R38,0)</f>
        <v>0.00653567392563292</v>
      </c>
      <c r="P196" s="205" t="n">
        <f aca="false">IF(ISNUMBER(kinematics!O38),kinematics!S38,0)</f>
        <v>615.198871059006</v>
      </c>
      <c r="R196" s="27" t="n">
        <f aca="false">O196</f>
        <v>0.00653567392563292</v>
      </c>
      <c r="S196" s="27" t="n">
        <f aca="false">P196</f>
        <v>615.198871059006</v>
      </c>
    </row>
    <row r="197" customFormat="false" ht="12.75" hidden="false" customHeight="false" outlineLevel="0" collapsed="false">
      <c r="C197" s="27" t="n">
        <f aca="false">IF(ISNUMBER(kinematics!O39),kinematics!O39,IF(ISNUMBER(kinematics!$O$30),MIN(kinematics!$O$30:$O$210),180))</f>
        <v>180</v>
      </c>
      <c r="D197" s="205" t="n">
        <f aca="false">IF(ISNUMBER(kinematics!O39),kinematics!N39,0)</f>
        <v>9</v>
      </c>
      <c r="E197" s="205" t="n">
        <f aca="false">IF(ISNUMBER(kinematics!O39),kinematics!R39,0)</f>
        <v>0.00736552803569326</v>
      </c>
      <c r="I197" s="27" t="n">
        <f aca="false">C197</f>
        <v>180</v>
      </c>
      <c r="J197" s="205" t="n">
        <f aca="false">IF(ISNUMBER(kinematics!O39),kinematics!P39,0)</f>
        <v>0.00113486443218729</v>
      </c>
      <c r="K197" s="205" t="n">
        <f aca="false">IF(ISNUMBER(kinematics!O39),kinematics!S39,0)</f>
        <v>615.198865135568</v>
      </c>
      <c r="M197" s="205" t="n">
        <f aca="false">IF(ISNUMBER(kinematics!O39),kinematics!N39,MAX($D$6:$D$186))</f>
        <v>9</v>
      </c>
      <c r="N197" s="205" t="n">
        <f aca="false">IF(ISNUMBER(kinematics!O39),kinematics!P39,0)</f>
        <v>0.00113486443218729</v>
      </c>
      <c r="O197" s="205" t="n">
        <f aca="false">IF(ISNUMBER(kinematics!O39),kinematics!R39,0)</f>
        <v>0.00736552803569326</v>
      </c>
      <c r="P197" s="205" t="n">
        <f aca="false">IF(ISNUMBER(kinematics!O39),kinematics!S39,0)</f>
        <v>615.198865135568</v>
      </c>
      <c r="R197" s="27" t="n">
        <f aca="false">O197</f>
        <v>0.00736552803569326</v>
      </c>
      <c r="S197" s="27" t="n">
        <f aca="false">P197</f>
        <v>615.198865135568</v>
      </c>
    </row>
    <row r="198" customFormat="false" ht="12.75" hidden="false" customHeight="false" outlineLevel="0" collapsed="false">
      <c r="C198" s="27" t="n">
        <f aca="false">IF(ISNUMBER(kinematics!O40),kinematics!O40,IF(ISNUMBER(kinematics!$O$30),MIN(kinematics!$O$30:$O$210),180))</f>
        <v>180</v>
      </c>
      <c r="D198" s="205" t="n">
        <f aca="false">IF(ISNUMBER(kinematics!O40),kinematics!N40,0)</f>
        <v>10</v>
      </c>
      <c r="E198" s="205" t="n">
        <f aca="false">IF(ISNUMBER(kinematics!O40),kinematics!R40,0)</f>
        <v>0.00820000491384818</v>
      </c>
      <c r="I198" s="27" t="n">
        <f aca="false">C198</f>
        <v>180</v>
      </c>
      <c r="J198" s="205" t="n">
        <f aca="false">IF(ISNUMBER(kinematics!O40),kinematics!P40,0)</f>
        <v>0.00114153400664973</v>
      </c>
      <c r="K198" s="205" t="n">
        <f aca="false">IF(ISNUMBER(kinematics!O40),kinematics!S40,0)</f>
        <v>615.198858465993</v>
      </c>
      <c r="M198" s="205" t="n">
        <f aca="false">IF(ISNUMBER(kinematics!O40),kinematics!N40,MAX($D$6:$D$186))</f>
        <v>10</v>
      </c>
      <c r="N198" s="205" t="n">
        <f aca="false">IF(ISNUMBER(kinematics!O40),kinematics!P40,0)</f>
        <v>0.00114153400664973</v>
      </c>
      <c r="O198" s="205" t="n">
        <f aca="false">IF(ISNUMBER(kinematics!O40),kinematics!R40,0)</f>
        <v>0.00820000491384818</v>
      </c>
      <c r="P198" s="205" t="n">
        <f aca="false">IF(ISNUMBER(kinematics!O40),kinematics!S40,0)</f>
        <v>615.198858465993</v>
      </c>
      <c r="R198" s="27" t="n">
        <f aca="false">O198</f>
        <v>0.00820000491384818</v>
      </c>
      <c r="S198" s="27" t="n">
        <f aca="false">P198</f>
        <v>615.198858465993</v>
      </c>
    </row>
    <row r="199" customFormat="false" ht="12.75" hidden="false" customHeight="false" outlineLevel="0" collapsed="false">
      <c r="C199" s="27" t="n">
        <f aca="false">IF(ISNUMBER(kinematics!O41),kinematics!O41,IF(ISNUMBER(kinematics!$O$30),MIN(kinematics!$O$30:$O$210),180))</f>
        <v>180</v>
      </c>
      <c r="D199" s="205" t="n">
        <f aca="false">IF(ISNUMBER(kinematics!O41),kinematics!N41,0)</f>
        <v>11</v>
      </c>
      <c r="E199" s="205" t="n">
        <f aca="false">IF(ISNUMBER(kinematics!O41),kinematics!R41,0)</f>
        <v>0.00903965864456681</v>
      </c>
      <c r="I199" s="27" t="n">
        <f aca="false">C199</f>
        <v>180</v>
      </c>
      <c r="J199" s="205" t="n">
        <f aca="false">IF(ISNUMBER(kinematics!O41),kinematics!P41,0)</f>
        <v>0.00114896673369868</v>
      </c>
      <c r="K199" s="205" t="n">
        <f aca="false">IF(ISNUMBER(kinematics!O41),kinematics!S41,0)</f>
        <v>615.198851033266</v>
      </c>
      <c r="M199" s="205" t="n">
        <f aca="false">IF(ISNUMBER(kinematics!O41),kinematics!N41,MAX($D$6:$D$186))</f>
        <v>11</v>
      </c>
      <c r="N199" s="205" t="n">
        <f aca="false">IF(ISNUMBER(kinematics!O41),kinematics!P41,0)</f>
        <v>0.00114896673369868</v>
      </c>
      <c r="O199" s="205" t="n">
        <f aca="false">IF(ISNUMBER(kinematics!O41),kinematics!R41,0)</f>
        <v>0.00903965864456681</v>
      </c>
      <c r="P199" s="205" t="n">
        <f aca="false">IF(ISNUMBER(kinematics!O41),kinematics!S41,0)</f>
        <v>615.198851033266</v>
      </c>
      <c r="R199" s="27" t="n">
        <f aca="false">O199</f>
        <v>0.00903965864456681</v>
      </c>
      <c r="S199" s="27" t="n">
        <f aca="false">P199</f>
        <v>615.198851033266</v>
      </c>
    </row>
    <row r="200" customFormat="false" ht="12.75" hidden="false" customHeight="false" outlineLevel="0" collapsed="false">
      <c r="C200" s="27" t="n">
        <f aca="false">IF(ISNUMBER(kinematics!O42),kinematics!O42,IF(ISNUMBER(kinematics!$O$30),MIN(kinematics!$O$30:$O$210),180))</f>
        <v>180</v>
      </c>
      <c r="D200" s="205" t="n">
        <f aca="false">IF(ISNUMBER(kinematics!O42),kinematics!N42,0)</f>
        <v>12</v>
      </c>
      <c r="E200" s="205" t="n">
        <f aca="false">IF(ISNUMBER(kinematics!O42),kinematics!R42,0)</f>
        <v>0.00988505674944976</v>
      </c>
      <c r="I200" s="27" t="n">
        <f aca="false">C200</f>
        <v>180</v>
      </c>
      <c r="J200" s="205" t="n">
        <f aca="false">IF(ISNUMBER(kinematics!O42),kinematics!P42,0)</f>
        <v>0.00115718178621577</v>
      </c>
      <c r="K200" s="205" t="n">
        <f aca="false">IF(ISNUMBER(kinematics!O42),kinematics!S42,0)</f>
        <v>615.198842818214</v>
      </c>
      <c r="M200" s="205" t="n">
        <f aca="false">IF(ISNUMBER(kinematics!O42),kinematics!N42,MAX($D$6:$D$186))</f>
        <v>12</v>
      </c>
      <c r="N200" s="205" t="n">
        <f aca="false">IF(ISNUMBER(kinematics!O42),kinematics!P42,0)</f>
        <v>0.00115718178621577</v>
      </c>
      <c r="O200" s="205" t="n">
        <f aca="false">IF(ISNUMBER(kinematics!O42),kinematics!R42,0)</f>
        <v>0.00988505674944976</v>
      </c>
      <c r="P200" s="205" t="n">
        <f aca="false">IF(ISNUMBER(kinematics!O42),kinematics!S42,0)</f>
        <v>615.198842818214</v>
      </c>
      <c r="R200" s="27" t="n">
        <f aca="false">O200</f>
        <v>0.00988505674944976</v>
      </c>
      <c r="S200" s="27" t="n">
        <f aca="false">P200</f>
        <v>615.198842818214</v>
      </c>
    </row>
    <row r="201" customFormat="false" ht="12.75" hidden="false" customHeight="false" outlineLevel="0" collapsed="false">
      <c r="C201" s="27" t="n">
        <f aca="false">IF(ISNUMBER(kinematics!O43),kinematics!O43,IF(ISNUMBER(kinematics!$O$30),MIN(kinematics!$O$30:$O$210),180))</f>
        <v>180</v>
      </c>
      <c r="D201" s="205" t="n">
        <f aca="false">IF(ISNUMBER(kinematics!O43),kinematics!N43,0)</f>
        <v>13</v>
      </c>
      <c r="E201" s="205" t="n">
        <f aca="false">IF(ISNUMBER(kinematics!O43),kinematics!R43,0)</f>
        <v>0.0107367815194373</v>
      </c>
      <c r="I201" s="27" t="n">
        <f aca="false">C201</f>
        <v>180</v>
      </c>
      <c r="J201" s="205" t="n">
        <f aca="false">IF(ISNUMBER(kinematics!O43),kinematics!P43,0)</f>
        <v>0.00116620052998093</v>
      </c>
      <c r="K201" s="205" t="n">
        <f aca="false">IF(ISNUMBER(kinematics!O43),kinematics!S43,0)</f>
        <v>615.19883379947</v>
      </c>
      <c r="M201" s="205" t="n">
        <f aca="false">IF(ISNUMBER(kinematics!O43),kinematics!N43,MAX($D$6:$D$186))</f>
        <v>13</v>
      </c>
      <c r="N201" s="205" t="n">
        <f aca="false">IF(ISNUMBER(kinematics!O43),kinematics!P43,0)</f>
        <v>0.00116620052998093</v>
      </c>
      <c r="O201" s="205" t="n">
        <f aca="false">IF(ISNUMBER(kinematics!O43),kinematics!R43,0)</f>
        <v>0.0107367815194373</v>
      </c>
      <c r="P201" s="205" t="n">
        <f aca="false">IF(ISNUMBER(kinematics!O43),kinematics!S43,0)</f>
        <v>615.19883379947</v>
      </c>
      <c r="R201" s="27" t="n">
        <f aca="false">O201</f>
        <v>0.0107367815194373</v>
      </c>
      <c r="S201" s="27" t="n">
        <f aca="false">P201</f>
        <v>615.19883379947</v>
      </c>
    </row>
    <row r="202" customFormat="false" ht="12.75" hidden="false" customHeight="false" outlineLevel="0" collapsed="false">
      <c r="C202" s="27" t="n">
        <f aca="false">IF(ISNUMBER(kinematics!O44),kinematics!O44,IF(ISNUMBER(kinematics!$O$30),MIN(kinematics!$O$30:$O$210),180))</f>
        <v>180</v>
      </c>
      <c r="D202" s="205" t="n">
        <f aca="false">IF(ISNUMBER(kinematics!O44),kinematics!N44,0)</f>
        <v>14</v>
      </c>
      <c r="E202" s="205" t="n">
        <f aca="false">IF(ISNUMBER(kinematics!O44),kinematics!R44,0)</f>
        <v>0.0115954319290166</v>
      </c>
      <c r="I202" s="27" t="n">
        <f aca="false">C202</f>
        <v>180</v>
      </c>
      <c r="J202" s="205" t="n">
        <f aca="false">IF(ISNUMBER(kinematics!O44),kinematics!P44,0)</f>
        <v>0.00117604670341823</v>
      </c>
      <c r="K202" s="205" t="n">
        <f aca="false">IF(ISNUMBER(kinematics!O44),kinematics!S44,0)</f>
        <v>615.198823953297</v>
      </c>
      <c r="M202" s="205" t="n">
        <f aca="false">IF(ISNUMBER(kinematics!O44),kinematics!N44,MAX($D$6:$D$186))</f>
        <v>14</v>
      </c>
      <c r="N202" s="205" t="n">
        <f aca="false">IF(ISNUMBER(kinematics!O44),kinematics!P44,0)</f>
        <v>0.00117604670341823</v>
      </c>
      <c r="O202" s="205" t="n">
        <f aca="false">IF(ISNUMBER(kinematics!O44),kinematics!R44,0)</f>
        <v>0.0115954319290166</v>
      </c>
      <c r="P202" s="205" t="n">
        <f aca="false">IF(ISNUMBER(kinematics!O44),kinematics!S44,0)</f>
        <v>615.198823953297</v>
      </c>
      <c r="R202" s="27" t="n">
        <f aca="false">O202</f>
        <v>0.0115954319290166</v>
      </c>
      <c r="S202" s="27" t="n">
        <f aca="false">P202</f>
        <v>615.198823953297</v>
      </c>
    </row>
    <row r="203" customFormat="false" ht="12.75" hidden="false" customHeight="false" outlineLevel="0" collapsed="false">
      <c r="C203" s="27" t="n">
        <f aca="false">IF(ISNUMBER(kinematics!O45),kinematics!O45,IF(ISNUMBER(kinematics!$O$30),MIN(kinematics!$O$30:$O$210),180))</f>
        <v>180</v>
      </c>
      <c r="D203" s="205" t="n">
        <f aca="false">IF(ISNUMBER(kinematics!O45),kinematics!N45,0)</f>
        <v>15</v>
      </c>
      <c r="E203" s="205" t="n">
        <f aca="false">IF(ISNUMBER(kinematics!O45),kinematics!R45,0)</f>
        <v>0.0124616253040738</v>
      </c>
      <c r="I203" s="27" t="n">
        <f aca="false">C203</f>
        <v>180</v>
      </c>
      <c r="J203" s="205" t="n">
        <f aca="false">IF(ISNUMBER(kinematics!O45),kinematics!P45,0)</f>
        <v>0.00118674652544325</v>
      </c>
      <c r="K203" s="205" t="n">
        <f aca="false">IF(ISNUMBER(kinematics!O45),kinematics!S45,0)</f>
        <v>615.198813253475</v>
      </c>
      <c r="M203" s="205" t="n">
        <f aca="false">IF(ISNUMBER(kinematics!O45),kinematics!N45,MAX($D$6:$D$186))</f>
        <v>15</v>
      </c>
      <c r="N203" s="205" t="n">
        <f aca="false">IF(ISNUMBER(kinematics!O45),kinematics!P45,0)</f>
        <v>0.00118674652544325</v>
      </c>
      <c r="O203" s="205" t="n">
        <f aca="false">IF(ISNUMBER(kinematics!O45),kinematics!R45,0)</f>
        <v>0.0124616253040738</v>
      </c>
      <c r="P203" s="205" t="n">
        <f aca="false">IF(ISNUMBER(kinematics!O45),kinematics!S45,0)</f>
        <v>615.198813253475</v>
      </c>
      <c r="R203" s="27" t="n">
        <f aca="false">O203</f>
        <v>0.0124616253040738</v>
      </c>
      <c r="S203" s="27" t="n">
        <f aca="false">P203</f>
        <v>615.198813253475</v>
      </c>
    </row>
    <row r="204" customFormat="false" ht="12.75" hidden="false" customHeight="false" outlineLevel="0" collapsed="false">
      <c r="C204" s="27" t="n">
        <f aca="false">IF(ISNUMBER(kinematics!O46),kinematics!O46,IF(ISNUMBER(kinematics!$O$30),MIN(kinematics!$O$30:$O$210),180))</f>
        <v>180</v>
      </c>
      <c r="D204" s="205" t="n">
        <f aca="false">IF(ISNUMBER(kinematics!O46),kinematics!N46,0)</f>
        <v>16</v>
      </c>
      <c r="E204" s="205" t="n">
        <f aca="false">IF(ISNUMBER(kinematics!O46),kinematics!R46,0)</f>
        <v>0.0133359992819912</v>
      </c>
      <c r="I204" s="27" t="n">
        <f aca="false">C204</f>
        <v>180</v>
      </c>
      <c r="J204" s="205" t="n">
        <f aca="false">IF(ISNUMBER(kinematics!O46),kinematics!P46,0)</f>
        <v>0.00119832886322589</v>
      </c>
      <c r="K204" s="205" t="n">
        <f aca="false">IF(ISNUMBER(kinematics!O46),kinematics!S46,0)</f>
        <v>615.198801671137</v>
      </c>
      <c r="M204" s="205" t="n">
        <f aca="false">IF(ISNUMBER(kinematics!O46),kinematics!N46,MAX($D$6:$D$186))</f>
        <v>16</v>
      </c>
      <c r="N204" s="205" t="n">
        <f aca="false">IF(ISNUMBER(kinematics!O46),kinematics!P46,0)</f>
        <v>0.00119832886322589</v>
      </c>
      <c r="O204" s="205" t="n">
        <f aca="false">IF(ISNUMBER(kinematics!O46),kinematics!R46,0)</f>
        <v>0.0133359992819912</v>
      </c>
      <c r="P204" s="205" t="n">
        <f aca="false">IF(ISNUMBER(kinematics!O46),kinematics!S46,0)</f>
        <v>615.198801671137</v>
      </c>
      <c r="R204" s="27" t="n">
        <f aca="false">O204</f>
        <v>0.0133359992819912</v>
      </c>
      <c r="S204" s="27" t="n">
        <f aca="false">P204</f>
        <v>615.198801671137</v>
      </c>
    </row>
    <row r="205" customFormat="false" ht="12.75" hidden="false" customHeight="false" outlineLevel="0" collapsed="false">
      <c r="C205" s="27" t="n">
        <f aca="false">IF(ISNUMBER(kinematics!O47),kinematics!O47,IF(ISNUMBER(kinematics!$O$30),MIN(kinematics!$O$30:$O$210),180))</f>
        <v>180</v>
      </c>
      <c r="D205" s="205" t="n">
        <f aca="false">IF(ISNUMBER(kinematics!O47),kinematics!N47,0)</f>
        <v>17</v>
      </c>
      <c r="E205" s="205" t="n">
        <f aca="false">IF(ISNUMBER(kinematics!O47),kinematics!R47,0)</f>
        <v>0.0142192138127076</v>
      </c>
      <c r="I205" s="27" t="n">
        <f aca="false">C205</f>
        <v>180</v>
      </c>
      <c r="J205" s="205" t="n">
        <f aca="false">IF(ISNUMBER(kinematics!O47),kinematics!P47,0)</f>
        <v>0.00121082539995301</v>
      </c>
      <c r="K205" s="205" t="n">
        <f aca="false">IF(ISNUMBER(kinematics!O47),kinematics!S47,0)</f>
        <v>615.1987891746</v>
      </c>
      <c r="M205" s="205" t="n">
        <f aca="false">IF(ISNUMBER(kinematics!O47),kinematics!N47,MAX($D$6:$D$186))</f>
        <v>17</v>
      </c>
      <c r="N205" s="205" t="n">
        <f aca="false">IF(ISNUMBER(kinematics!O47),kinematics!P47,0)</f>
        <v>0.00121082539995301</v>
      </c>
      <c r="O205" s="205" t="n">
        <f aca="false">IF(ISNUMBER(kinematics!O47),kinematics!R47,0)</f>
        <v>0.0142192138127076</v>
      </c>
      <c r="P205" s="205" t="n">
        <f aca="false">IF(ISNUMBER(kinematics!O47),kinematics!S47,0)</f>
        <v>615.1987891746</v>
      </c>
      <c r="R205" s="27" t="n">
        <f aca="false">O205</f>
        <v>0.0142192138127076</v>
      </c>
      <c r="S205" s="27" t="n">
        <f aca="false">P205</f>
        <v>615.1987891746</v>
      </c>
    </row>
    <row r="206" customFormat="false" ht="12.75" hidden="false" customHeight="false" outlineLevel="0" collapsed="false">
      <c r="C206" s="27" t="n">
        <f aca="false">IF(ISNUMBER(kinematics!O48),kinematics!O48,IF(ISNUMBER(kinematics!$O$30),MIN(kinematics!$O$30:$O$210),180))</f>
        <v>180</v>
      </c>
      <c r="D206" s="205" t="n">
        <f aca="false">IF(ISNUMBER(kinematics!O48),kinematics!N48,0)</f>
        <v>18</v>
      </c>
      <c r="E206" s="205" t="n">
        <f aca="false">IF(ISNUMBER(kinematics!O48),kinematics!R48,0)</f>
        <v>0.0151119530154973</v>
      </c>
      <c r="I206" s="27" t="n">
        <f aca="false">C206</f>
        <v>180</v>
      </c>
      <c r="J206" s="205" t="n">
        <f aca="false">IF(ISNUMBER(kinematics!O48),kinematics!P48,0)</f>
        <v>0.00122427077862507</v>
      </c>
      <c r="K206" s="205" t="n">
        <f aca="false">IF(ISNUMBER(kinematics!O48),kinematics!S48,0)</f>
        <v>615.198775729221</v>
      </c>
      <c r="M206" s="205" t="n">
        <f aca="false">IF(ISNUMBER(kinematics!O48),kinematics!N48,MAX($D$6:$D$186))</f>
        <v>18</v>
      </c>
      <c r="N206" s="205" t="n">
        <f aca="false">IF(ISNUMBER(kinematics!O48),kinematics!P48,0)</f>
        <v>0.00122427077862507</v>
      </c>
      <c r="O206" s="205" t="n">
        <f aca="false">IF(ISNUMBER(kinematics!O48),kinematics!R48,0)</f>
        <v>0.0151119530154973</v>
      </c>
      <c r="P206" s="205" t="n">
        <f aca="false">IF(ISNUMBER(kinematics!O48),kinematics!S48,0)</f>
        <v>615.198775729221</v>
      </c>
      <c r="R206" s="27" t="n">
        <f aca="false">O206</f>
        <v>0.0151119530154973</v>
      </c>
      <c r="S206" s="27" t="n">
        <f aca="false">P206</f>
        <v>615.198775729221</v>
      </c>
    </row>
    <row r="207" customFormat="false" ht="12.75" hidden="false" customHeight="false" outlineLevel="0" collapsed="false">
      <c r="C207" s="27" t="n">
        <f aca="false">IF(ISNUMBER(kinematics!O49),kinematics!O49,IF(ISNUMBER(kinematics!$O$30),MIN(kinematics!$O$30:$O$210),180))</f>
        <v>180</v>
      </c>
      <c r="D207" s="205" t="n">
        <f aca="false">IF(ISNUMBER(kinematics!O49),kinematics!N49,0)</f>
        <v>19</v>
      </c>
      <c r="E207" s="205" t="n">
        <f aca="false">IF(ISNUMBER(kinematics!O49),kinematics!R49,0)</f>
        <v>0.016014928121062</v>
      </c>
      <c r="I207" s="27" t="n">
        <f aca="false">C207</f>
        <v>180</v>
      </c>
      <c r="J207" s="205" t="n">
        <f aca="false">IF(ISNUMBER(kinematics!O49),kinematics!P49,0)</f>
        <v>0.00123870292559851</v>
      </c>
      <c r="K207" s="205" t="n">
        <f aca="false">IF(ISNUMBER(kinematics!O49),kinematics!S49,0)</f>
        <v>615.198761297075</v>
      </c>
      <c r="M207" s="205" t="n">
        <f aca="false">IF(ISNUMBER(kinematics!O49),kinematics!N49,MAX($D$6:$D$186))</f>
        <v>19</v>
      </c>
      <c r="N207" s="205" t="n">
        <f aca="false">IF(ISNUMBER(kinematics!O49),kinematics!P49,0)</f>
        <v>0.00123870292559851</v>
      </c>
      <c r="O207" s="205" t="n">
        <f aca="false">IF(ISNUMBER(kinematics!O49),kinematics!R49,0)</f>
        <v>0.016014928121062</v>
      </c>
      <c r="P207" s="205" t="n">
        <f aca="false">IF(ISNUMBER(kinematics!O49),kinematics!S49,0)</f>
        <v>615.198761297075</v>
      </c>
      <c r="R207" s="27" t="n">
        <f aca="false">O207</f>
        <v>0.016014928121062</v>
      </c>
      <c r="S207" s="27" t="n">
        <f aca="false">P207</f>
        <v>615.198761297075</v>
      </c>
    </row>
    <row r="208" customFormat="false" ht="12.75" hidden="false" customHeight="false" outlineLevel="0" collapsed="false">
      <c r="C208" s="27" t="n">
        <f aca="false">IF(ISNUMBER(kinematics!O50),kinematics!O50,IF(ISNUMBER(kinematics!$O$30),MIN(kinematics!$O$30:$O$210),180))</f>
        <v>180</v>
      </c>
      <c r="D208" s="205" t="n">
        <f aca="false">IF(ISNUMBER(kinematics!O50),kinematics!N50,0)</f>
        <v>20</v>
      </c>
      <c r="E208" s="205" t="n">
        <f aca="false">IF(ISNUMBER(kinematics!O50),kinematics!R50,0)</f>
        <v>0.0169288791535575</v>
      </c>
      <c r="I208" s="27" t="n">
        <f aca="false">C208</f>
        <v>180</v>
      </c>
      <c r="J208" s="205" t="n">
        <f aca="false">IF(ISNUMBER(kinematics!O50),kinematics!P50,0)</f>
        <v>0.00125416315843322</v>
      </c>
      <c r="K208" s="205" t="n">
        <f aca="false">IF(ISNUMBER(kinematics!O50),kinematics!S50,0)</f>
        <v>615.198745836842</v>
      </c>
      <c r="M208" s="205" t="n">
        <f aca="false">IF(ISNUMBER(kinematics!O50),kinematics!N50,MAX($D$6:$D$186))</f>
        <v>20</v>
      </c>
      <c r="N208" s="205" t="n">
        <f aca="false">IF(ISNUMBER(kinematics!O50),kinematics!P50,0)</f>
        <v>0.00125416315843322</v>
      </c>
      <c r="O208" s="205" t="n">
        <f aca="false">IF(ISNUMBER(kinematics!O50),kinematics!R50,0)</f>
        <v>0.0169288791535575</v>
      </c>
      <c r="P208" s="205" t="n">
        <f aca="false">IF(ISNUMBER(kinematics!O50),kinematics!S50,0)</f>
        <v>615.198745836842</v>
      </c>
      <c r="R208" s="27" t="n">
        <f aca="false">O208</f>
        <v>0.0169288791535575</v>
      </c>
      <c r="S208" s="27" t="n">
        <f aca="false">P208</f>
        <v>615.198745836842</v>
      </c>
    </row>
    <row r="209" customFormat="false" ht="12.75" hidden="false" customHeight="false" outlineLevel="0" collapsed="false">
      <c r="C209" s="27" t="n">
        <f aca="false">IF(ISNUMBER(kinematics!O51),kinematics!O51,IF(ISNUMBER(kinematics!$O$30),MIN(kinematics!$O$30:$O$210),180))</f>
        <v>180</v>
      </c>
      <c r="D209" s="205" t="n">
        <f aca="false">IF(ISNUMBER(kinematics!O51),kinematics!N51,0)</f>
        <v>21</v>
      </c>
      <c r="E209" s="205" t="n">
        <f aca="false">IF(ISNUMBER(kinematics!O51),kinematics!R51,0)</f>
        <v>0.0178545782372545</v>
      </c>
      <c r="I209" s="27" t="n">
        <f aca="false">C209</f>
        <v>180</v>
      </c>
      <c r="J209" s="205" t="n">
        <f aca="false">IF(ISNUMBER(kinematics!O51),kinematics!P51,0)</f>
        <v>0.00127069655736708</v>
      </c>
      <c r="K209" s="205" t="n">
        <f aca="false">IF(ISNUMBER(kinematics!O51),kinematics!S51,0)</f>
        <v>615.198729303443</v>
      </c>
      <c r="M209" s="205" t="n">
        <f aca="false">IF(ISNUMBER(kinematics!O51),kinematics!N51,MAX($D$6:$D$186))</f>
        <v>21</v>
      </c>
      <c r="N209" s="205" t="n">
        <f aca="false">IF(ISNUMBER(kinematics!O51),kinematics!P51,0)</f>
        <v>0.00127069655736708</v>
      </c>
      <c r="O209" s="205" t="n">
        <f aca="false">IF(ISNUMBER(kinematics!O51),kinematics!R51,0)</f>
        <v>0.0178545782372545</v>
      </c>
      <c r="P209" s="205" t="n">
        <f aca="false">IF(ISNUMBER(kinematics!O51),kinematics!S51,0)</f>
        <v>615.198729303443</v>
      </c>
      <c r="R209" s="27" t="n">
        <f aca="false">O209</f>
        <v>0.0178545782372545</v>
      </c>
      <c r="S209" s="27" t="n">
        <f aca="false">P209</f>
        <v>615.198729303443</v>
      </c>
    </row>
    <row r="210" customFormat="false" ht="12.75" hidden="false" customHeight="false" outlineLevel="0" collapsed="false">
      <c r="C210" s="27" t="n">
        <f aca="false">IF(ISNUMBER(kinematics!O52),kinematics!O52,IF(ISNUMBER(kinematics!$O$30),MIN(kinematics!$O$30:$O$210),180))</f>
        <v>180</v>
      </c>
      <c r="D210" s="205" t="n">
        <f aca="false">IF(ISNUMBER(kinematics!O52),kinematics!N52,0)</f>
        <v>22</v>
      </c>
      <c r="E210" s="205" t="n">
        <f aca="false">IF(ISNUMBER(kinematics!O52),kinematics!R52,0)</f>
        <v>0.0187928319341268</v>
      </c>
      <c r="I210" s="27" t="n">
        <f aca="false">C210</f>
        <v>180</v>
      </c>
      <c r="J210" s="205" t="n">
        <f aca="false">IF(ISNUMBER(kinematics!O52),kinematics!P52,0)</f>
        <v>0.00128835218101093</v>
      </c>
      <c r="K210" s="205" t="n">
        <f aca="false">IF(ISNUMBER(kinematics!O52),kinematics!S52,0)</f>
        <v>615.198711647819</v>
      </c>
      <c r="M210" s="205" t="n">
        <f aca="false">IF(ISNUMBER(kinematics!O52),kinematics!N52,MAX($D$6:$D$186))</f>
        <v>22</v>
      </c>
      <c r="N210" s="205" t="n">
        <f aca="false">IF(ISNUMBER(kinematics!O52),kinematics!P52,0)</f>
        <v>0.00128835218101093</v>
      </c>
      <c r="O210" s="205" t="n">
        <f aca="false">IF(ISNUMBER(kinematics!O52),kinematics!R52,0)</f>
        <v>0.0187928319341268</v>
      </c>
      <c r="P210" s="205" t="n">
        <f aca="false">IF(ISNUMBER(kinematics!O52),kinematics!S52,0)</f>
        <v>615.198711647819</v>
      </c>
      <c r="R210" s="27" t="n">
        <f aca="false">O210</f>
        <v>0.0187928319341268</v>
      </c>
      <c r="S210" s="27" t="n">
        <f aca="false">P210</f>
        <v>615.198711647819</v>
      </c>
    </row>
    <row r="211" customFormat="false" ht="12.75" hidden="false" customHeight="false" outlineLevel="0" collapsed="false">
      <c r="C211" s="27" t="n">
        <f aca="false">IF(ISNUMBER(kinematics!O53),kinematics!O53,IF(ISNUMBER(kinematics!$O$30),MIN(kinematics!$O$30:$O$210),180))</f>
        <v>180</v>
      </c>
      <c r="D211" s="205" t="n">
        <f aca="false">IF(ISNUMBER(kinematics!O53),kinematics!N53,0)</f>
        <v>23</v>
      </c>
      <c r="E211" s="205" t="n">
        <f aca="false">IF(ISNUMBER(kinematics!O53),kinematics!R53,0)</f>
        <v>0.0197444846066229</v>
      </c>
      <c r="I211" s="27" t="n">
        <f aca="false">C211</f>
        <v>180</v>
      </c>
      <c r="J211" s="205" t="n">
        <f aca="false">IF(ISNUMBER(kinematics!O53),kinematics!P53,0)</f>
        <v>0.0013071834378231</v>
      </c>
      <c r="K211" s="205" t="n">
        <f aca="false">IF(ISNUMBER(kinematics!O53),kinematics!S53,0)</f>
        <v>615.198692816562</v>
      </c>
      <c r="M211" s="205" t="n">
        <f aca="false">IF(ISNUMBER(kinematics!O53),kinematics!N53,MAX($D$6:$D$186))</f>
        <v>23</v>
      </c>
      <c r="N211" s="205" t="n">
        <f aca="false">IF(ISNUMBER(kinematics!O53),kinematics!P53,0)</f>
        <v>0.0013071834378231</v>
      </c>
      <c r="O211" s="205" t="n">
        <f aca="false">IF(ISNUMBER(kinematics!O53),kinematics!R53,0)</f>
        <v>0.0197444846066229</v>
      </c>
      <c r="P211" s="205" t="n">
        <f aca="false">IF(ISNUMBER(kinematics!O53),kinematics!S53,0)</f>
        <v>615.198692816562</v>
      </c>
      <c r="R211" s="27" t="n">
        <f aca="false">O211</f>
        <v>0.0197444846066229</v>
      </c>
      <c r="S211" s="27" t="n">
        <f aca="false">P211</f>
        <v>615.198692816562</v>
      </c>
    </row>
    <row r="212" customFormat="false" ht="12.75" hidden="false" customHeight="false" outlineLevel="0" collapsed="false">
      <c r="C212" s="27" t="n">
        <f aca="false">IF(ISNUMBER(kinematics!O54),kinematics!O54,IF(ISNUMBER(kinematics!$O$30),MIN(kinematics!$O$30:$O$210),180))</f>
        <v>180</v>
      </c>
      <c r="D212" s="205" t="n">
        <f aca="false">IF(ISNUMBER(kinematics!O54),kinematics!N54,0)</f>
        <v>24</v>
      </c>
      <c r="E212" s="205" t="n">
        <f aca="false">IF(ISNUMBER(kinematics!O54),kinematics!R54,0)</f>
        <v>0.0207104218141539</v>
      </c>
      <c r="I212" s="27" t="n">
        <f aca="false">C212</f>
        <v>180</v>
      </c>
      <c r="J212" s="205" t="n">
        <f aca="false">IF(ISNUMBER(kinematics!O54),kinematics!P54,0)</f>
        <v>0.00132724845758405</v>
      </c>
      <c r="K212" s="205" t="n">
        <f aca="false">IF(ISNUMBER(kinematics!O54),kinematics!S54,0)</f>
        <v>615.198672751543</v>
      </c>
      <c r="M212" s="205" t="n">
        <f aca="false">IF(ISNUMBER(kinematics!O54),kinematics!N54,MAX($D$6:$D$186))</f>
        <v>24</v>
      </c>
      <c r="N212" s="205" t="n">
        <f aca="false">IF(ISNUMBER(kinematics!O54),kinematics!P54,0)</f>
        <v>0.00132724845758405</v>
      </c>
      <c r="O212" s="205" t="n">
        <f aca="false">IF(ISNUMBER(kinematics!O54),kinematics!R54,0)</f>
        <v>0.0207104218141539</v>
      </c>
      <c r="P212" s="205" t="n">
        <f aca="false">IF(ISNUMBER(kinematics!O54),kinematics!S54,0)</f>
        <v>615.198672751543</v>
      </c>
      <c r="R212" s="27" t="n">
        <f aca="false">O212</f>
        <v>0.0207104218141539</v>
      </c>
      <c r="S212" s="27" t="n">
        <f aca="false">P212</f>
        <v>615.198672751543</v>
      </c>
    </row>
    <row r="213" customFormat="false" ht="12.75" hidden="false" customHeight="false" outlineLevel="0" collapsed="false">
      <c r="C213" s="27" t="n">
        <f aca="false">IF(ISNUMBER(kinematics!O55),kinematics!O55,IF(ISNUMBER(kinematics!$O$30),MIN(kinematics!$O$30:$O$210),180))</f>
        <v>179.919</v>
      </c>
      <c r="D213" s="205" t="n">
        <f aca="false">IF(ISNUMBER(kinematics!O55),kinematics!N55,0)</f>
        <v>25</v>
      </c>
      <c r="E213" s="205" t="n">
        <f aca="false">IF(ISNUMBER(kinematics!O55),kinematics!R55,0)</f>
        <v>0.0216915736650465</v>
      </c>
      <c r="I213" s="27" t="n">
        <f aca="false">C213</f>
        <v>179.919</v>
      </c>
      <c r="J213" s="205" t="n">
        <f aca="false">IF(ISNUMBER(kinematics!O55),kinematics!P55,0)</f>
        <v>0.00134861046287088</v>
      </c>
      <c r="K213" s="205" t="n">
        <f aca="false">IF(ISNUMBER(kinematics!O55),kinematics!S55,0)</f>
        <v>615.198651389537</v>
      </c>
      <c r="M213" s="205" t="n">
        <f aca="false">IF(ISNUMBER(kinematics!O55),kinematics!N55,MAX($D$6:$D$186))</f>
        <v>25</v>
      </c>
      <c r="N213" s="205" t="n">
        <f aca="false">IF(ISNUMBER(kinematics!O55),kinematics!P55,0)</f>
        <v>0.00134861046287088</v>
      </c>
      <c r="O213" s="205" t="n">
        <f aca="false">IF(ISNUMBER(kinematics!O55),kinematics!R55,0)</f>
        <v>0.0216915736650465</v>
      </c>
      <c r="P213" s="205" t="n">
        <f aca="false">IF(ISNUMBER(kinematics!O55),kinematics!S55,0)</f>
        <v>615.198651389537</v>
      </c>
      <c r="R213" s="27" t="n">
        <f aca="false">O213</f>
        <v>0.0216915736650465</v>
      </c>
      <c r="S213" s="27" t="n">
        <f aca="false">P213</f>
        <v>615.198651389537</v>
      </c>
    </row>
    <row r="214" customFormat="false" ht="12.75" hidden="false" customHeight="false" outlineLevel="0" collapsed="false">
      <c r="C214" s="27" t="n">
        <f aca="false">IF(ISNUMBER(kinematics!O56),kinematics!O56,IF(ISNUMBER(kinematics!$O$30),MIN(kinematics!$O$30:$O$210),180))</f>
        <v>179.915</v>
      </c>
      <c r="D214" s="205" t="n">
        <f aca="false">IF(ISNUMBER(kinematics!O56),kinematics!N56,0)</f>
        <v>26</v>
      </c>
      <c r="E214" s="205" t="n">
        <f aca="false">IF(ISNUMBER(kinematics!O56),kinematics!R56,0)</f>
        <v>0.0226889188381549</v>
      </c>
      <c r="I214" s="27" t="n">
        <f aca="false">C214</f>
        <v>179.915</v>
      </c>
      <c r="J214" s="205" t="n">
        <f aca="false">IF(ISNUMBER(kinematics!O56),kinematics!P56,0)</f>
        <v>0.00137133823639639</v>
      </c>
      <c r="K214" s="205" t="n">
        <f aca="false">IF(ISNUMBER(kinematics!O56),kinematics!S56,0)</f>
        <v>615.198628661764</v>
      </c>
      <c r="M214" s="205" t="n">
        <f aca="false">IF(ISNUMBER(kinematics!O56),kinematics!N56,MAX($D$6:$D$186))</f>
        <v>26</v>
      </c>
      <c r="N214" s="205" t="n">
        <f aca="false">IF(ISNUMBER(kinematics!O56),kinematics!P56,0)</f>
        <v>0.00137133823639639</v>
      </c>
      <c r="O214" s="205" t="n">
        <f aca="false">IF(ISNUMBER(kinematics!O56),kinematics!R56,0)</f>
        <v>0.0226889188381549</v>
      </c>
      <c r="P214" s="205" t="n">
        <f aca="false">IF(ISNUMBER(kinematics!O56),kinematics!S56,0)</f>
        <v>615.198628661764</v>
      </c>
      <c r="R214" s="27" t="n">
        <f aca="false">O214</f>
        <v>0.0226889188381549</v>
      </c>
      <c r="S214" s="27" t="n">
        <f aca="false">P214</f>
        <v>615.198628661764</v>
      </c>
    </row>
    <row r="215" customFormat="false" ht="12.75" hidden="false" customHeight="false" outlineLevel="0" collapsed="false">
      <c r="C215" s="27" t="n">
        <f aca="false">IF(ISNUMBER(kinematics!O57),kinematics!O57,IF(ISNUMBER(kinematics!$O$30),MIN(kinematics!$O$30:$O$210),180))</f>
        <v>179.911</v>
      </c>
      <c r="D215" s="205" t="n">
        <f aca="false">IF(ISNUMBER(kinematics!O57),kinematics!N57,0)</f>
        <v>27</v>
      </c>
      <c r="E215" s="205" t="n">
        <f aca="false">IF(ISNUMBER(kinematics!O57),kinematics!R57,0)</f>
        <v>0.0237034893434004</v>
      </c>
      <c r="I215" s="27" t="n">
        <f aca="false">C215</f>
        <v>179.911</v>
      </c>
      <c r="J215" s="205" t="n">
        <f aca="false">IF(ISNUMBER(kinematics!O57),kinematics!P57,0)</f>
        <v>0.00139550668421243</v>
      </c>
      <c r="K215" s="205" t="n">
        <f aca="false">IF(ISNUMBER(kinematics!O57),kinematics!S57,0)</f>
        <v>615.198604493316</v>
      </c>
      <c r="M215" s="205" t="n">
        <f aca="false">IF(ISNUMBER(kinematics!O57),kinematics!N57,MAX($D$6:$D$186))</f>
        <v>27</v>
      </c>
      <c r="N215" s="205" t="n">
        <f aca="false">IF(ISNUMBER(kinematics!O57),kinematics!P57,0)</f>
        <v>0.00139550668421243</v>
      </c>
      <c r="O215" s="205" t="n">
        <f aca="false">IF(ISNUMBER(kinematics!O57),kinematics!R57,0)</f>
        <v>0.0237034893434004</v>
      </c>
      <c r="P215" s="205" t="n">
        <f aca="false">IF(ISNUMBER(kinematics!O57),kinematics!S57,0)</f>
        <v>615.198604493316</v>
      </c>
      <c r="R215" s="27" t="n">
        <f aca="false">O215</f>
        <v>0.0237034893434004</v>
      </c>
      <c r="S215" s="27" t="n">
        <f aca="false">P215</f>
        <v>615.198604493316</v>
      </c>
    </row>
    <row r="216" customFormat="false" ht="12.75" hidden="false" customHeight="false" outlineLevel="0" collapsed="false">
      <c r="C216" s="27" t="n">
        <f aca="false">IF(ISNUMBER(kinematics!O58),kinematics!O58,IF(ISNUMBER(kinematics!$O$30),MIN(kinematics!$O$30:$O$210),180))</f>
        <v>179.908</v>
      </c>
      <c r="D216" s="205" t="n">
        <f aca="false">IF(ISNUMBER(kinematics!O58),kinematics!N58,0)</f>
        <v>28</v>
      </c>
      <c r="E216" s="205" t="n">
        <f aca="false">IF(ISNUMBER(kinematics!O58),kinematics!R58,0)</f>
        <v>0.0247363742911337</v>
      </c>
      <c r="I216" s="27" t="n">
        <f aca="false">C216</f>
        <v>179.908</v>
      </c>
      <c r="J216" s="205" t="n">
        <f aca="false">IF(ISNUMBER(kinematics!O58),kinematics!P58,0)</f>
        <v>0.00142119729106586</v>
      </c>
      <c r="K216" s="205" t="n">
        <f aca="false">IF(ISNUMBER(kinematics!O58),kinematics!S58,0)</f>
        <v>615.198578802709</v>
      </c>
      <c r="M216" s="205" t="n">
        <f aca="false">IF(ISNUMBER(kinematics!O58),kinematics!N58,MAX($D$6:$D$186))</f>
        <v>28</v>
      </c>
      <c r="N216" s="205" t="n">
        <f aca="false">IF(ISNUMBER(kinematics!O58),kinematics!P58,0)</f>
        <v>0.00142119729106586</v>
      </c>
      <c r="O216" s="205" t="n">
        <f aca="false">IF(ISNUMBER(kinematics!O58),kinematics!R58,0)</f>
        <v>0.0247363742911337</v>
      </c>
      <c r="P216" s="205" t="n">
        <f aca="false">IF(ISNUMBER(kinematics!O58),kinematics!S58,0)</f>
        <v>615.198578802709</v>
      </c>
      <c r="R216" s="27" t="n">
        <f aca="false">O216</f>
        <v>0.0247363742911337</v>
      </c>
      <c r="S216" s="27" t="n">
        <f aca="false">P216</f>
        <v>615.198578802709</v>
      </c>
    </row>
    <row r="217" customFormat="false" ht="12.75" hidden="false" customHeight="false" outlineLevel="0" collapsed="false">
      <c r="C217" s="27" t="n">
        <f aca="false">IF(ISNUMBER(kinematics!O59),kinematics!O59,IF(ISNUMBER(kinematics!$O$30),MIN(kinematics!$O$30:$O$210),180))</f>
        <v>179.904</v>
      </c>
      <c r="D217" s="205" t="n">
        <f aca="false">IF(ISNUMBER(kinematics!O59),kinematics!N59,0)</f>
        <v>29</v>
      </c>
      <c r="E217" s="205" t="n">
        <f aca="false">IF(ISNUMBER(kinematics!O59),kinematics!R59,0)</f>
        <v>0.0257887258148946</v>
      </c>
      <c r="I217" s="27" t="n">
        <f aca="false">C217</f>
        <v>179.904</v>
      </c>
      <c r="J217" s="205" t="n">
        <f aca="false">IF(ISNUMBER(kinematics!O59),kinematics!P59,0)</f>
        <v>0.00144849885136465</v>
      </c>
      <c r="K217" s="205" t="n">
        <f aca="false">IF(ISNUMBER(kinematics!O59),kinematics!S59,0)</f>
        <v>615.198551501149</v>
      </c>
      <c r="M217" s="205" t="n">
        <f aca="false">IF(ISNUMBER(kinematics!O59),kinematics!N59,MAX($D$6:$D$186))</f>
        <v>29</v>
      </c>
      <c r="N217" s="205" t="n">
        <f aca="false">IF(ISNUMBER(kinematics!O59),kinematics!P59,0)</f>
        <v>0.00144849885136465</v>
      </c>
      <c r="O217" s="205" t="n">
        <f aca="false">IF(ISNUMBER(kinematics!O59),kinematics!R59,0)</f>
        <v>0.0257887258148946</v>
      </c>
      <c r="P217" s="205" t="n">
        <f aca="false">IF(ISNUMBER(kinematics!O59),kinematics!S59,0)</f>
        <v>615.198551501149</v>
      </c>
      <c r="R217" s="27" t="n">
        <f aca="false">O217</f>
        <v>0.0257887258148946</v>
      </c>
      <c r="S217" s="27" t="n">
        <f aca="false">P217</f>
        <v>615.198551501149</v>
      </c>
    </row>
    <row r="218" customFormat="false" ht="12.75" hidden="false" customHeight="false" outlineLevel="0" collapsed="false">
      <c r="C218" s="27" t="n">
        <f aca="false">IF(ISNUMBER(kinematics!O60),kinematics!O60,IF(ISNUMBER(kinematics!$O$30),MIN(kinematics!$O$30:$O$210),180))</f>
        <v>179.9</v>
      </c>
      <c r="D218" s="205" t="n">
        <f aca="false">IF(ISNUMBER(kinematics!O60),kinematics!N60,0)</f>
        <v>30</v>
      </c>
      <c r="E218" s="205" t="n">
        <f aca="false">IF(ISNUMBER(kinematics!O60),kinematics!R60,0)</f>
        <v>0.0268617644769548</v>
      </c>
      <c r="I218" s="27" t="n">
        <f aca="false">C218</f>
        <v>179.9</v>
      </c>
      <c r="J218" s="205" t="n">
        <f aca="false">IF(ISNUMBER(kinematics!O60),kinematics!P60,0)</f>
        <v>0.0014775081522118</v>
      </c>
      <c r="K218" s="205" t="n">
        <f aca="false">IF(ISNUMBER(kinematics!O60),kinematics!S60,0)</f>
        <v>615.198522491848</v>
      </c>
      <c r="M218" s="205" t="n">
        <f aca="false">IF(ISNUMBER(kinematics!O60),kinematics!N60,MAX($D$6:$D$186))</f>
        <v>30</v>
      </c>
      <c r="N218" s="205" t="n">
        <f aca="false">IF(ISNUMBER(kinematics!O60),kinematics!P60,0)</f>
        <v>0.0014775081522118</v>
      </c>
      <c r="O218" s="205" t="n">
        <f aca="false">IF(ISNUMBER(kinematics!O60),kinematics!R60,0)</f>
        <v>0.0268617644769548</v>
      </c>
      <c r="P218" s="205" t="n">
        <f aca="false">IF(ISNUMBER(kinematics!O60),kinematics!S60,0)</f>
        <v>615.198522491848</v>
      </c>
      <c r="R218" s="27" t="n">
        <f aca="false">O218</f>
        <v>0.0268617644769548</v>
      </c>
      <c r="S218" s="27" t="n">
        <f aca="false">P218</f>
        <v>615.198522491848</v>
      </c>
    </row>
    <row r="219" customFormat="false" ht="12.75" hidden="false" customHeight="false" outlineLevel="0" collapsed="false">
      <c r="C219" s="27" t="n">
        <f aca="false">IF(ISNUMBER(kinematics!O61),kinematics!O61,IF(ISNUMBER(kinematics!$O$30),MIN(kinematics!$O$30:$O$210),180))</f>
        <v>179.896</v>
      </c>
      <c r="D219" s="205" t="n">
        <f aca="false">IF(ISNUMBER(kinematics!O61),kinematics!N61,0)</f>
        <v>31</v>
      </c>
      <c r="E219" s="205" t="n">
        <f aca="false">IF(ISNUMBER(kinematics!O61),kinematics!R61,0)</f>
        <v>0.0279567853875212</v>
      </c>
      <c r="I219" s="27" t="n">
        <f aca="false">C219</f>
        <v>179.896</v>
      </c>
      <c r="J219" s="205" t="n">
        <f aca="false">IF(ISNUMBER(kinematics!O61),kinematics!P61,0)</f>
        <v>0.00150833076428668</v>
      </c>
      <c r="K219" s="205" t="n">
        <f aca="false">IF(ISNUMBER(kinematics!O61),kinematics!S61,0)</f>
        <v>615.198491669236</v>
      </c>
      <c r="M219" s="205" t="n">
        <f aca="false">IF(ISNUMBER(kinematics!O61),kinematics!N61,MAX($D$6:$D$186))</f>
        <v>31</v>
      </c>
      <c r="N219" s="205" t="n">
        <f aca="false">IF(ISNUMBER(kinematics!O61),kinematics!P61,0)</f>
        <v>0.00150833076428668</v>
      </c>
      <c r="O219" s="205" t="n">
        <f aca="false">IF(ISNUMBER(kinematics!O61),kinematics!R61,0)</f>
        <v>0.0279567853875212</v>
      </c>
      <c r="P219" s="205" t="n">
        <f aca="false">IF(ISNUMBER(kinematics!O61),kinematics!S61,0)</f>
        <v>615.198491669236</v>
      </c>
      <c r="R219" s="27" t="n">
        <f aca="false">O219</f>
        <v>0.0279567853875212</v>
      </c>
      <c r="S219" s="27" t="n">
        <f aca="false">P219</f>
        <v>615.198491669236</v>
      </c>
    </row>
    <row r="220" customFormat="false" ht="12.75" hidden="false" customHeight="false" outlineLevel="0" collapsed="false">
      <c r="C220" s="27" t="n">
        <f aca="false">IF(ISNUMBER(kinematics!O62),kinematics!O62,IF(ISNUMBER(kinematics!$O$30),MIN(kinematics!$O$30:$O$210),180))</f>
        <v>179.891</v>
      </c>
      <c r="D220" s="205" t="n">
        <f aca="false">IF(ISNUMBER(kinematics!O62),kinematics!N62,0)</f>
        <v>32</v>
      </c>
      <c r="E220" s="205" t="n">
        <f aca="false">IF(ISNUMBER(kinematics!O62),kinematics!R62,0)</f>
        <v>0.0290751650228968</v>
      </c>
      <c r="I220" s="27" t="n">
        <f aca="false">C220</f>
        <v>179.891</v>
      </c>
      <c r="J220" s="205" t="n">
        <f aca="false">IF(ISNUMBER(kinematics!O62),kinematics!P62,0)</f>
        <v>0.00154108194057389</v>
      </c>
      <c r="K220" s="205" t="n">
        <f aca="false">IF(ISNUMBER(kinematics!O62),kinematics!S62,0)</f>
        <v>615.19845891806</v>
      </c>
      <c r="M220" s="205" t="n">
        <f aca="false">IF(ISNUMBER(kinematics!O62),kinematics!N62,MAX($D$6:$D$186))</f>
        <v>32</v>
      </c>
      <c r="N220" s="205" t="n">
        <f aca="false">IF(ISNUMBER(kinematics!O62),kinematics!P62,0)</f>
        <v>0.00154108194057389</v>
      </c>
      <c r="O220" s="205" t="n">
        <f aca="false">IF(ISNUMBER(kinematics!O62),kinematics!R62,0)</f>
        <v>0.0290751650228968</v>
      </c>
      <c r="P220" s="205" t="n">
        <f aca="false">IF(ISNUMBER(kinematics!O62),kinematics!S62,0)</f>
        <v>615.19845891806</v>
      </c>
      <c r="R220" s="27" t="n">
        <f aca="false">O220</f>
        <v>0.0290751650228968</v>
      </c>
      <c r="S220" s="27" t="n">
        <f aca="false">P220</f>
        <v>615.19845891806</v>
      </c>
    </row>
    <row r="221" customFormat="false" ht="12.75" hidden="false" customHeight="false" outlineLevel="0" collapsed="false">
      <c r="C221" s="27" t="n">
        <f aca="false">IF(ISNUMBER(kinematics!O63),kinematics!O63,IF(ISNUMBER(kinematics!$O$30),MIN(kinematics!$O$30:$O$210),180))</f>
        <v>179.887</v>
      </c>
      <c r="D221" s="205" t="n">
        <f aca="false">IF(ISNUMBER(kinematics!O63),kinematics!N63,0)</f>
        <v>33</v>
      </c>
      <c r="E221" s="205" t="n">
        <f aca="false">IF(ISNUMBER(kinematics!O63),kinematics!R63,0)</f>
        <v>0.0302183690422901</v>
      </c>
      <c r="I221" s="27" t="n">
        <f aca="false">C221</f>
        <v>179.887</v>
      </c>
      <c r="J221" s="205" t="n">
        <f aca="false">IF(ISNUMBER(kinematics!O63),kinematics!P63,0)</f>
        <v>0.0015758876588887</v>
      </c>
      <c r="K221" s="205" t="n">
        <f aca="false">IF(ISNUMBER(kinematics!O63),kinematics!S63,0)</f>
        <v>615.198424112341</v>
      </c>
      <c r="M221" s="205" t="n">
        <f aca="false">IF(ISNUMBER(kinematics!O63),kinematics!N63,MAX($D$6:$D$186))</f>
        <v>33</v>
      </c>
      <c r="N221" s="205" t="n">
        <f aca="false">IF(ISNUMBER(kinematics!O63),kinematics!P63,0)</f>
        <v>0.0015758876588887</v>
      </c>
      <c r="O221" s="205" t="n">
        <f aca="false">IF(ISNUMBER(kinematics!O63),kinematics!R63,0)</f>
        <v>0.0302183690422901</v>
      </c>
      <c r="P221" s="205" t="n">
        <f aca="false">IF(ISNUMBER(kinematics!O63),kinematics!S63,0)</f>
        <v>615.198424112341</v>
      </c>
      <c r="R221" s="27" t="n">
        <f aca="false">O221</f>
        <v>0.0302183690422901</v>
      </c>
      <c r="S221" s="27" t="n">
        <f aca="false">P221</f>
        <v>615.198424112341</v>
      </c>
    </row>
    <row r="222" customFormat="false" ht="12.75" hidden="false" customHeight="false" outlineLevel="0" collapsed="false">
      <c r="C222" s="27" t="n">
        <f aca="false">IF(ISNUMBER(kinematics!O64),kinematics!O64,IF(ISNUMBER(kinematics!$O$30),MIN(kinematics!$O$30:$O$210),180))</f>
        <v>179.883</v>
      </c>
      <c r="D222" s="205" t="n">
        <f aca="false">IF(ISNUMBER(kinematics!O64),kinematics!N64,0)</f>
        <v>34</v>
      </c>
      <c r="E222" s="205" t="n">
        <f aca="false">IF(ISNUMBER(kinematics!O64),kinematics!R64,0)</f>
        <v>0.031387960248089</v>
      </c>
      <c r="I222" s="27" t="n">
        <f aca="false">C222</f>
        <v>179.883</v>
      </c>
      <c r="J222" s="205" t="n">
        <f aca="false">IF(ISNUMBER(kinematics!O64),kinematics!P64,0)</f>
        <v>0.00161288572431768</v>
      </c>
      <c r="K222" s="205" t="n">
        <f aca="false">IF(ISNUMBER(kinematics!O64),kinematics!S64,0)</f>
        <v>615.198387114276</v>
      </c>
      <c r="M222" s="205" t="n">
        <f aca="false">IF(ISNUMBER(kinematics!O64),kinematics!N64,MAX($D$6:$D$186))</f>
        <v>34</v>
      </c>
      <c r="N222" s="205" t="n">
        <f aca="false">IF(ISNUMBER(kinematics!O64),kinematics!P64,0)</f>
        <v>0.00161288572431768</v>
      </c>
      <c r="O222" s="205" t="n">
        <f aca="false">IF(ISNUMBER(kinematics!O64),kinematics!R64,0)</f>
        <v>0.031387960248089</v>
      </c>
      <c r="P222" s="205" t="n">
        <f aca="false">IF(ISNUMBER(kinematics!O64),kinematics!S64,0)</f>
        <v>615.198387114276</v>
      </c>
      <c r="R222" s="27" t="n">
        <f aca="false">O222</f>
        <v>0.031387960248089</v>
      </c>
      <c r="S222" s="27" t="n">
        <f aca="false">P222</f>
        <v>615.198387114276</v>
      </c>
    </row>
    <row r="223" customFormat="false" ht="12.75" hidden="false" customHeight="false" outlineLevel="0" collapsed="false">
      <c r="C223" s="27" t="n">
        <f aca="false">IF(ISNUMBER(kinematics!O65),kinematics!O65,IF(ISNUMBER(kinematics!$O$30),MIN(kinematics!$O$30:$O$210),180))</f>
        <v>179.878</v>
      </c>
      <c r="D223" s="205" t="n">
        <f aca="false">IF(ISNUMBER(kinematics!O65),kinematics!N65,0)</f>
        <v>35</v>
      </c>
      <c r="E223" s="205" t="n">
        <f aca="false">IF(ISNUMBER(kinematics!O65),kinematics!R65,0)</f>
        <v>0.0325856077144715</v>
      </c>
      <c r="I223" s="27" t="n">
        <f aca="false">C223</f>
        <v>179.878</v>
      </c>
      <c r="J223" s="205" t="n">
        <f aca="false">IF(ISNUMBER(kinematics!O65),kinematics!P65,0)</f>
        <v>0.00165222705140525</v>
      </c>
      <c r="K223" s="205" t="n">
        <f aca="false">IF(ISNUMBER(kinematics!O65),kinematics!S65,0)</f>
        <v>615.198347772949</v>
      </c>
      <c r="M223" s="205" t="n">
        <f aca="false">IF(ISNUMBER(kinematics!O65),kinematics!N65,MAX($D$6:$D$186))</f>
        <v>35</v>
      </c>
      <c r="N223" s="205" t="n">
        <f aca="false">IF(ISNUMBER(kinematics!O65),kinematics!P65,0)</f>
        <v>0.00165222705140525</v>
      </c>
      <c r="O223" s="205" t="n">
        <f aca="false">IF(ISNUMBER(kinematics!O65),kinematics!R65,0)</f>
        <v>0.0325856077144715</v>
      </c>
      <c r="P223" s="205" t="n">
        <f aca="false">IF(ISNUMBER(kinematics!O65),kinematics!S65,0)</f>
        <v>615.198347772949</v>
      </c>
      <c r="R223" s="27" t="n">
        <f aca="false">O223</f>
        <v>0.0325856077144715</v>
      </c>
      <c r="S223" s="27" t="n">
        <f aca="false">P223</f>
        <v>615.198347772949</v>
      </c>
    </row>
    <row r="224" customFormat="false" ht="12.75" hidden="false" customHeight="false" outlineLevel="0" collapsed="false">
      <c r="C224" s="27" t="n">
        <f aca="false">IF(ISNUMBER(kinematics!O66),kinematics!O66,IF(ISNUMBER(kinematics!$O$30),MIN(kinematics!$O$30:$O$210),180))</f>
        <v>179.874</v>
      </c>
      <c r="D224" s="205" t="n">
        <f aca="false">IF(ISNUMBER(kinematics!O66),kinematics!N66,0)</f>
        <v>36</v>
      </c>
      <c r="E224" s="205" t="n">
        <f aca="false">IF(ISNUMBER(kinematics!O66),kinematics!R66,0)</f>
        <v>0.0338130978523915</v>
      </c>
      <c r="I224" s="27" t="n">
        <f aca="false">C224</f>
        <v>179.874</v>
      </c>
      <c r="J224" s="205" t="n">
        <f aca="false">IF(ISNUMBER(kinematics!O66),kinematics!P66,0)</f>
        <v>0.00169407720996719</v>
      </c>
      <c r="K224" s="205" t="n">
        <f aca="false">IF(ISNUMBER(kinematics!O66),kinematics!S66,0)</f>
        <v>615.19830592279</v>
      </c>
      <c r="M224" s="205" t="n">
        <f aca="false">IF(ISNUMBER(kinematics!O66),kinematics!N66,MAX($D$6:$D$186))</f>
        <v>36</v>
      </c>
      <c r="N224" s="205" t="n">
        <f aca="false">IF(ISNUMBER(kinematics!O66),kinematics!P66,0)</f>
        <v>0.00169407720996719</v>
      </c>
      <c r="O224" s="205" t="n">
        <f aca="false">IF(ISNUMBER(kinematics!O66),kinematics!R66,0)</f>
        <v>0.0338130978523915</v>
      </c>
      <c r="P224" s="205" t="n">
        <f aca="false">IF(ISNUMBER(kinematics!O66),kinematics!S66,0)</f>
        <v>615.19830592279</v>
      </c>
      <c r="R224" s="27" t="n">
        <f aca="false">O224</f>
        <v>0.0338130978523915</v>
      </c>
      <c r="S224" s="27" t="n">
        <f aca="false">P224</f>
        <v>615.19830592279</v>
      </c>
    </row>
    <row r="225" customFormat="false" ht="12.75" hidden="false" customHeight="false" outlineLevel="0" collapsed="false">
      <c r="C225" s="27" t="n">
        <f aca="false">IF(ISNUMBER(kinematics!O67),kinematics!O67,IF(ISNUMBER(kinematics!$O$30),MIN(kinematics!$O$30:$O$210),180))</f>
        <v>179.869</v>
      </c>
      <c r="D225" s="205" t="n">
        <f aca="false">IF(ISNUMBER(kinematics!O67),kinematics!N67,0)</f>
        <v>37</v>
      </c>
      <c r="E225" s="205" t="n">
        <f aca="false">IF(ISNUMBER(kinematics!O67),kinematics!R67,0)</f>
        <v>0.0350723451785743</v>
      </c>
      <c r="I225" s="27" t="n">
        <f aca="false">C225</f>
        <v>179.869</v>
      </c>
      <c r="J225" s="205" t="n">
        <f aca="false">IF(ISNUMBER(kinematics!O67),kinematics!P67,0)</f>
        <v>0.00173861801883643</v>
      </c>
      <c r="K225" s="205" t="n">
        <f aca="false">IF(ISNUMBER(kinematics!O67),kinematics!S67,0)</f>
        <v>615.198261381981</v>
      </c>
      <c r="M225" s="205" t="n">
        <f aca="false">IF(ISNUMBER(kinematics!O67),kinematics!N67,MAX($D$6:$D$186))</f>
        <v>37</v>
      </c>
      <c r="N225" s="205" t="n">
        <f aca="false">IF(ISNUMBER(kinematics!O67),kinematics!P67,0)</f>
        <v>0.00173861801883643</v>
      </c>
      <c r="O225" s="205" t="n">
        <f aca="false">IF(ISNUMBER(kinematics!O67),kinematics!R67,0)</f>
        <v>0.0350723451785743</v>
      </c>
      <c r="P225" s="205" t="n">
        <f aca="false">IF(ISNUMBER(kinematics!O67),kinematics!S67,0)</f>
        <v>615.198261381981</v>
      </c>
      <c r="R225" s="27" t="n">
        <f aca="false">O225</f>
        <v>0.0350723451785743</v>
      </c>
      <c r="S225" s="27" t="n">
        <f aca="false">P225</f>
        <v>615.198261381981</v>
      </c>
    </row>
    <row r="226" customFormat="false" ht="12.75" hidden="false" customHeight="false" outlineLevel="0" collapsed="false">
      <c r="C226" s="27" t="n">
        <f aca="false">IF(ISNUMBER(kinematics!O68),kinematics!O68,IF(ISNUMBER(kinematics!$O$30),MIN(kinematics!$O$30:$O$210),180))</f>
        <v>179.864</v>
      </c>
      <c r="D226" s="205" t="n">
        <f aca="false">IF(ISNUMBER(kinematics!O68),kinematics!N68,0)</f>
        <v>38</v>
      </c>
      <c r="E226" s="205" t="n">
        <f aca="false">IF(ISNUMBER(kinematics!O68),kinematics!R68,0)</f>
        <v>0.0363654047079152</v>
      </c>
      <c r="I226" s="27" t="n">
        <f aca="false">C226</f>
        <v>179.864</v>
      </c>
      <c r="J226" s="205" t="n">
        <f aca="false">IF(ISNUMBER(kinematics!O68),kinematics!P68,0)</f>
        <v>0.00178604940323602</v>
      </c>
      <c r="K226" s="205" t="n">
        <f aca="false">IF(ISNUMBER(kinematics!O68),kinematics!S68,0)</f>
        <v>615.198213950597</v>
      </c>
      <c r="M226" s="205" t="n">
        <f aca="false">IF(ISNUMBER(kinematics!O68),kinematics!N68,MAX($D$6:$D$186))</f>
        <v>38</v>
      </c>
      <c r="N226" s="205" t="n">
        <f aca="false">IF(ISNUMBER(kinematics!O68),kinematics!P68,0)</f>
        <v>0.00178604940323602</v>
      </c>
      <c r="O226" s="205" t="n">
        <f aca="false">IF(ISNUMBER(kinematics!O68),kinematics!R68,0)</f>
        <v>0.0363654047079152</v>
      </c>
      <c r="P226" s="205" t="n">
        <f aca="false">IF(ISNUMBER(kinematics!O68),kinematics!S68,0)</f>
        <v>615.198213950597</v>
      </c>
      <c r="R226" s="27" t="n">
        <f aca="false">O226</f>
        <v>0.0363654047079152</v>
      </c>
      <c r="S226" s="27" t="n">
        <f aca="false">P226</f>
        <v>615.198213950597</v>
      </c>
    </row>
    <row r="227" customFormat="false" ht="12.75" hidden="false" customHeight="false" outlineLevel="0" collapsed="false">
      <c r="C227" s="27" t="n">
        <f aca="false">IF(ISNUMBER(kinematics!O69),kinematics!O69,IF(ISNUMBER(kinematics!$O$30),MIN(kinematics!$O$30:$O$210),180))</f>
        <v>179.859</v>
      </c>
      <c r="D227" s="205" t="n">
        <f aca="false">IF(ISNUMBER(kinematics!O69),kinematics!N69,0)</f>
        <v>39</v>
      </c>
      <c r="E227" s="205" t="n">
        <f aca="false">IF(ISNUMBER(kinematics!O69),kinematics!R69,0)</f>
        <v>0.0376944872912186</v>
      </c>
      <c r="I227" s="27" t="n">
        <f aca="false">C227</f>
        <v>179.859</v>
      </c>
      <c r="J227" s="205" t="n">
        <f aca="false">IF(ISNUMBER(kinematics!O69),kinematics!P69,0)</f>
        <v>0.00183659165957568</v>
      </c>
      <c r="K227" s="205" t="n">
        <f aca="false">IF(ISNUMBER(kinematics!O69),kinematics!S69,0)</f>
        <v>615.198163408341</v>
      </c>
      <c r="M227" s="205" t="n">
        <f aca="false">IF(ISNUMBER(kinematics!O69),kinematics!N69,MAX($D$6:$D$186))</f>
        <v>39</v>
      </c>
      <c r="N227" s="205" t="n">
        <f aca="false">IF(ISNUMBER(kinematics!O69),kinematics!P69,0)</f>
        <v>0.00183659165957568</v>
      </c>
      <c r="O227" s="205" t="n">
        <f aca="false">IF(ISNUMBER(kinematics!O69),kinematics!R69,0)</f>
        <v>0.0376944872912186</v>
      </c>
      <c r="P227" s="205" t="n">
        <f aca="false">IF(ISNUMBER(kinematics!O69),kinematics!S69,0)</f>
        <v>615.198163408341</v>
      </c>
      <c r="R227" s="27" t="n">
        <f aca="false">O227</f>
        <v>0.0376944872912186</v>
      </c>
      <c r="S227" s="27" t="n">
        <f aca="false">P227</f>
        <v>615.198163408341</v>
      </c>
    </row>
    <row r="228" customFormat="false" ht="12.75" hidden="false" customHeight="false" outlineLevel="0" collapsed="false">
      <c r="C228" s="27" t="n">
        <f aca="false">IF(ISNUMBER(kinematics!O70),kinematics!O70,IF(ISNUMBER(kinematics!$O$30),MIN(kinematics!$O$30:$O$210),180))</f>
        <v>179.854</v>
      </c>
      <c r="D228" s="205" t="n">
        <f aca="false">IF(ISNUMBER(kinematics!O70),kinematics!N70,0)</f>
        <v>40</v>
      </c>
      <c r="E228" s="205" t="n">
        <f aca="false">IF(ISNUMBER(kinematics!O70),kinematics!R70,0)</f>
        <v>0.0390619745237093</v>
      </c>
      <c r="I228" s="27" t="n">
        <f aca="false">C228</f>
        <v>179.854</v>
      </c>
      <c r="J228" s="205" t="n">
        <f aca="false">IF(ISNUMBER(kinematics!O70),kinematics!P70,0)</f>
        <v>0.00189048781611292</v>
      </c>
      <c r="K228" s="205" t="n">
        <f aca="false">IF(ISNUMBER(kinematics!O70),kinematics!S70,0)</f>
        <v>615.198109512184</v>
      </c>
      <c r="M228" s="205" t="n">
        <f aca="false">IF(ISNUMBER(kinematics!O70),kinematics!N70,MAX($D$6:$D$186))</f>
        <v>40</v>
      </c>
      <c r="N228" s="205" t="n">
        <f aca="false">IF(ISNUMBER(kinematics!O70),kinematics!P70,0)</f>
        <v>0.00189048781611292</v>
      </c>
      <c r="O228" s="205" t="n">
        <f aca="false">IF(ISNUMBER(kinematics!O70),kinematics!R70,0)</f>
        <v>0.0390619745237093</v>
      </c>
      <c r="P228" s="205" t="n">
        <f aca="false">IF(ISNUMBER(kinematics!O70),kinematics!S70,0)</f>
        <v>615.198109512184</v>
      </c>
      <c r="R228" s="27" t="n">
        <f aca="false">O228</f>
        <v>0.0390619745237093</v>
      </c>
      <c r="S228" s="27" t="n">
        <f aca="false">P228</f>
        <v>615.198109512184</v>
      </c>
    </row>
    <row r="229" customFormat="false" ht="12.75" hidden="false" customHeight="false" outlineLevel="0" collapsed="false">
      <c r="C229" s="27" t="n">
        <f aca="false">IF(ISNUMBER(kinematics!O71),kinematics!O71,IF(ISNUMBER(kinematics!$O$30),MIN(kinematics!$O$30:$O$210),180))</f>
        <v>179.849</v>
      </c>
      <c r="D229" s="205" t="n">
        <f aca="false">IF(ISNUMBER(kinematics!O71),kinematics!N71,0)</f>
        <v>41</v>
      </c>
      <c r="E229" s="205" t="n">
        <f aca="false">IF(ISNUMBER(kinematics!O71),kinematics!R71,0)</f>
        <v>0.0404704371833488</v>
      </c>
      <c r="I229" s="27" t="n">
        <f aca="false">C229</f>
        <v>179.849</v>
      </c>
      <c r="J229" s="205" t="n">
        <f aca="false">IF(ISNUMBER(kinematics!O71),kinematics!P71,0)</f>
        <v>0.00194800650888524</v>
      </c>
      <c r="K229" s="205" t="n">
        <f aca="false">IF(ISNUMBER(kinematics!O71),kinematics!S71,0)</f>
        <v>615.198051993491</v>
      </c>
      <c r="M229" s="205" t="n">
        <f aca="false">IF(ISNUMBER(kinematics!O71),kinematics!N71,MAX($D$6:$D$186))</f>
        <v>41</v>
      </c>
      <c r="N229" s="205" t="n">
        <f aca="false">IF(ISNUMBER(kinematics!O71),kinematics!P71,0)</f>
        <v>0.00194800650888524</v>
      </c>
      <c r="O229" s="205" t="n">
        <f aca="false">IF(ISNUMBER(kinematics!O71),kinematics!R71,0)</f>
        <v>0.0404704371833488</v>
      </c>
      <c r="P229" s="205" t="n">
        <f aca="false">IF(ISNUMBER(kinematics!O71),kinematics!S71,0)</f>
        <v>615.198051993491</v>
      </c>
      <c r="R229" s="27" t="n">
        <f aca="false">O229</f>
        <v>0.0404704371833488</v>
      </c>
      <c r="S229" s="27" t="n">
        <f aca="false">P229</f>
        <v>615.198051993491</v>
      </c>
    </row>
    <row r="230" customFormat="false" ht="12.75" hidden="false" customHeight="false" outlineLevel="0" collapsed="false">
      <c r="C230" s="27" t="n">
        <f aca="false">IF(ISNUMBER(kinematics!O72),kinematics!O72,IF(ISNUMBER(kinematics!$O$30),MIN(kinematics!$O$30:$O$210),180))</f>
        <v>179.843</v>
      </c>
      <c r="D230" s="205" t="n">
        <f aca="false">IF(ISNUMBER(kinematics!O72),kinematics!N72,0)</f>
        <v>42</v>
      </c>
      <c r="E230" s="205" t="n">
        <f aca="false">IF(ISNUMBER(kinematics!O72),kinematics!R72,0)</f>
        <v>0.0419226558013691</v>
      </c>
      <c r="I230" s="27" t="n">
        <f aca="false">C230</f>
        <v>179.843</v>
      </c>
      <c r="J230" s="205" t="n">
        <f aca="false">IF(ISNUMBER(kinematics!O72),kinematics!P72,0)</f>
        <v>0.00200944526506613</v>
      </c>
      <c r="K230" s="205" t="n">
        <f aca="false">IF(ISNUMBER(kinematics!O72),kinematics!S72,0)</f>
        <v>615.197990554735</v>
      </c>
      <c r="M230" s="205" t="n">
        <f aca="false">IF(ISNUMBER(kinematics!O72),kinematics!N72,MAX($D$6:$D$186))</f>
        <v>42</v>
      </c>
      <c r="N230" s="205" t="n">
        <f aca="false">IF(ISNUMBER(kinematics!O72),kinematics!P72,0)</f>
        <v>0.00200944526506613</v>
      </c>
      <c r="O230" s="205" t="n">
        <f aca="false">IF(ISNUMBER(kinematics!O72),kinematics!R72,0)</f>
        <v>0.0419226558013691</v>
      </c>
      <c r="P230" s="205" t="n">
        <f aca="false">IF(ISNUMBER(kinematics!O72),kinematics!S72,0)</f>
        <v>615.197990554735</v>
      </c>
      <c r="R230" s="27" t="n">
        <f aca="false">O230</f>
        <v>0.0419226558013691</v>
      </c>
      <c r="S230" s="27" t="n">
        <f aca="false">P230</f>
        <v>615.197990554735</v>
      </c>
    </row>
    <row r="231" customFormat="false" ht="12.75" hidden="false" customHeight="false" outlineLevel="0" collapsed="false">
      <c r="C231" s="27" t="n">
        <f aca="false">IF(ISNUMBER(kinematics!O73),kinematics!O73,IF(ISNUMBER(kinematics!$O$30),MIN(kinematics!$O$30:$O$210),180))</f>
        <v>179.838</v>
      </c>
      <c r="D231" s="205" t="n">
        <f aca="false">IF(ISNUMBER(kinematics!O73),kinematics!N73,0)</f>
        <v>43</v>
      </c>
      <c r="E231" s="205" t="n">
        <f aca="false">IF(ISNUMBER(kinematics!O73),kinematics!R73,0)</f>
        <v>0.0434216424220224</v>
      </c>
      <c r="I231" s="27" t="n">
        <f aca="false">C231</f>
        <v>179.838</v>
      </c>
      <c r="J231" s="205" t="n">
        <f aca="false">IF(ISNUMBER(kinematics!O73),kinematics!P73,0)</f>
        <v>0.00207513414581256</v>
      </c>
      <c r="K231" s="205" t="n">
        <f aca="false">IF(ISNUMBER(kinematics!O73),kinematics!S73,0)</f>
        <v>615.197924865854</v>
      </c>
      <c r="M231" s="205" t="n">
        <f aca="false">IF(ISNUMBER(kinematics!O73),kinematics!N73,MAX($D$6:$D$186))</f>
        <v>43</v>
      </c>
      <c r="N231" s="205" t="n">
        <f aca="false">IF(ISNUMBER(kinematics!O73),kinematics!P73,0)</f>
        <v>0.00207513414581256</v>
      </c>
      <c r="O231" s="205" t="n">
        <f aca="false">IF(ISNUMBER(kinematics!O73),kinematics!R73,0)</f>
        <v>0.0434216424220224</v>
      </c>
      <c r="P231" s="205" t="n">
        <f aca="false">IF(ISNUMBER(kinematics!O73),kinematics!S73,0)</f>
        <v>615.197924865854</v>
      </c>
      <c r="R231" s="27" t="n">
        <f aca="false">O231</f>
        <v>0.0434216424220224</v>
      </c>
      <c r="S231" s="27" t="n">
        <f aca="false">P231</f>
        <v>615.197924865854</v>
      </c>
    </row>
    <row r="232" customFormat="false" ht="12.75" hidden="false" customHeight="false" outlineLevel="0" collapsed="false">
      <c r="C232" s="27" t="n">
        <f aca="false">IF(ISNUMBER(kinematics!O74),kinematics!O74,IF(ISNUMBER(kinematics!$O$30),MIN(kinematics!$O$30:$O$210),180))</f>
        <v>179.832</v>
      </c>
      <c r="D232" s="205" t="n">
        <f aca="false">IF(ISNUMBER(kinematics!O74),kinematics!N74,0)</f>
        <v>44</v>
      </c>
      <c r="E232" s="205" t="n">
        <f aca="false">IF(ISNUMBER(kinematics!O74),kinematics!R74,0)</f>
        <v>0.0449706674002673</v>
      </c>
      <c r="I232" s="27" t="n">
        <f aca="false">C232</f>
        <v>179.832</v>
      </c>
      <c r="J232" s="205" t="n">
        <f aca="false">IF(ISNUMBER(kinematics!O74),kinematics!P74,0)</f>
        <v>0.00214544016801081</v>
      </c>
      <c r="K232" s="205" t="n">
        <f aca="false">IF(ISNUMBER(kinematics!O74),kinematics!S74,0)</f>
        <v>615.197854559832</v>
      </c>
      <c r="M232" s="205" t="n">
        <f aca="false">IF(ISNUMBER(kinematics!O74),kinematics!N74,MAX($D$6:$D$186))</f>
        <v>44</v>
      </c>
      <c r="N232" s="205" t="n">
        <f aca="false">IF(ISNUMBER(kinematics!O74),kinematics!P74,0)</f>
        <v>0.00214544016801081</v>
      </c>
      <c r="O232" s="205" t="n">
        <f aca="false">IF(ISNUMBER(kinematics!O74),kinematics!R74,0)</f>
        <v>0.0449706674002673</v>
      </c>
      <c r="P232" s="205" t="n">
        <f aca="false">IF(ISNUMBER(kinematics!O74),kinematics!S74,0)</f>
        <v>615.197854559832</v>
      </c>
      <c r="R232" s="27" t="n">
        <f aca="false">O232</f>
        <v>0.0449706674002673</v>
      </c>
      <c r="S232" s="27" t="n">
        <f aca="false">P232</f>
        <v>615.197854559832</v>
      </c>
    </row>
    <row r="233" customFormat="false" ht="12.75" hidden="false" customHeight="false" outlineLevel="0" collapsed="false">
      <c r="C233" s="27" t="n">
        <f aca="false">IF(ISNUMBER(kinematics!O75),kinematics!O75,IF(ISNUMBER(kinematics!$O$30),MIN(kinematics!$O$30:$O$210),180))</f>
        <v>179.826</v>
      </c>
      <c r="D233" s="205" t="n">
        <f aca="false">IF(ISNUMBER(kinematics!O75),kinematics!N75,0)</f>
        <v>45</v>
      </c>
      <c r="E233" s="205" t="n">
        <f aca="false">IF(ISNUMBER(kinematics!O75),kinematics!R75,0)</f>
        <v>0.0465732881215047</v>
      </c>
      <c r="I233" s="27" t="n">
        <f aca="false">C233</f>
        <v>179.826</v>
      </c>
      <c r="J233" s="205" t="n">
        <f aca="false">IF(ISNUMBER(kinematics!O75),kinematics!P75,0)</f>
        <v>0.00222077226525961</v>
      </c>
      <c r="K233" s="205" t="n">
        <f aca="false">IF(ISNUMBER(kinematics!O75),kinematics!S75,0)</f>
        <v>615.197779227735</v>
      </c>
      <c r="M233" s="205" t="n">
        <f aca="false">IF(ISNUMBER(kinematics!O75),kinematics!N75,MAX($D$6:$D$186))</f>
        <v>45</v>
      </c>
      <c r="N233" s="205" t="n">
        <f aca="false">IF(ISNUMBER(kinematics!O75),kinematics!P75,0)</f>
        <v>0.00222077226525961</v>
      </c>
      <c r="O233" s="205" t="n">
        <f aca="false">IF(ISNUMBER(kinematics!O75),kinematics!R75,0)</f>
        <v>0.0465732881215047</v>
      </c>
      <c r="P233" s="205" t="n">
        <f aca="false">IF(ISNUMBER(kinematics!O75),kinematics!S75,0)</f>
        <v>615.197779227735</v>
      </c>
      <c r="R233" s="27" t="n">
        <f aca="false">O233</f>
        <v>0.0465732881215047</v>
      </c>
      <c r="S233" s="27" t="n">
        <f aca="false">P233</f>
        <v>615.197779227735</v>
      </c>
    </row>
    <row r="234" customFormat="false" ht="12.75" hidden="false" customHeight="false" outlineLevel="0" collapsed="false">
      <c r="C234" s="27" t="n">
        <f aca="false">IF(ISNUMBER(kinematics!O76),kinematics!O76,IF(ISNUMBER(kinematics!$O$30),MIN(kinematics!$O$30:$O$210),180))</f>
        <v>179.82</v>
      </c>
      <c r="D234" s="205" t="n">
        <f aca="false">IF(ISNUMBER(kinematics!O76),kinematics!N76,0)</f>
        <v>46</v>
      </c>
      <c r="E234" s="205" t="n">
        <f aca="false">IF(ISNUMBER(kinematics!O76),kinematics!R76,0)</f>
        <v>0.0482333826107887</v>
      </c>
      <c r="I234" s="27" t="n">
        <f aca="false">C234</f>
        <v>179.82</v>
      </c>
      <c r="J234" s="205" t="n">
        <f aca="false">IF(ISNUMBER(kinematics!O76),kinematics!P76,0)</f>
        <v>0.00230158714758202</v>
      </c>
      <c r="K234" s="205" t="n">
        <f aca="false">IF(ISNUMBER(kinematics!O76),kinematics!S76,0)</f>
        <v>615.197698412852</v>
      </c>
      <c r="M234" s="205" t="n">
        <f aca="false">IF(ISNUMBER(kinematics!O76),kinematics!N76,MAX($D$6:$D$186))</f>
        <v>46</v>
      </c>
      <c r="N234" s="205" t="n">
        <f aca="false">IF(ISNUMBER(kinematics!O76),kinematics!P76,0)</f>
        <v>0.00230158714758202</v>
      </c>
      <c r="O234" s="205" t="n">
        <f aca="false">IF(ISNUMBER(kinematics!O76),kinematics!R76,0)</f>
        <v>0.0482333826107887</v>
      </c>
      <c r="P234" s="205" t="n">
        <f aca="false">IF(ISNUMBER(kinematics!O76),kinematics!S76,0)</f>
        <v>615.197698412852</v>
      </c>
      <c r="R234" s="27" t="n">
        <f aca="false">O234</f>
        <v>0.0482333826107887</v>
      </c>
      <c r="S234" s="27" t="n">
        <f aca="false">P234</f>
        <v>615.197698412852</v>
      </c>
    </row>
    <row r="235" customFormat="false" ht="12.75" hidden="false" customHeight="false" outlineLevel="0" collapsed="false">
      <c r="C235" s="27" t="n">
        <f aca="false">IF(ISNUMBER(kinematics!O77),kinematics!O77,IF(ISNUMBER(kinematics!$O$30),MIN(kinematics!$O$30:$O$210),180))</f>
        <v>179.813</v>
      </c>
      <c r="D235" s="205" t="n">
        <f aca="false">IF(ISNUMBER(kinematics!O77),kinematics!N77,0)</f>
        <v>47</v>
      </c>
      <c r="E235" s="205" t="n">
        <f aca="false">IF(ISNUMBER(kinematics!O77),kinematics!R77,0)</f>
        <v>0.0499551875751839</v>
      </c>
      <c r="I235" s="27" t="n">
        <f aca="false">C235</f>
        <v>179.813</v>
      </c>
      <c r="J235" s="205" t="n">
        <f aca="false">IF(ISNUMBER(kinematics!O77),kinematics!P77,0)</f>
        <v>0.00238839610779847</v>
      </c>
      <c r="K235" s="205" t="n">
        <f aca="false">IF(ISNUMBER(kinematics!O77),kinematics!S77,0)</f>
        <v>615.197611603892</v>
      </c>
      <c r="M235" s="205" t="n">
        <f aca="false">IF(ISNUMBER(kinematics!O77),kinematics!N77,MAX($D$6:$D$186))</f>
        <v>47</v>
      </c>
      <c r="N235" s="205" t="n">
        <f aca="false">IF(ISNUMBER(kinematics!O77),kinematics!P77,0)</f>
        <v>0.00238839610779847</v>
      </c>
      <c r="O235" s="205" t="n">
        <f aca="false">IF(ISNUMBER(kinematics!O77),kinematics!R77,0)</f>
        <v>0.0499551875751839</v>
      </c>
      <c r="P235" s="205" t="n">
        <f aca="false">IF(ISNUMBER(kinematics!O77),kinematics!S77,0)</f>
        <v>615.197611603892</v>
      </c>
      <c r="R235" s="27" t="n">
        <f aca="false">O235</f>
        <v>0.0499551875751839</v>
      </c>
      <c r="S235" s="27" t="n">
        <f aca="false">P235</f>
        <v>615.197611603892</v>
      </c>
    </row>
    <row r="236" customFormat="false" ht="12.75" hidden="false" customHeight="false" outlineLevel="0" collapsed="false">
      <c r="C236" s="27" t="n">
        <f aca="false">IF(ISNUMBER(kinematics!O78),kinematics!O78,IF(ISNUMBER(kinematics!$O$30),MIN(kinematics!$O$30:$O$210),180))</f>
        <v>179.807</v>
      </c>
      <c r="D236" s="205" t="n">
        <f aca="false">IF(ISNUMBER(kinematics!O78),kinematics!N78,0)</f>
        <v>48</v>
      </c>
      <c r="E236" s="205" t="n">
        <f aca="false">IF(ISNUMBER(kinematics!O78),kinematics!R78,0)</f>
        <v>0.0517433420684374</v>
      </c>
      <c r="I236" s="27" t="n">
        <f aca="false">C236</f>
        <v>179.807</v>
      </c>
      <c r="J236" s="205" t="n">
        <f aca="false">IF(ISNUMBER(kinematics!O78),kinematics!P78,0)</f>
        <v>0.00248177300223871</v>
      </c>
      <c r="K236" s="205" t="n">
        <f aca="false">IF(ISNUMBER(kinematics!O78),kinematics!S78,0)</f>
        <v>615.197518226998</v>
      </c>
      <c r="M236" s="205" t="n">
        <f aca="false">IF(ISNUMBER(kinematics!O78),kinematics!N78,MAX($D$6:$D$186))</f>
        <v>48</v>
      </c>
      <c r="N236" s="205" t="n">
        <f aca="false">IF(ISNUMBER(kinematics!O78),kinematics!P78,0)</f>
        <v>0.00248177300223871</v>
      </c>
      <c r="O236" s="205" t="n">
        <f aca="false">IF(ISNUMBER(kinematics!O78),kinematics!R78,0)</f>
        <v>0.0517433420684374</v>
      </c>
      <c r="P236" s="205" t="n">
        <f aca="false">IF(ISNUMBER(kinematics!O78),kinematics!S78,0)</f>
        <v>615.197518226998</v>
      </c>
      <c r="R236" s="27" t="n">
        <f aca="false">O236</f>
        <v>0.0517433420684374</v>
      </c>
      <c r="S236" s="27" t="n">
        <f aca="false">P236</f>
        <v>615.197518226998</v>
      </c>
    </row>
    <row r="237" customFormat="false" ht="12.75" hidden="false" customHeight="false" outlineLevel="0" collapsed="false">
      <c r="C237" s="27" t="n">
        <f aca="false">IF(ISNUMBER(kinematics!O79),kinematics!O79,IF(ISNUMBER(kinematics!$O$30),MIN(kinematics!$O$30:$O$210),180))</f>
        <v>179.8</v>
      </c>
      <c r="D237" s="205" t="n">
        <f aca="false">IF(ISNUMBER(kinematics!O79),kinematics!N79,0)</f>
        <v>49</v>
      </c>
      <c r="E237" s="205" t="n">
        <f aca="false">IF(ISNUMBER(kinematics!O79),kinematics!R79,0)</f>
        <v>0.0536029369302793</v>
      </c>
      <c r="I237" s="27" t="n">
        <f aca="false">C237</f>
        <v>179.8</v>
      </c>
      <c r="J237" s="205" t="n">
        <f aca="false">IF(ISNUMBER(kinematics!O79),kinematics!P79,0)</f>
        <v>0.00258236356157242</v>
      </c>
      <c r="K237" s="205" t="n">
        <f aca="false">IF(ISNUMBER(kinematics!O79),kinematics!S79,0)</f>
        <v>615.197417636438</v>
      </c>
      <c r="M237" s="205" t="n">
        <f aca="false">IF(ISNUMBER(kinematics!O79),kinematics!N79,MAX($D$6:$D$186))</f>
        <v>49</v>
      </c>
      <c r="N237" s="205" t="n">
        <f aca="false">IF(ISNUMBER(kinematics!O79),kinematics!P79,0)</f>
        <v>0.00258236356157242</v>
      </c>
      <c r="O237" s="205" t="n">
        <f aca="false">IF(ISNUMBER(kinematics!O79),kinematics!R79,0)</f>
        <v>0.0536029369302793</v>
      </c>
      <c r="P237" s="205" t="n">
        <f aca="false">IF(ISNUMBER(kinematics!O79),kinematics!S79,0)</f>
        <v>615.197417636438</v>
      </c>
      <c r="R237" s="27" t="n">
        <f aca="false">O237</f>
        <v>0.0536029369302793</v>
      </c>
      <c r="S237" s="27" t="n">
        <f aca="false">P237</f>
        <v>615.197417636438</v>
      </c>
    </row>
    <row r="238" customFormat="false" ht="12.75" hidden="false" customHeight="false" outlineLevel="0" collapsed="false">
      <c r="C238" s="27" t="n">
        <f aca="false">IF(ISNUMBER(kinematics!O80),kinematics!O80,IF(ISNUMBER(kinematics!$O$30),MIN(kinematics!$O$30:$O$210),180))</f>
        <v>179.792</v>
      </c>
      <c r="D238" s="205" t="n">
        <f aca="false">IF(ISNUMBER(kinematics!O80),kinematics!N80,0)</f>
        <v>50</v>
      </c>
      <c r="E238" s="205" t="n">
        <f aca="false">IF(ISNUMBER(kinematics!O80),kinematics!R80,0)</f>
        <v>0.0555395739046926</v>
      </c>
      <c r="I238" s="27" t="n">
        <f aca="false">C238</f>
        <v>179.792</v>
      </c>
      <c r="J238" s="205" t="n">
        <f aca="false">IF(ISNUMBER(kinematics!O80),kinematics!P80,0)</f>
        <v>0.00269089658297888</v>
      </c>
      <c r="K238" s="205" t="n">
        <f aca="false">IF(ISNUMBER(kinematics!O80),kinematics!S80,0)</f>
        <v>615.197309103417</v>
      </c>
      <c r="M238" s="205" t="n">
        <f aca="false">IF(ISNUMBER(kinematics!O80),kinematics!N80,MAX($D$6:$D$186))</f>
        <v>50</v>
      </c>
      <c r="N238" s="205" t="n">
        <f aca="false">IF(ISNUMBER(kinematics!O80),kinematics!P80,0)</f>
        <v>0.00269089658297888</v>
      </c>
      <c r="O238" s="205" t="n">
        <f aca="false">IF(ISNUMBER(kinematics!O80),kinematics!R80,0)</f>
        <v>0.0555395739046926</v>
      </c>
      <c r="P238" s="205" t="n">
        <f aca="false">IF(ISNUMBER(kinematics!O80),kinematics!S80,0)</f>
        <v>615.197309103417</v>
      </c>
      <c r="R238" s="27" t="n">
        <f aca="false">O238</f>
        <v>0.0555395739046926</v>
      </c>
      <c r="S238" s="27" t="n">
        <f aca="false">P238</f>
        <v>615.197309103417</v>
      </c>
    </row>
    <row r="239" customFormat="false" ht="12.75" hidden="false" customHeight="false" outlineLevel="0" collapsed="false">
      <c r="C239" s="27" t="n">
        <f aca="false">IF(ISNUMBER(kinematics!O81),kinematics!O81,IF(ISNUMBER(kinematics!$O$30),MIN(kinematics!$O$30:$O$210),180))</f>
        <v>179.785</v>
      </c>
      <c r="D239" s="205" t="n">
        <f aca="false">IF(ISNUMBER(kinematics!O81),kinematics!N81,0)</f>
        <v>51</v>
      </c>
      <c r="E239" s="205" t="n">
        <f aca="false">IF(ISNUMBER(kinematics!O81),kinematics!R81,0)</f>
        <v>0.0575594310021513</v>
      </c>
      <c r="I239" s="27" t="n">
        <f aca="false">C239</f>
        <v>179.785</v>
      </c>
      <c r="J239" s="205" t="n">
        <f aca="false">IF(ISNUMBER(kinematics!O81),kinematics!P81,0)</f>
        <v>0.00280819689580814</v>
      </c>
      <c r="K239" s="205" t="n">
        <f aca="false">IF(ISNUMBER(kinematics!O81),kinematics!S81,0)</f>
        <v>615.197191803104</v>
      </c>
      <c r="M239" s="205" t="n">
        <f aca="false">IF(ISNUMBER(kinematics!O81),kinematics!N81,MAX($D$6:$D$186))</f>
        <v>51</v>
      </c>
      <c r="N239" s="205" t="n">
        <f aca="false">IF(ISNUMBER(kinematics!O81),kinematics!P81,0)</f>
        <v>0.00280819689580814</v>
      </c>
      <c r="O239" s="205" t="n">
        <f aca="false">IF(ISNUMBER(kinematics!O81),kinematics!R81,0)</f>
        <v>0.0575594310021513</v>
      </c>
      <c r="P239" s="205" t="n">
        <f aca="false">IF(ISNUMBER(kinematics!O81),kinematics!S81,0)</f>
        <v>615.197191803104</v>
      </c>
      <c r="R239" s="27" t="n">
        <f aca="false">O239</f>
        <v>0.0575594310021513</v>
      </c>
      <c r="S239" s="27" t="n">
        <f aca="false">P239</f>
        <v>615.197191803104</v>
      </c>
    </row>
    <row r="240" customFormat="false" ht="12.75" hidden="false" customHeight="false" outlineLevel="0" collapsed="false">
      <c r="C240" s="27" t="n">
        <f aca="false">IF(ISNUMBER(kinematics!O82),kinematics!O82,IF(ISNUMBER(kinematics!$O$30),MIN(kinematics!$O$30:$O$210),180))</f>
        <v>179.777</v>
      </c>
      <c r="D240" s="205" t="n">
        <f aca="false">IF(ISNUMBER(kinematics!O82),kinematics!N82,0)</f>
        <v>52</v>
      </c>
      <c r="E240" s="205" t="n">
        <f aca="false">IF(ISNUMBER(kinematics!O82),kinematics!R82,0)</f>
        <v>0.0596693411709519</v>
      </c>
      <c r="I240" s="27" t="n">
        <f aca="false">C240</f>
        <v>179.777</v>
      </c>
      <c r="J240" s="205" t="n">
        <f aca="false">IF(ISNUMBER(kinematics!O82),kinematics!P82,0)</f>
        <v>0.00293520105937786</v>
      </c>
      <c r="K240" s="205" t="n">
        <f aca="false">IF(ISNUMBER(kinematics!O82),kinematics!S82,0)</f>
        <v>615.197064798941</v>
      </c>
      <c r="M240" s="205" t="n">
        <f aca="false">IF(ISNUMBER(kinematics!O82),kinematics!N82,MAX($D$6:$D$186))</f>
        <v>52</v>
      </c>
      <c r="N240" s="205" t="n">
        <f aca="false">IF(ISNUMBER(kinematics!O82),kinematics!P82,0)</f>
        <v>0.00293520105937786</v>
      </c>
      <c r="O240" s="205" t="n">
        <f aca="false">IF(ISNUMBER(kinematics!O82),kinematics!R82,0)</f>
        <v>0.0596693411709519</v>
      </c>
      <c r="P240" s="205" t="n">
        <f aca="false">IF(ISNUMBER(kinematics!O82),kinematics!S82,0)</f>
        <v>615.197064798941</v>
      </c>
      <c r="R240" s="27" t="n">
        <f aca="false">O240</f>
        <v>0.0596693411709519</v>
      </c>
      <c r="S240" s="27" t="n">
        <f aca="false">P240</f>
        <v>615.197064798941</v>
      </c>
    </row>
    <row r="241" customFormat="false" ht="12.75" hidden="false" customHeight="false" outlineLevel="0" collapsed="false">
      <c r="C241" s="27" t="n">
        <f aca="false">IF(ISNUMBER(kinematics!O83),kinematics!O83,IF(ISNUMBER(kinematics!$O$30),MIN(kinematics!$O$30:$O$210),180))</f>
        <v>179.769</v>
      </c>
      <c r="D241" s="205" t="n">
        <f aca="false">IF(ISNUMBER(kinematics!O83),kinematics!N83,0)</f>
        <v>53</v>
      </c>
      <c r="E241" s="205" t="n">
        <f aca="false">IF(ISNUMBER(kinematics!O83),kinematics!R83,0)</f>
        <v>0.0618768822119605</v>
      </c>
      <c r="I241" s="27" t="n">
        <f aca="false">C241</f>
        <v>179.769</v>
      </c>
      <c r="J241" s="205" t="n">
        <f aca="false">IF(ISNUMBER(kinematics!O83),kinematics!P83,0)</f>
        <v>0.00307297594868543</v>
      </c>
      <c r="K241" s="205" t="n">
        <f aca="false">IF(ISNUMBER(kinematics!O83),kinematics!S83,0)</f>
        <v>615.196927024051</v>
      </c>
      <c r="M241" s="205" t="n">
        <f aca="false">IF(ISNUMBER(kinematics!O83),kinematics!N83,MAX($D$6:$D$186))</f>
        <v>53</v>
      </c>
      <c r="N241" s="205" t="n">
        <f aca="false">IF(ISNUMBER(kinematics!O83),kinematics!P83,0)</f>
        <v>0.00307297594868543</v>
      </c>
      <c r="O241" s="205" t="n">
        <f aca="false">IF(ISNUMBER(kinematics!O83),kinematics!R83,0)</f>
        <v>0.0618768822119605</v>
      </c>
      <c r="P241" s="205" t="n">
        <f aca="false">IF(ISNUMBER(kinematics!O83),kinematics!S83,0)</f>
        <v>615.196927024051</v>
      </c>
      <c r="R241" s="27" t="n">
        <f aca="false">O241</f>
        <v>0.0618768822119605</v>
      </c>
      <c r="S241" s="27" t="n">
        <f aca="false">P241</f>
        <v>615.196927024051</v>
      </c>
    </row>
    <row r="242" customFormat="false" ht="12.75" hidden="false" customHeight="false" outlineLevel="0" collapsed="false">
      <c r="C242" s="27" t="n">
        <f aca="false">IF(ISNUMBER(kinematics!O84),kinematics!O84,IF(ISNUMBER(kinematics!$O$30),MIN(kinematics!$O$30:$O$210),180))</f>
        <v>179.76</v>
      </c>
      <c r="D242" s="205" t="n">
        <f aca="false">IF(ISNUMBER(kinematics!O84),kinematics!N84,0)</f>
        <v>54</v>
      </c>
      <c r="E242" s="205" t="n">
        <f aca="false">IF(ISNUMBER(kinematics!O84),kinematics!R84,0)</f>
        <v>0.0641904826962108</v>
      </c>
      <c r="I242" s="27" t="n">
        <f aca="false">C242</f>
        <v>179.76</v>
      </c>
      <c r="J242" s="205" t="n">
        <f aca="false">IF(ISNUMBER(kinematics!O84),kinematics!P84,0)</f>
        <v>0.00322274113874722</v>
      </c>
      <c r="K242" s="205" t="n">
        <f aca="false">IF(ISNUMBER(kinematics!O84),kinematics!S84,0)</f>
        <v>615.196777258861</v>
      </c>
      <c r="M242" s="205" t="n">
        <f aca="false">IF(ISNUMBER(kinematics!O84),kinematics!N84,MAX($D$6:$D$186))</f>
        <v>54</v>
      </c>
      <c r="N242" s="205" t="n">
        <f aca="false">IF(ISNUMBER(kinematics!O84),kinematics!P84,0)</f>
        <v>0.00322274113874722</v>
      </c>
      <c r="O242" s="205" t="n">
        <f aca="false">IF(ISNUMBER(kinematics!O84),kinematics!R84,0)</f>
        <v>0.0641904826962108</v>
      </c>
      <c r="P242" s="205" t="n">
        <f aca="false">IF(ISNUMBER(kinematics!O84),kinematics!S84,0)</f>
        <v>615.196777258861</v>
      </c>
      <c r="R242" s="27" t="n">
        <f aca="false">O242</f>
        <v>0.0641904826962108</v>
      </c>
      <c r="S242" s="27" t="n">
        <f aca="false">P242</f>
        <v>615.196777258861</v>
      </c>
    </row>
    <row r="243" customFormat="false" ht="12.75" hidden="false" customHeight="false" outlineLevel="0" collapsed="false">
      <c r="C243" s="27" t="n">
        <f aca="false">IF(ISNUMBER(kinematics!O85),kinematics!O85,IF(ISNUMBER(kinematics!$O$30),MIN(kinematics!$O$30:$O$210),180))</f>
        <v>179.751</v>
      </c>
      <c r="D243" s="205" t="n">
        <f aca="false">IF(ISNUMBER(kinematics!O85),kinematics!N85,0)</f>
        <v>55</v>
      </c>
      <c r="E243" s="205" t="n">
        <f aca="false">IF(ISNUMBER(kinematics!O85),kinematics!R85,0)</f>
        <v>0.0666195466722438</v>
      </c>
      <c r="I243" s="27" t="n">
        <f aca="false">C243</f>
        <v>179.751</v>
      </c>
      <c r="J243" s="205" t="n">
        <f aca="false">IF(ISNUMBER(kinematics!O85),kinematics!P85,0)</f>
        <v>0.00338589593836167</v>
      </c>
      <c r="K243" s="205" t="n">
        <f aca="false">IF(ISNUMBER(kinematics!O85),kinematics!S85,0)</f>
        <v>615.196614104062</v>
      </c>
      <c r="M243" s="205" t="n">
        <f aca="false">IF(ISNUMBER(kinematics!O85),kinematics!N85,MAX($D$6:$D$186))</f>
        <v>55</v>
      </c>
      <c r="N243" s="205" t="n">
        <f aca="false">IF(ISNUMBER(kinematics!O85),kinematics!P85,0)</f>
        <v>0.00338589593836167</v>
      </c>
      <c r="O243" s="205" t="n">
        <f aca="false">IF(ISNUMBER(kinematics!O85),kinematics!R85,0)</f>
        <v>0.0666195466722438</v>
      </c>
      <c r="P243" s="205" t="n">
        <f aca="false">IF(ISNUMBER(kinematics!O85),kinematics!S85,0)</f>
        <v>615.196614104062</v>
      </c>
      <c r="R243" s="27" t="n">
        <f aca="false">O243</f>
        <v>0.0666195466722438</v>
      </c>
      <c r="S243" s="27" t="n">
        <f aca="false">P243</f>
        <v>615.196614104062</v>
      </c>
    </row>
    <row r="244" customFormat="false" ht="12.75" hidden="false" customHeight="false" outlineLevel="0" collapsed="false">
      <c r="C244" s="27" t="n">
        <f aca="false">IF(ISNUMBER(kinematics!O86),kinematics!O86,IF(ISNUMBER(kinematics!$O$30),MIN(kinematics!$O$30:$O$210),180))</f>
        <v>179.741</v>
      </c>
      <c r="D244" s="205" t="n">
        <f aca="false">IF(ISNUMBER(kinematics!O86),kinematics!N86,0)</f>
        <v>56</v>
      </c>
      <c r="E244" s="205" t="n">
        <f aca="false">IF(ISNUMBER(kinematics!O86),kinematics!R86,0)</f>
        <v>0.0691746012789096</v>
      </c>
      <c r="I244" s="27" t="n">
        <f aca="false">C244</f>
        <v>179.741</v>
      </c>
      <c r="J244" s="205" t="n">
        <f aca="false">IF(ISNUMBER(kinematics!O86),kinematics!P86,0)</f>
        <v>0.00356405222366908</v>
      </c>
      <c r="K244" s="205" t="n">
        <f aca="false">IF(ISNUMBER(kinematics!O86),kinematics!S86,0)</f>
        <v>615.196435947776</v>
      </c>
      <c r="M244" s="205" t="n">
        <f aca="false">IF(ISNUMBER(kinematics!O86),kinematics!N86,MAX($D$6:$D$186))</f>
        <v>56</v>
      </c>
      <c r="N244" s="205" t="n">
        <f aca="false">IF(ISNUMBER(kinematics!O86),kinematics!P86,0)</f>
        <v>0.00356405222366908</v>
      </c>
      <c r="O244" s="205" t="n">
        <f aca="false">IF(ISNUMBER(kinematics!O86),kinematics!R86,0)</f>
        <v>0.0691746012789096</v>
      </c>
      <c r="P244" s="205" t="n">
        <f aca="false">IF(ISNUMBER(kinematics!O86),kinematics!S86,0)</f>
        <v>615.196435947776</v>
      </c>
      <c r="R244" s="27" t="n">
        <f aca="false">O244</f>
        <v>0.0691746012789096</v>
      </c>
      <c r="S244" s="27" t="n">
        <f aca="false">P244</f>
        <v>615.196435947776</v>
      </c>
    </row>
    <row r="245" customFormat="false" ht="12.75" hidden="false" customHeight="false" outlineLevel="0" collapsed="false">
      <c r="C245" s="27" t="n">
        <f aca="false">IF(ISNUMBER(kinematics!O87),kinematics!O87,IF(ISNUMBER(kinematics!$O$30),MIN(kinematics!$O$30:$O$210),180))</f>
        <v>179.731</v>
      </c>
      <c r="D245" s="205" t="n">
        <f aca="false">IF(ISNUMBER(kinematics!O87),kinematics!N87,0)</f>
        <v>57</v>
      </c>
      <c r="E245" s="205" t="n">
        <f aca="false">IF(ISNUMBER(kinematics!O87),kinematics!R87,0)</f>
        <v>0.0718674705281529</v>
      </c>
      <c r="I245" s="27" t="n">
        <f aca="false">C245</f>
        <v>179.731</v>
      </c>
      <c r="J245" s="205" t="n">
        <f aca="false">IF(ISNUMBER(kinematics!O87),kinematics!P87,0)</f>
        <v>0.00375907435369448</v>
      </c>
      <c r="K245" s="205" t="n">
        <f aca="false">IF(ISNUMBER(kinematics!O87),kinematics!S87,0)</f>
        <v>615.196240925646</v>
      </c>
      <c r="M245" s="205" t="n">
        <f aca="false">IF(ISNUMBER(kinematics!O87),kinematics!N87,MAX($D$6:$D$186))</f>
        <v>57</v>
      </c>
      <c r="N245" s="205" t="n">
        <f aca="false">IF(ISNUMBER(kinematics!O87),kinematics!P87,0)</f>
        <v>0.00375907435369448</v>
      </c>
      <c r="O245" s="205" t="n">
        <f aca="false">IF(ISNUMBER(kinematics!O87),kinematics!R87,0)</f>
        <v>0.0718674705281529</v>
      </c>
      <c r="P245" s="205" t="n">
        <f aca="false">IF(ISNUMBER(kinematics!O87),kinematics!S87,0)</f>
        <v>615.196240925646</v>
      </c>
      <c r="R245" s="27" t="n">
        <f aca="false">O245</f>
        <v>0.0718674705281529</v>
      </c>
      <c r="S245" s="27" t="n">
        <f aca="false">P245</f>
        <v>615.196240925646</v>
      </c>
    </row>
    <row r="246" customFormat="false" ht="12.75" hidden="false" customHeight="false" outlineLevel="0" collapsed="false">
      <c r="C246" s="27" t="n">
        <f aca="false">IF(ISNUMBER(kinematics!O88),kinematics!O88,IF(ISNUMBER(kinematics!$O$30),MIN(kinematics!$O$30:$O$210),180))</f>
        <v>179.721</v>
      </c>
      <c r="D246" s="205" t="n">
        <f aca="false">IF(ISNUMBER(kinematics!O88),kinematics!N88,0)</f>
        <v>58</v>
      </c>
      <c r="E246" s="205" t="n">
        <f aca="false">IF(ISNUMBER(kinematics!O88),kinematics!R88,0)</f>
        <v>0.0747114842181026</v>
      </c>
      <c r="I246" s="27" t="n">
        <f aca="false">C246</f>
        <v>179.721</v>
      </c>
      <c r="J246" s="205" t="n">
        <f aca="false">IF(ISNUMBER(kinematics!O88),kinematics!P88,0)</f>
        <v>0.00397312832482288</v>
      </c>
      <c r="K246" s="205" t="n">
        <f aca="false">IF(ISNUMBER(kinematics!O88),kinematics!S88,0)</f>
        <v>615.196026871675</v>
      </c>
      <c r="M246" s="205" t="n">
        <f aca="false">IF(ISNUMBER(kinematics!O88),kinematics!N88,MAX($D$6:$D$186))</f>
        <v>58</v>
      </c>
      <c r="N246" s="205" t="n">
        <f aca="false">IF(ISNUMBER(kinematics!O88),kinematics!P88,0)</f>
        <v>0.00397312832482288</v>
      </c>
      <c r="O246" s="205" t="n">
        <f aca="false">IF(ISNUMBER(kinematics!O88),kinematics!R88,0)</f>
        <v>0.0747114842181026</v>
      </c>
      <c r="P246" s="205" t="n">
        <f aca="false">IF(ISNUMBER(kinematics!O88),kinematics!S88,0)</f>
        <v>615.196026871675</v>
      </c>
      <c r="R246" s="27" t="n">
        <f aca="false">O246</f>
        <v>0.0747114842181026</v>
      </c>
      <c r="S246" s="27" t="n">
        <f aca="false">P246</f>
        <v>615.196026871675</v>
      </c>
    </row>
    <row r="247" customFormat="false" ht="12.75" hidden="false" customHeight="false" outlineLevel="0" collapsed="false">
      <c r="C247" s="27" t="n">
        <f aca="false">IF(ISNUMBER(kinematics!O89),kinematics!O89,IF(ISNUMBER(kinematics!$O$30),MIN(kinematics!$O$30:$O$210),180))</f>
        <v>179.71</v>
      </c>
      <c r="D247" s="205" t="n">
        <f aca="false">IF(ISNUMBER(kinematics!O89),kinematics!N89,0)</f>
        <v>59</v>
      </c>
      <c r="E247" s="205" t="n">
        <f aca="false">IF(ISNUMBER(kinematics!O89),kinematics!R89,0)</f>
        <v>0.0777217284402515</v>
      </c>
      <c r="I247" s="27" t="n">
        <f aca="false">C247</f>
        <v>179.71</v>
      </c>
      <c r="J247" s="205" t="n">
        <f aca="false">IF(ISNUMBER(kinematics!O89),kinematics!P89,0)</f>
        <v>0.00420874247693569</v>
      </c>
      <c r="K247" s="205" t="n">
        <f aca="false">IF(ISNUMBER(kinematics!O89),kinematics!S89,0)</f>
        <v>615.195791257523</v>
      </c>
      <c r="M247" s="205" t="n">
        <f aca="false">IF(ISNUMBER(kinematics!O89),kinematics!N89,MAX($D$6:$D$186))</f>
        <v>59</v>
      </c>
      <c r="N247" s="205" t="n">
        <f aca="false">IF(ISNUMBER(kinematics!O89),kinematics!P89,0)</f>
        <v>0.00420874247693569</v>
      </c>
      <c r="O247" s="205" t="n">
        <f aca="false">IF(ISNUMBER(kinematics!O89),kinematics!R89,0)</f>
        <v>0.0777217284402515</v>
      </c>
      <c r="P247" s="205" t="n">
        <f aca="false">IF(ISNUMBER(kinematics!O89),kinematics!S89,0)</f>
        <v>615.195791257523</v>
      </c>
      <c r="R247" s="27" t="n">
        <f aca="false">O247</f>
        <v>0.0777217284402515</v>
      </c>
      <c r="S247" s="27" t="n">
        <f aca="false">P247</f>
        <v>615.195791257523</v>
      </c>
    </row>
    <row r="248" customFormat="false" ht="12.75" hidden="false" customHeight="false" outlineLevel="0" collapsed="false">
      <c r="C248" s="27" t="n">
        <f aca="false">IF(ISNUMBER(kinematics!O90),kinematics!O90,IF(ISNUMBER(kinematics!$O$30),MIN(kinematics!$O$30:$O$210),180))</f>
        <v>179.698</v>
      </c>
      <c r="D248" s="205" t="n">
        <f aca="false">IF(ISNUMBER(kinematics!O90),kinematics!N90,0)</f>
        <v>60</v>
      </c>
      <c r="E248" s="205" t="n">
        <f aca="false">IF(ISNUMBER(kinematics!O90),kinematics!R90,0)</f>
        <v>0.0809153469915215</v>
      </c>
      <c r="I248" s="27" t="n">
        <f aca="false">C248</f>
        <v>179.698</v>
      </c>
      <c r="J248" s="205" t="n">
        <f aca="false">IF(ISNUMBER(kinematics!O90),kinematics!P90,0)</f>
        <v>0.00446888289076765</v>
      </c>
      <c r="K248" s="205" t="n">
        <f aca="false">IF(ISNUMBER(kinematics!O90),kinematics!S90,0)</f>
        <v>615.195531117109</v>
      </c>
      <c r="M248" s="205" t="n">
        <f aca="false">IF(ISNUMBER(kinematics!O90),kinematics!N90,MAX($D$6:$D$186))</f>
        <v>60</v>
      </c>
      <c r="N248" s="205" t="n">
        <f aca="false">IF(ISNUMBER(kinematics!O90),kinematics!P90,0)</f>
        <v>0.00446888289076765</v>
      </c>
      <c r="O248" s="205" t="n">
        <f aca="false">IF(ISNUMBER(kinematics!O90),kinematics!R90,0)</f>
        <v>0.0809153469915215</v>
      </c>
      <c r="P248" s="205" t="n">
        <f aca="false">IF(ISNUMBER(kinematics!O90),kinematics!S90,0)</f>
        <v>615.195531117109</v>
      </c>
      <c r="R248" s="27" t="n">
        <f aca="false">O248</f>
        <v>0.0809153469915215</v>
      </c>
      <c r="S248" s="27" t="n">
        <f aca="false">P248</f>
        <v>615.195531117109</v>
      </c>
    </row>
    <row r="249" customFormat="false" ht="12.75" hidden="false" customHeight="false" outlineLevel="0" collapsed="false">
      <c r="C249" s="27" t="n">
        <f aca="false">IF(ISNUMBER(kinematics!O91),kinematics!O91,IF(ISNUMBER(kinematics!$O$30),MIN(kinematics!$O$30:$O$210),180))</f>
        <v>179.685</v>
      </c>
      <c r="D249" s="205" t="n">
        <f aca="false">IF(ISNUMBER(kinematics!O91),kinematics!N91,0)</f>
        <v>61</v>
      </c>
      <c r="E249" s="205" t="n">
        <f aca="false">IF(ISNUMBER(kinematics!O91),kinematics!R91,0)</f>
        <v>0.0843119086059435</v>
      </c>
      <c r="I249" s="27" t="n">
        <f aca="false">C249</f>
        <v>179.685</v>
      </c>
      <c r="J249" s="205" t="n">
        <f aca="false">IF(ISNUMBER(kinematics!O91),kinematics!P91,0)</f>
        <v>0.0047570479581454</v>
      </c>
      <c r="K249" s="205" t="n">
        <f aca="false">IF(ISNUMBER(kinematics!O91),kinematics!S91,0)</f>
        <v>615.195242952042</v>
      </c>
      <c r="M249" s="205" t="n">
        <f aca="false">IF(ISNUMBER(kinematics!O91),kinematics!N91,MAX($D$6:$D$186))</f>
        <v>61</v>
      </c>
      <c r="N249" s="205" t="n">
        <f aca="false">IF(ISNUMBER(kinematics!O91),kinematics!P91,0)</f>
        <v>0.0047570479581454</v>
      </c>
      <c r="O249" s="205" t="n">
        <f aca="false">IF(ISNUMBER(kinematics!O91),kinematics!R91,0)</f>
        <v>0.0843119086059435</v>
      </c>
      <c r="P249" s="205" t="n">
        <f aca="false">IF(ISNUMBER(kinematics!O91),kinematics!S91,0)</f>
        <v>615.195242952042</v>
      </c>
      <c r="R249" s="27" t="n">
        <f aca="false">O249</f>
        <v>0.0843119086059435</v>
      </c>
      <c r="S249" s="27" t="n">
        <f aca="false">P249</f>
        <v>615.195242952042</v>
      </c>
    </row>
    <row r="250" customFormat="false" ht="12.75" hidden="false" customHeight="false" outlineLevel="0" collapsed="false">
      <c r="C250" s="27" t="n">
        <f aca="false">IF(ISNUMBER(kinematics!O92),kinematics!O92,IF(ISNUMBER(kinematics!$O$30),MIN(kinematics!$O$30:$O$210),180))</f>
        <v>179.671</v>
      </c>
      <c r="D250" s="205" t="n">
        <f aca="false">IF(ISNUMBER(kinematics!O92),kinematics!N92,0)</f>
        <v>62</v>
      </c>
      <c r="E250" s="205" t="n">
        <f aca="false">IF(ISNUMBER(kinematics!O92),kinematics!R92,0)</f>
        <v>0.0879338557031131</v>
      </c>
      <c r="I250" s="27" t="n">
        <f aca="false">C250</f>
        <v>179.671</v>
      </c>
      <c r="J250" s="205" t="n">
        <f aca="false">IF(ISNUMBER(kinematics!O92),kinematics!P92,0)</f>
        <v>0.0050773877331755</v>
      </c>
      <c r="K250" s="205" t="n">
        <f aca="false">IF(ISNUMBER(kinematics!O92),kinematics!S92,0)</f>
        <v>615.194922612267</v>
      </c>
      <c r="M250" s="205" t="n">
        <f aca="false">IF(ISNUMBER(kinematics!O92),kinematics!N92,MAX($D$6:$D$186))</f>
        <v>62</v>
      </c>
      <c r="N250" s="205" t="n">
        <f aca="false">IF(ISNUMBER(kinematics!O92),kinematics!P92,0)</f>
        <v>0.0050773877331755</v>
      </c>
      <c r="O250" s="205" t="n">
        <f aca="false">IF(ISNUMBER(kinematics!O92),kinematics!R92,0)</f>
        <v>0.0879338557031131</v>
      </c>
      <c r="P250" s="205" t="n">
        <f aca="false">IF(ISNUMBER(kinematics!O92),kinematics!S92,0)</f>
        <v>615.194922612267</v>
      </c>
      <c r="R250" s="27" t="n">
        <f aca="false">O250</f>
        <v>0.0879338557031131</v>
      </c>
      <c r="S250" s="27" t="n">
        <f aca="false">P250</f>
        <v>615.194922612267</v>
      </c>
    </row>
    <row r="251" customFormat="false" ht="12.75" hidden="false" customHeight="false" outlineLevel="0" collapsed="false">
      <c r="C251" s="27" t="n">
        <f aca="false">IF(ISNUMBER(kinematics!O93),kinematics!O93,IF(ISNUMBER(kinematics!$O$30),MIN(kinematics!$O$30:$O$210),180))</f>
        <v>179.657</v>
      </c>
      <c r="D251" s="205" t="n">
        <f aca="false">IF(ISNUMBER(kinematics!O93),kinematics!N93,0)</f>
        <v>63</v>
      </c>
      <c r="E251" s="205" t="n">
        <f aca="false">IF(ISNUMBER(kinematics!O93),kinematics!R93,0)</f>
        <v>0.0918070570334792</v>
      </c>
      <c r="I251" s="27" t="n">
        <f aca="false">C251</f>
        <v>179.657</v>
      </c>
      <c r="J251" s="205" t="n">
        <f aca="false">IF(ISNUMBER(kinematics!O93),kinematics!P93,0)</f>
        <v>0.0054348558413821</v>
      </c>
      <c r="K251" s="205" t="n">
        <f aca="false">IF(ISNUMBER(kinematics!O93),kinematics!S93,0)</f>
        <v>615.194565144159</v>
      </c>
      <c r="M251" s="205" t="n">
        <f aca="false">IF(ISNUMBER(kinematics!O93),kinematics!N93,MAX($D$6:$D$186))</f>
        <v>63</v>
      </c>
      <c r="N251" s="205" t="n">
        <f aca="false">IF(ISNUMBER(kinematics!O93),kinematics!P93,0)</f>
        <v>0.0054348558413821</v>
      </c>
      <c r="O251" s="205" t="n">
        <f aca="false">IF(ISNUMBER(kinematics!O93),kinematics!R93,0)</f>
        <v>0.0918070570334792</v>
      </c>
      <c r="P251" s="205" t="n">
        <f aca="false">IF(ISNUMBER(kinematics!O93),kinematics!S93,0)</f>
        <v>615.194565144159</v>
      </c>
      <c r="R251" s="27" t="n">
        <f aca="false">O251</f>
        <v>0.0918070570334792</v>
      </c>
      <c r="S251" s="27" t="n">
        <f aca="false">P251</f>
        <v>615.194565144159</v>
      </c>
    </row>
    <row r="252" customFormat="false" ht="12.75" hidden="false" customHeight="false" outlineLevel="0" collapsed="false">
      <c r="C252" s="27" t="n">
        <f aca="false">IF(ISNUMBER(kinematics!O94),kinematics!O94,IF(ISNUMBER(kinematics!$O$30),MIN(kinematics!$O$30:$O$210),180))</f>
        <v>179.641</v>
      </c>
      <c r="D252" s="205" t="n">
        <f aca="false">IF(ISNUMBER(kinematics!O94),kinematics!N94,0)</f>
        <v>64</v>
      </c>
      <c r="E252" s="205" t="n">
        <f aca="false">IF(ISNUMBER(kinematics!O94),kinematics!R94,0)</f>
        <v>0.0959614939693993</v>
      </c>
      <c r="I252" s="27" t="n">
        <f aca="false">C252</f>
        <v>179.641</v>
      </c>
      <c r="J252" s="205" t="n">
        <f aca="false">IF(ISNUMBER(kinematics!O94),kinematics!P94,0)</f>
        <v>0.00583540459972649</v>
      </c>
      <c r="K252" s="205" t="n">
        <f aca="false">IF(ISNUMBER(kinematics!O94),kinematics!S94,0)</f>
        <v>615.1941645954</v>
      </c>
      <c r="M252" s="205" t="n">
        <f aca="false">IF(ISNUMBER(kinematics!O94),kinematics!N94,MAX($D$6:$D$186))</f>
        <v>64</v>
      </c>
      <c r="N252" s="205" t="n">
        <f aca="false">IF(ISNUMBER(kinematics!O94),kinematics!P94,0)</f>
        <v>0.00583540459972649</v>
      </c>
      <c r="O252" s="205" t="n">
        <f aca="false">IF(ISNUMBER(kinematics!O94),kinematics!R94,0)</f>
        <v>0.0959614939693993</v>
      </c>
      <c r="P252" s="205" t="n">
        <f aca="false">IF(ISNUMBER(kinematics!O94),kinematics!S94,0)</f>
        <v>615.1941645954</v>
      </c>
      <c r="R252" s="27" t="n">
        <f aca="false">O252</f>
        <v>0.0959614939693993</v>
      </c>
      <c r="S252" s="27" t="n">
        <f aca="false">P252</f>
        <v>615.1941645954</v>
      </c>
    </row>
    <row r="253" customFormat="false" ht="12.75" hidden="false" customHeight="false" outlineLevel="0" collapsed="false">
      <c r="C253" s="27" t="n">
        <f aca="false">IF(ISNUMBER(kinematics!O95),kinematics!O95,IF(ISNUMBER(kinematics!$O$30),MIN(kinematics!$O$30:$O$210),180))</f>
        <v>179.625</v>
      </c>
      <c r="D253" s="205" t="n">
        <f aca="false">IF(ISNUMBER(kinematics!O95),kinematics!N95,0)</f>
        <v>65</v>
      </c>
      <c r="E253" s="205" t="n">
        <f aca="false">IF(ISNUMBER(kinematics!O95),kinematics!R95,0)</f>
        <v>0.10043212075513</v>
      </c>
      <c r="I253" s="27" t="n">
        <f aca="false">C253</f>
        <v>179.625</v>
      </c>
      <c r="J253" s="205" t="n">
        <f aca="false">IF(ISNUMBER(kinematics!O95),kinematics!P95,0)</f>
        <v>0.00628623815855962</v>
      </c>
      <c r="K253" s="205" t="n">
        <f aca="false">IF(ISNUMBER(kinematics!O95),kinematics!S95,0)</f>
        <v>615.193713761842</v>
      </c>
      <c r="M253" s="205" t="n">
        <f aca="false">IF(ISNUMBER(kinematics!O95),kinematics!N95,MAX($D$6:$D$186))</f>
        <v>65</v>
      </c>
      <c r="N253" s="205" t="n">
        <f aca="false">IF(ISNUMBER(kinematics!O95),kinematics!P95,0)</f>
        <v>0.00628623815855962</v>
      </c>
      <c r="O253" s="205" t="n">
        <f aca="false">IF(ISNUMBER(kinematics!O95),kinematics!R95,0)</f>
        <v>0.10043212075513</v>
      </c>
      <c r="P253" s="205" t="n">
        <f aca="false">IF(ISNUMBER(kinematics!O95),kinematics!S95,0)</f>
        <v>615.193713761842</v>
      </c>
      <c r="R253" s="27" t="n">
        <f aca="false">O253</f>
        <v>0.10043212075513</v>
      </c>
      <c r="S253" s="27" t="n">
        <f aca="false">P253</f>
        <v>615.193713761842</v>
      </c>
    </row>
    <row r="254" customFormat="false" ht="12.75" hidden="false" customHeight="false" outlineLevel="0" collapsed="false">
      <c r="C254" s="27" t="n">
        <f aca="false">IF(ISNUMBER(kinematics!O96),kinematics!O96,IF(ISNUMBER(kinematics!$O$30),MIN(kinematics!$O$30:$O$210),180))</f>
        <v>179.607</v>
      </c>
      <c r="D254" s="205" t="n">
        <f aca="false">IF(ISNUMBER(kinematics!O96),kinematics!N96,0)</f>
        <v>66</v>
      </c>
      <c r="E254" s="205" t="n">
        <f aca="false">IF(ISNUMBER(kinematics!O96),kinematics!R96,0)</f>
        <v>0.105259950213929</v>
      </c>
      <c r="I254" s="27" t="n">
        <f aca="false">C254</f>
        <v>179.607</v>
      </c>
      <c r="J254" s="205" t="n">
        <f aca="false">IF(ISNUMBER(kinematics!O96),kinematics!P96,0)</f>
        <v>0.00679614404867745</v>
      </c>
      <c r="K254" s="205" t="n">
        <f aca="false">IF(ISNUMBER(kinematics!O96),kinematics!S96,0)</f>
        <v>615.193203855951</v>
      </c>
      <c r="M254" s="205" t="n">
        <f aca="false">IF(ISNUMBER(kinematics!O96),kinematics!N96,MAX($D$6:$D$186))</f>
        <v>66</v>
      </c>
      <c r="N254" s="205" t="n">
        <f aca="false">IF(ISNUMBER(kinematics!O96),kinematics!P96,0)</f>
        <v>0.00679614404867745</v>
      </c>
      <c r="O254" s="205" t="n">
        <f aca="false">IF(ISNUMBER(kinematics!O96),kinematics!R96,0)</f>
        <v>0.105259950213929</v>
      </c>
      <c r="P254" s="205" t="n">
        <f aca="false">IF(ISNUMBER(kinematics!O96),kinematics!S96,0)</f>
        <v>615.193203855951</v>
      </c>
      <c r="R254" s="27" t="n">
        <f aca="false">O254</f>
        <v>0.105259950213929</v>
      </c>
      <c r="S254" s="27" t="n">
        <f aca="false">P254</f>
        <v>615.193203855951</v>
      </c>
    </row>
    <row r="255" customFormat="false" ht="12.75" hidden="false" customHeight="false" outlineLevel="0" collapsed="false">
      <c r="C255" s="27" t="n">
        <f aca="false">IF(ISNUMBER(kinematics!O97),kinematics!O97,IF(ISNUMBER(kinematics!$O$30),MIN(kinematics!$O$30:$O$210),180))</f>
        <v>179.587</v>
      </c>
      <c r="D255" s="205" t="n">
        <f aca="false">IF(ISNUMBER(kinematics!O97),kinematics!N97,0)</f>
        <v>67</v>
      </c>
      <c r="E255" s="205" t="n">
        <f aca="false">IF(ISNUMBER(kinematics!O97),kinematics!R97,0)</f>
        <v>0.110493441430052</v>
      </c>
      <c r="I255" s="27" t="n">
        <f aca="false">C255</f>
        <v>179.587</v>
      </c>
      <c r="J255" s="205" t="n">
        <f aca="false">IF(ISNUMBER(kinematics!O97),kinematics!P97,0)</f>
        <v>0.00737593282747938</v>
      </c>
      <c r="K255" s="205" t="n">
        <f aca="false">IF(ISNUMBER(kinematics!O97),kinematics!S97,0)</f>
        <v>615.192624067173</v>
      </c>
      <c r="M255" s="205" t="n">
        <f aca="false">IF(ISNUMBER(kinematics!O97),kinematics!N97,MAX($D$6:$D$186))</f>
        <v>67</v>
      </c>
      <c r="N255" s="205" t="n">
        <f aca="false">IF(ISNUMBER(kinematics!O97),kinematics!P97,0)</f>
        <v>0.00737593282747938</v>
      </c>
      <c r="O255" s="205" t="n">
        <f aca="false">IF(ISNUMBER(kinematics!O97),kinematics!R97,0)</f>
        <v>0.110493441430052</v>
      </c>
      <c r="P255" s="205" t="n">
        <f aca="false">IF(ISNUMBER(kinematics!O97),kinematics!S97,0)</f>
        <v>615.192624067173</v>
      </c>
      <c r="R255" s="27" t="n">
        <f aca="false">O255</f>
        <v>0.110493441430052</v>
      </c>
      <c r="S255" s="27" t="n">
        <f aca="false">P255</f>
        <v>615.192624067173</v>
      </c>
    </row>
    <row r="256" customFormat="false" ht="12.75" hidden="false" customHeight="false" outlineLevel="0" collapsed="false">
      <c r="C256" s="27" t="n">
        <f aca="false">IF(ISNUMBER(kinematics!O98),kinematics!O98,IF(ISNUMBER(kinematics!$O$30),MIN(kinematics!$O$30:$O$210),180))</f>
        <v>179.566</v>
      </c>
      <c r="D256" s="205" t="n">
        <f aca="false">IF(ISNUMBER(kinematics!O98),kinematics!N98,0)</f>
        <v>68</v>
      </c>
      <c r="E256" s="205" t="n">
        <f aca="false">IF(ISNUMBER(kinematics!O98),kinematics!R98,0)</f>
        <v>0.116190289251495</v>
      </c>
      <c r="I256" s="27" t="n">
        <f aca="false">C256</f>
        <v>179.566</v>
      </c>
      <c r="J256" s="205" t="n">
        <f aca="false">IF(ISNUMBER(kinematics!O98),kinematics!P98,0)</f>
        <v>0.00803902786077278</v>
      </c>
      <c r="K256" s="205" t="n">
        <f aca="false">IF(ISNUMBER(kinematics!O98),kinematics!S98,0)</f>
        <v>615.191960972139</v>
      </c>
      <c r="M256" s="205" t="n">
        <f aca="false">IF(ISNUMBER(kinematics!O98),kinematics!N98,MAX($D$6:$D$186))</f>
        <v>68</v>
      </c>
      <c r="N256" s="205" t="n">
        <f aca="false">IF(ISNUMBER(kinematics!O98),kinematics!P98,0)</f>
        <v>0.00803902786077278</v>
      </c>
      <c r="O256" s="205" t="n">
        <f aca="false">IF(ISNUMBER(kinematics!O98),kinematics!R98,0)</f>
        <v>0.116190289251495</v>
      </c>
      <c r="P256" s="205" t="n">
        <f aca="false">IF(ISNUMBER(kinematics!O98),kinematics!S98,0)</f>
        <v>615.191960972139</v>
      </c>
      <c r="R256" s="27" t="n">
        <f aca="false">O256</f>
        <v>0.116190289251495</v>
      </c>
      <c r="S256" s="27" t="n">
        <f aca="false">P256</f>
        <v>615.191960972139</v>
      </c>
    </row>
    <row r="257" customFormat="false" ht="12.75" hidden="false" customHeight="false" outlineLevel="0" collapsed="false">
      <c r="C257" s="27" t="n">
        <f aca="false">IF(ISNUMBER(kinematics!O99),kinematics!O99,IF(ISNUMBER(kinematics!$O$30),MIN(kinematics!$O$30:$O$210),180))</f>
        <v>179.542</v>
      </c>
      <c r="D257" s="205" t="n">
        <f aca="false">IF(ISNUMBER(kinematics!O99),kinematics!N99,0)</f>
        <v>69</v>
      </c>
      <c r="E257" s="205" t="n">
        <f aca="false">IF(ISNUMBER(kinematics!O99),kinematics!R99,0)</f>
        <v>0.122419763692166</v>
      </c>
      <c r="I257" s="27" t="n">
        <f aca="false">C257</f>
        <v>179.542</v>
      </c>
      <c r="J257" s="205" t="n">
        <f aca="false">IF(ISNUMBER(kinematics!O99),kinematics!P99,0)</f>
        <v>0.00880226782769898</v>
      </c>
      <c r="K257" s="205" t="n">
        <f aca="false">IF(ISNUMBER(kinematics!O99),kinematics!S99,0)</f>
        <v>615.191197732172</v>
      </c>
      <c r="M257" s="205" t="n">
        <f aca="false">IF(ISNUMBER(kinematics!O99),kinematics!N99,MAX($D$6:$D$186))</f>
        <v>69</v>
      </c>
      <c r="N257" s="205" t="n">
        <f aca="false">IF(ISNUMBER(kinematics!O99),kinematics!P99,0)</f>
        <v>0.00880226782769898</v>
      </c>
      <c r="O257" s="205" t="n">
        <f aca="false">IF(ISNUMBER(kinematics!O99),kinematics!R99,0)</f>
        <v>0.122419763692166</v>
      </c>
      <c r="P257" s="205" t="n">
        <f aca="false">IF(ISNUMBER(kinematics!O99),kinematics!S99,0)</f>
        <v>615.191197732172</v>
      </c>
      <c r="R257" s="27" t="n">
        <f aca="false">O257</f>
        <v>0.122419763692166</v>
      </c>
      <c r="S257" s="27" t="n">
        <f aca="false">P257</f>
        <v>615.191197732172</v>
      </c>
    </row>
    <row r="258" customFormat="false" ht="12.75" hidden="false" customHeight="false" outlineLevel="0" collapsed="false">
      <c r="C258" s="27" t="n">
        <f aca="false">IF(ISNUMBER(kinematics!O100),kinematics!O100,IF(ISNUMBER(kinematics!$O$30),MIN(kinematics!$O$30:$O$210),180))</f>
        <v>179.517</v>
      </c>
      <c r="D258" s="205" t="n">
        <f aca="false">IF(ISNUMBER(kinematics!O100),kinematics!N100,0)</f>
        <v>70</v>
      </c>
      <c r="E258" s="205" t="n">
        <f aca="false">IF(ISNUMBER(kinematics!O100),kinematics!R100,0)</f>
        <v>0.129265804746456</v>
      </c>
      <c r="I258" s="27" t="n">
        <f aca="false">C258</f>
        <v>179.517</v>
      </c>
      <c r="J258" s="205" t="n">
        <f aca="false">IF(ISNUMBER(kinematics!O100),kinematics!P100,0)</f>
        <v>0.00968701451784991</v>
      </c>
      <c r="K258" s="205" t="n">
        <f aca="false">IF(ISNUMBER(kinematics!O100),kinematics!S100,0)</f>
        <v>615.190312985482</v>
      </c>
      <c r="M258" s="205" t="n">
        <f aca="false">IF(ISNUMBER(kinematics!O100),kinematics!N100,MAX($D$6:$D$186))</f>
        <v>70</v>
      </c>
      <c r="N258" s="205" t="n">
        <f aca="false">IF(ISNUMBER(kinematics!O100),kinematics!P100,0)</f>
        <v>0.00968701451784991</v>
      </c>
      <c r="O258" s="205" t="n">
        <f aca="false">IF(ISNUMBER(kinematics!O100),kinematics!R100,0)</f>
        <v>0.129265804746456</v>
      </c>
      <c r="P258" s="205" t="n">
        <f aca="false">IF(ISNUMBER(kinematics!O100),kinematics!S100,0)</f>
        <v>615.190312985482</v>
      </c>
      <c r="R258" s="27" t="n">
        <f aca="false">O258</f>
        <v>0.129265804746456</v>
      </c>
      <c r="S258" s="27" t="n">
        <f aca="false">P258</f>
        <v>615.190312985482</v>
      </c>
    </row>
    <row r="259" customFormat="false" ht="12.75" hidden="false" customHeight="false" outlineLevel="0" collapsed="false">
      <c r="C259" s="27" t="n">
        <f aca="false">IF(ISNUMBER(kinematics!O101),kinematics!O101,IF(ISNUMBER(kinematics!$O$30),MIN(kinematics!$O$30:$O$210),180))</f>
        <v>179.489</v>
      </c>
      <c r="D259" s="205" t="n">
        <f aca="false">IF(ISNUMBER(kinematics!O101),kinematics!N101,0)</f>
        <v>71</v>
      </c>
      <c r="E259" s="205" t="n">
        <f aca="false">IF(ISNUMBER(kinematics!O101),kinematics!R101,0)</f>
        <v>0.136831182372708</v>
      </c>
      <c r="I259" s="27" t="n">
        <f aca="false">C259</f>
        <v>179.489</v>
      </c>
      <c r="J259" s="205" t="n">
        <f aca="false">IF(ISNUMBER(kinematics!O101),kinematics!P101,0)</f>
        <v>0.0107207083031872</v>
      </c>
      <c r="K259" s="205" t="n">
        <f aca="false">IF(ISNUMBER(kinematics!O101),kinematics!S101,0)</f>
        <v>615.189279291697</v>
      </c>
      <c r="M259" s="205" t="n">
        <f aca="false">IF(ISNUMBER(kinematics!O101),kinematics!N101,MAX($D$6:$D$186))</f>
        <v>71</v>
      </c>
      <c r="N259" s="205" t="n">
        <f aca="false">IF(ISNUMBER(kinematics!O101),kinematics!P101,0)</f>
        <v>0.0107207083031872</v>
      </c>
      <c r="O259" s="205" t="n">
        <f aca="false">IF(ISNUMBER(kinematics!O101),kinematics!R101,0)</f>
        <v>0.136831182372708</v>
      </c>
      <c r="P259" s="205" t="n">
        <f aca="false">IF(ISNUMBER(kinematics!O101),kinematics!S101,0)</f>
        <v>615.189279291697</v>
      </c>
      <c r="R259" s="27" t="n">
        <f aca="false">O259</f>
        <v>0.136831182372708</v>
      </c>
      <c r="S259" s="27" t="n">
        <f aca="false">P259</f>
        <v>615.189279291697</v>
      </c>
    </row>
    <row r="260" customFormat="false" ht="12.75" hidden="false" customHeight="false" outlineLevel="0" collapsed="false">
      <c r="C260" s="27" t="n">
        <f aca="false">IF(ISNUMBER(kinematics!O102),kinematics!O102,IF(ISNUMBER(kinematics!$O$30),MIN(kinematics!$O$30:$O$210),180))</f>
        <v>179.457</v>
      </c>
      <c r="D260" s="205" t="n">
        <f aca="false">IF(ISNUMBER(kinematics!O102),kinematics!N102,0)</f>
        <v>72</v>
      </c>
      <c r="E260" s="205" t="n">
        <f aca="false">IF(ISNUMBER(kinematics!O102),kinematics!R102,0)</f>
        <v>0.145243177545086</v>
      </c>
      <c r="I260" s="27" t="n">
        <f aca="false">C260</f>
        <v>179.457</v>
      </c>
      <c r="J260" s="205" t="n">
        <f aca="false">IF(ISNUMBER(kinematics!O102),kinematics!P102,0)</f>
        <v>0.0119390923480892</v>
      </c>
      <c r="K260" s="205" t="n">
        <f aca="false">IF(ISNUMBER(kinematics!O102),kinematics!S102,0)</f>
        <v>615.188060907652</v>
      </c>
      <c r="M260" s="205" t="n">
        <f aca="false">IF(ISNUMBER(kinematics!O102),kinematics!N102,MAX($D$6:$D$186))</f>
        <v>72</v>
      </c>
      <c r="N260" s="205" t="n">
        <f aca="false">IF(ISNUMBER(kinematics!O102),kinematics!P102,0)</f>
        <v>0.0119390923480892</v>
      </c>
      <c r="O260" s="205" t="n">
        <f aca="false">IF(ISNUMBER(kinematics!O102),kinematics!R102,0)</f>
        <v>0.145243177545086</v>
      </c>
      <c r="P260" s="205" t="n">
        <f aca="false">IF(ISNUMBER(kinematics!O102),kinematics!S102,0)</f>
        <v>615.188060907652</v>
      </c>
      <c r="R260" s="27" t="n">
        <f aca="false">O260</f>
        <v>0.145243177545086</v>
      </c>
      <c r="S260" s="27" t="n">
        <f aca="false">P260</f>
        <v>615.188060907652</v>
      </c>
    </row>
    <row r="261" customFormat="false" ht="12.75" hidden="false" customHeight="false" outlineLevel="0" collapsed="false">
      <c r="C261" s="27" t="n">
        <f aca="false">IF(ISNUMBER(kinematics!O103),kinematics!O103,IF(ISNUMBER(kinematics!$O$30),MIN(kinematics!$O$30:$O$210),180))</f>
        <v>179.422</v>
      </c>
      <c r="D261" s="205" t="n">
        <f aca="false">IF(ISNUMBER(kinematics!O103),kinematics!N103,0)</f>
        <v>73</v>
      </c>
      <c r="E261" s="205" t="n">
        <f aca="false">IF(ISNUMBER(kinematics!O103),kinematics!R103,0)</f>
        <v>0.154661487842047</v>
      </c>
      <c r="I261" s="27" t="n">
        <f aca="false">C261</f>
        <v>179.422</v>
      </c>
      <c r="J261" s="205" t="n">
        <f aca="false">IF(ISNUMBER(kinematics!O103),kinematics!P103,0)</f>
        <v>0.0133894599083264</v>
      </c>
      <c r="K261" s="205" t="n">
        <f aca="false">IF(ISNUMBER(kinematics!O103),kinematics!S103,0)</f>
        <v>615.186610540092</v>
      </c>
      <c r="M261" s="205" t="n">
        <f aca="false">IF(ISNUMBER(kinematics!O103),kinematics!N103,MAX($D$6:$D$186))</f>
        <v>73</v>
      </c>
      <c r="N261" s="205" t="n">
        <f aca="false">IF(ISNUMBER(kinematics!O103),kinematics!P103,0)</f>
        <v>0.0133894599083264</v>
      </c>
      <c r="O261" s="205" t="n">
        <f aca="false">IF(ISNUMBER(kinematics!O103),kinematics!R103,0)</f>
        <v>0.154661487842047</v>
      </c>
      <c r="P261" s="205" t="n">
        <f aca="false">IF(ISNUMBER(kinematics!O103),kinematics!S103,0)</f>
        <v>615.186610540092</v>
      </c>
      <c r="R261" s="27" t="n">
        <f aca="false">O261</f>
        <v>0.154661487842047</v>
      </c>
      <c r="S261" s="27" t="n">
        <f aca="false">P261</f>
        <v>615.186610540092</v>
      </c>
    </row>
    <row r="262" customFormat="false" ht="12.75" hidden="false" customHeight="false" outlineLevel="0" collapsed="false">
      <c r="C262" s="27" t="n">
        <f aca="false">IF(ISNUMBER(kinematics!O104),kinematics!O104,IF(ISNUMBER(kinematics!$O$30),MIN(kinematics!$O$30:$O$210),180))</f>
        <v>179.382</v>
      </c>
      <c r="D262" s="205" t="n">
        <f aca="false">IF(ISNUMBER(kinematics!O104),kinematics!N104,0)</f>
        <v>74</v>
      </c>
      <c r="E262" s="205" t="n">
        <f aca="false">IF(ISNUMBER(kinematics!O104),kinematics!R104,0)</f>
        <v>0.165289463931331</v>
      </c>
      <c r="I262" s="27" t="n">
        <f aca="false">C262</f>
        <v>179.382</v>
      </c>
      <c r="J262" s="205" t="n">
        <f aca="false">IF(ISNUMBER(kinematics!O104),kinematics!P104,0)</f>
        <v>0.01513550789811</v>
      </c>
      <c r="K262" s="205" t="n">
        <f aca="false">IF(ISNUMBER(kinematics!O104),kinematics!S104,0)</f>
        <v>615.184864492102</v>
      </c>
      <c r="M262" s="205" t="n">
        <f aca="false">IF(ISNUMBER(kinematics!O104),kinematics!N104,MAX($D$6:$D$186))</f>
        <v>74</v>
      </c>
      <c r="N262" s="205" t="n">
        <f aca="false">IF(ISNUMBER(kinematics!O104),kinematics!P104,0)</f>
        <v>0.01513550789811</v>
      </c>
      <c r="O262" s="205" t="n">
        <f aca="false">IF(ISNUMBER(kinematics!O104),kinematics!R104,0)</f>
        <v>0.165289463931331</v>
      </c>
      <c r="P262" s="205" t="n">
        <f aca="false">IF(ISNUMBER(kinematics!O104),kinematics!S104,0)</f>
        <v>615.184864492102</v>
      </c>
      <c r="R262" s="27" t="n">
        <f aca="false">O262</f>
        <v>0.165289463931331</v>
      </c>
      <c r="S262" s="27" t="n">
        <f aca="false">P262</f>
        <v>615.184864492102</v>
      </c>
    </row>
    <row r="263" customFormat="false" ht="12.75" hidden="false" customHeight="false" outlineLevel="0" collapsed="false">
      <c r="C263" s="27" t="n">
        <f aca="false">IF(ISNUMBER(kinematics!O105),kinematics!O105,IF(ISNUMBER(kinematics!$O$30),MIN(kinematics!$O$30:$O$210),180))</f>
        <v>179.337</v>
      </c>
      <c r="D263" s="205" t="n">
        <f aca="false">IF(ISNUMBER(kinematics!O105),kinematics!N105,0)</f>
        <v>75</v>
      </c>
      <c r="E263" s="205" t="n">
        <f aca="false">IF(ISNUMBER(kinematics!O105),kinematics!R105,0)</f>
        <v>0.177390472224736</v>
      </c>
      <c r="I263" s="27" t="n">
        <f aca="false">C263</f>
        <v>179.337</v>
      </c>
      <c r="J263" s="205" t="n">
        <f aca="false">IF(ISNUMBER(kinematics!O105),kinematics!P105,0)</f>
        <v>0.0172647882627683</v>
      </c>
      <c r="K263" s="205" t="n">
        <f aca="false">IF(ISNUMBER(kinematics!O105),kinematics!S105,0)</f>
        <v>615.182735211737</v>
      </c>
      <c r="M263" s="205" t="n">
        <f aca="false">IF(ISNUMBER(kinematics!O105),kinematics!N105,MAX($D$6:$D$186))</f>
        <v>75</v>
      </c>
      <c r="N263" s="205" t="n">
        <f aca="false">IF(ISNUMBER(kinematics!O105),kinematics!P105,0)</f>
        <v>0.0172647882627683</v>
      </c>
      <c r="O263" s="205" t="n">
        <f aca="false">IF(ISNUMBER(kinematics!O105),kinematics!R105,0)</f>
        <v>0.177390472224736</v>
      </c>
      <c r="P263" s="205" t="n">
        <f aca="false">IF(ISNUMBER(kinematics!O105),kinematics!S105,0)</f>
        <v>615.182735211737</v>
      </c>
      <c r="R263" s="27" t="n">
        <f aca="false">O263</f>
        <v>0.177390472224736</v>
      </c>
      <c r="S263" s="27" t="n">
        <f aca="false">P263</f>
        <v>615.182735211737</v>
      </c>
    </row>
    <row r="264" customFormat="false" ht="12.75" hidden="false" customHeight="false" outlineLevel="0" collapsed="false">
      <c r="C264" s="27" t="n">
        <f aca="false">IF(ISNUMBER(kinematics!O106),kinematics!O106,IF(ISNUMBER(kinematics!$O$30),MIN(kinematics!$O$30:$O$210),180))</f>
        <v>179.285</v>
      </c>
      <c r="D264" s="205" t="n">
        <f aca="false">IF(ISNUMBER(kinematics!O106),kinematics!N106,0)</f>
        <v>76</v>
      </c>
      <c r="E264" s="205" t="n">
        <f aca="false">IF(ISNUMBER(kinematics!O106),kinematics!R106,0)</f>
        <v>0.191312402014685</v>
      </c>
      <c r="I264" s="27" t="n">
        <f aca="false">C264</f>
        <v>179.285</v>
      </c>
      <c r="J264" s="205" t="n">
        <f aca="false">IF(ISNUMBER(kinematics!O106),kinematics!P106,0)</f>
        <v>0.0199005071138876</v>
      </c>
      <c r="K264" s="205" t="n">
        <f aca="false">IF(ISNUMBER(kinematics!O106),kinematics!S106,0)</f>
        <v>615.180099492886</v>
      </c>
      <c r="M264" s="205" t="n">
        <f aca="false">IF(ISNUMBER(kinematics!O106),kinematics!N106,MAX($D$6:$D$186))</f>
        <v>76</v>
      </c>
      <c r="N264" s="205" t="n">
        <f aca="false">IF(ISNUMBER(kinematics!O106),kinematics!P106,0)</f>
        <v>0.0199005071138876</v>
      </c>
      <c r="O264" s="205" t="n">
        <f aca="false">IF(ISNUMBER(kinematics!O106),kinematics!R106,0)</f>
        <v>0.191312402014685</v>
      </c>
      <c r="P264" s="205" t="n">
        <f aca="false">IF(ISNUMBER(kinematics!O106),kinematics!S106,0)</f>
        <v>615.180099492886</v>
      </c>
      <c r="R264" s="27" t="n">
        <f aca="false">O264</f>
        <v>0.191312402014685</v>
      </c>
      <c r="S264" s="27" t="n">
        <f aca="false">P264</f>
        <v>615.180099492886</v>
      </c>
    </row>
    <row r="265" customFormat="false" ht="12.75" hidden="false" customHeight="false" outlineLevel="0" collapsed="false">
      <c r="C265" s="27" t="n">
        <f aca="false">IF(ISNUMBER(kinematics!O107),kinematics!O107,IF(ISNUMBER(kinematics!$O$30),MIN(kinematics!$O$30:$O$210),180))</f>
        <v>179.224</v>
      </c>
      <c r="D265" s="205" t="n">
        <f aca="false">IF(ISNUMBER(kinematics!O107),kinematics!N107,0)</f>
        <v>77</v>
      </c>
      <c r="E265" s="205" t="n">
        <f aca="false">IF(ISNUMBER(kinematics!O107),kinematics!R107,0)</f>
        <v>0.20752560832782</v>
      </c>
      <c r="I265" s="27" t="n">
        <f aca="false">C265</f>
        <v>179.224</v>
      </c>
      <c r="J265" s="205" t="n">
        <f aca="false">IF(ISNUMBER(kinematics!O107),kinematics!P107,0)</f>
        <v>0.0232208979315901</v>
      </c>
      <c r="K265" s="205" t="n">
        <f aca="false">IF(ISNUMBER(kinematics!O107),kinematics!S107,0)</f>
        <v>615.176779102069</v>
      </c>
      <c r="M265" s="205" t="n">
        <f aca="false">IF(ISNUMBER(kinematics!O107),kinematics!N107,MAX($D$6:$D$186))</f>
        <v>77</v>
      </c>
      <c r="N265" s="205" t="n">
        <f aca="false">IF(ISNUMBER(kinematics!O107),kinematics!P107,0)</f>
        <v>0.0232208979315901</v>
      </c>
      <c r="O265" s="205" t="n">
        <f aca="false">IF(ISNUMBER(kinematics!O107),kinematics!R107,0)</f>
        <v>0.20752560832782</v>
      </c>
      <c r="P265" s="205" t="n">
        <f aca="false">IF(ISNUMBER(kinematics!O107),kinematics!S107,0)</f>
        <v>615.176779102069</v>
      </c>
      <c r="R265" s="27" t="n">
        <f aca="false">O265</f>
        <v>0.20752560832782</v>
      </c>
      <c r="S265" s="27" t="n">
        <f aca="false">P265</f>
        <v>615.176779102069</v>
      </c>
    </row>
    <row r="266" customFormat="false" ht="12.75" hidden="false" customHeight="false" outlineLevel="0" collapsed="false">
      <c r="C266" s="27" t="n">
        <f aca="false">IF(ISNUMBER(kinematics!O108),kinematics!O108,IF(ISNUMBER(kinematics!$O$30),MIN(kinematics!$O$30:$O$210),180))</f>
        <v>179.153</v>
      </c>
      <c r="D266" s="205" t="n">
        <f aca="false">IF(ISNUMBER(kinematics!O108),kinematics!N108,0)</f>
        <v>78</v>
      </c>
      <c r="E266" s="205" t="n">
        <f aca="false">IF(ISNUMBER(kinematics!O108),kinematics!R108,0)</f>
        <v>0.226684030477628</v>
      </c>
      <c r="I266" s="27" t="n">
        <f aca="false">C266</f>
        <v>179.153</v>
      </c>
      <c r="J266" s="205" t="n">
        <f aca="false">IF(ISNUMBER(kinematics!O108),kinematics!P108,0)</f>
        <v>0.0274924308768265</v>
      </c>
      <c r="K266" s="205" t="n">
        <f aca="false">IF(ISNUMBER(kinematics!O108),kinematics!S108,0)</f>
        <v>615.172507569123</v>
      </c>
      <c r="M266" s="205" t="n">
        <f aca="false">IF(ISNUMBER(kinematics!O108),kinematics!N108,MAX($D$6:$D$186))</f>
        <v>78</v>
      </c>
      <c r="N266" s="205" t="n">
        <f aca="false">IF(ISNUMBER(kinematics!O108),kinematics!P108,0)</f>
        <v>0.0274924308768265</v>
      </c>
      <c r="O266" s="205" t="n">
        <f aca="false">IF(ISNUMBER(kinematics!O108),kinematics!R108,0)</f>
        <v>0.226684030477628</v>
      </c>
      <c r="P266" s="205" t="n">
        <f aca="false">IF(ISNUMBER(kinematics!O108),kinematics!S108,0)</f>
        <v>615.172507569123</v>
      </c>
      <c r="R266" s="27" t="n">
        <f aca="false">O266</f>
        <v>0.226684030477628</v>
      </c>
      <c r="S266" s="27" t="n">
        <f aca="false">P266</f>
        <v>615.172507569123</v>
      </c>
    </row>
    <row r="267" customFormat="false" ht="12.75" hidden="false" customHeight="false" outlineLevel="0" collapsed="false">
      <c r="C267" s="27" t="n">
        <f aca="false">IF(ISNUMBER(kinematics!O109),kinematics!O109,IF(ISNUMBER(kinematics!$O$30),MIN(kinematics!$O$30:$O$210),180))</f>
        <v>179.067</v>
      </c>
      <c r="D267" s="205" t="n">
        <f aca="false">IF(ISNUMBER(kinematics!O109),kinematics!N109,0)</f>
        <v>79</v>
      </c>
      <c r="E267" s="205" t="n">
        <f aca="false">IF(ISNUMBER(kinematics!O109),kinematics!R109,0)</f>
        <v>0.249728521686878</v>
      </c>
      <c r="I267" s="27" t="n">
        <f aca="false">C267</f>
        <v>179.067</v>
      </c>
      <c r="J267" s="205" t="n">
        <f aca="false">IF(ISNUMBER(kinematics!O109),kinematics!P109,0)</f>
        <v>0.033129793030504</v>
      </c>
      <c r="K267" s="205" t="n">
        <f aca="false">IF(ISNUMBER(kinematics!O109),kinematics!S109,0)</f>
        <v>615.16687020697</v>
      </c>
      <c r="M267" s="205" t="n">
        <f aca="false">IF(ISNUMBER(kinematics!O109),kinematics!N109,MAX($D$6:$D$186))</f>
        <v>79</v>
      </c>
      <c r="N267" s="205" t="n">
        <f aca="false">IF(ISNUMBER(kinematics!O109),kinematics!P109,0)</f>
        <v>0.033129793030504</v>
      </c>
      <c r="O267" s="205" t="n">
        <f aca="false">IF(ISNUMBER(kinematics!O109),kinematics!R109,0)</f>
        <v>0.249728521686878</v>
      </c>
      <c r="P267" s="205" t="n">
        <f aca="false">IF(ISNUMBER(kinematics!O109),kinematics!S109,0)</f>
        <v>615.16687020697</v>
      </c>
      <c r="R267" s="27" t="n">
        <f aca="false">O267</f>
        <v>0.249728521686878</v>
      </c>
      <c r="S267" s="27" t="n">
        <f aca="false">P267</f>
        <v>615.16687020697</v>
      </c>
    </row>
    <row r="268" customFormat="false" ht="12.75" hidden="false" customHeight="false" outlineLevel="0" collapsed="false">
      <c r="C268" s="27" t="n">
        <f aca="false">IF(ISNUMBER(kinematics!O110),kinematics!O110,IF(ISNUMBER(kinematics!$O$30),MIN(kinematics!$O$30:$O$210),180))</f>
        <v>178.961</v>
      </c>
      <c r="D268" s="205" t="n">
        <f aca="false">IF(ISNUMBER(kinematics!O110),kinematics!N110,0)</f>
        <v>80</v>
      </c>
      <c r="E268" s="205" t="n">
        <f aca="false">IF(ISNUMBER(kinematics!O110),kinematics!R110,0)</f>
        <v>0.278072460276767</v>
      </c>
      <c r="I268" s="27" t="n">
        <f aca="false">C268</f>
        <v>178.961</v>
      </c>
      <c r="J268" s="205" t="n">
        <f aca="false">IF(ISNUMBER(kinematics!O110),kinematics!P110,0)</f>
        <v>0.0408114945066144</v>
      </c>
      <c r="K268" s="205" t="n">
        <f aca="false">IF(ISNUMBER(kinematics!O110),kinematics!S110,0)</f>
        <v>615.159188505493</v>
      </c>
      <c r="M268" s="205" t="n">
        <f aca="false">IF(ISNUMBER(kinematics!O110),kinematics!N110,MAX($D$6:$D$186))</f>
        <v>80</v>
      </c>
      <c r="N268" s="205" t="n">
        <f aca="false">IF(ISNUMBER(kinematics!O110),kinematics!P110,0)</f>
        <v>0.0408114945066144</v>
      </c>
      <c r="O268" s="205" t="n">
        <f aca="false">IF(ISNUMBER(kinematics!O110),kinematics!R110,0)</f>
        <v>0.278072460276767</v>
      </c>
      <c r="P268" s="205" t="n">
        <f aca="false">IF(ISNUMBER(kinematics!O110),kinematics!S110,0)</f>
        <v>615.159188505493</v>
      </c>
      <c r="R268" s="27" t="n">
        <f aca="false">O268</f>
        <v>0.278072460276767</v>
      </c>
      <c r="S268" s="27" t="n">
        <f aca="false">P268</f>
        <v>615.159188505493</v>
      </c>
    </row>
    <row r="269" customFormat="false" ht="12.75" hidden="false" customHeight="false" outlineLevel="0" collapsed="false">
      <c r="C269" s="27" t="n">
        <f aca="false">IF(ISNUMBER(kinematics!O111),kinematics!O111,IF(ISNUMBER(kinematics!$O$30),MIN(kinematics!$O$30:$O$210),180))</f>
        <v>178.827</v>
      </c>
      <c r="D269" s="205" t="n">
        <f aca="false">IF(ISNUMBER(kinematics!O111),kinematics!N111,0)</f>
        <v>81</v>
      </c>
      <c r="E269" s="205" t="n">
        <f aca="false">IF(ISNUMBER(kinematics!O111),kinematics!R111,0)</f>
        <v>0.313962406481226</v>
      </c>
      <c r="I269" s="27" t="n">
        <f aca="false">C269</f>
        <v>178.827</v>
      </c>
      <c r="J269" s="205" t="n">
        <f aca="false">IF(ISNUMBER(kinematics!O111),kinematics!P111,0)</f>
        <v>0.0517221063076905</v>
      </c>
      <c r="K269" s="205" t="n">
        <f aca="false">IF(ISNUMBER(kinematics!O111),kinematics!S111,0)</f>
        <v>615.148277893692</v>
      </c>
      <c r="M269" s="205" t="n">
        <f aca="false">IF(ISNUMBER(kinematics!O111),kinematics!N111,MAX($D$6:$D$186))</f>
        <v>81</v>
      </c>
      <c r="N269" s="205" t="n">
        <f aca="false">IF(ISNUMBER(kinematics!O111),kinematics!P111,0)</f>
        <v>0.0517221063076905</v>
      </c>
      <c r="O269" s="205" t="n">
        <f aca="false">IF(ISNUMBER(kinematics!O111),kinematics!R111,0)</f>
        <v>0.313962406481226</v>
      </c>
      <c r="P269" s="205" t="n">
        <f aca="false">IF(ISNUMBER(kinematics!O111),kinematics!S111,0)</f>
        <v>615.148277893692</v>
      </c>
      <c r="R269" s="27" t="n">
        <f aca="false">O269</f>
        <v>0.313962406481226</v>
      </c>
      <c r="S269" s="27" t="n">
        <f aca="false">P269</f>
        <v>615.148277893692</v>
      </c>
    </row>
    <row r="270" customFormat="false" ht="12.75" hidden="false" customHeight="false" outlineLevel="0" collapsed="false">
      <c r="C270" s="27" t="n">
        <f aca="false">IF(ISNUMBER(kinematics!O112),kinematics!O112,IF(ISNUMBER(kinematics!$O$30),MIN(kinematics!$O$30:$O$210),180))</f>
        <v>178.65</v>
      </c>
      <c r="D270" s="205" t="n">
        <f aca="false">IF(ISNUMBER(kinematics!O112),kinematics!N112,0)</f>
        <v>82</v>
      </c>
      <c r="E270" s="205" t="n">
        <f aca="false">IF(ISNUMBER(kinematics!O112),kinematics!R112,0)</f>
        <v>0.361257748900579</v>
      </c>
      <c r="I270" s="27" t="n">
        <f aca="false">C270</f>
        <v>178.65</v>
      </c>
      <c r="J270" s="205" t="n">
        <f aca="false">IF(ISNUMBER(kinematics!O112),kinematics!P112,0)</f>
        <v>0.0681202878588735</v>
      </c>
      <c r="K270" s="205" t="n">
        <f aca="false">IF(ISNUMBER(kinematics!O112),kinematics!S112,0)</f>
        <v>615.131879712141</v>
      </c>
      <c r="M270" s="205" t="n">
        <f aca="false">IF(ISNUMBER(kinematics!O112),kinematics!N112,MAX($D$6:$D$186))</f>
        <v>82</v>
      </c>
      <c r="N270" s="205" t="n">
        <f aca="false">IF(ISNUMBER(kinematics!O112),kinematics!P112,0)</f>
        <v>0.0681202878588735</v>
      </c>
      <c r="O270" s="205" t="n">
        <f aca="false">IF(ISNUMBER(kinematics!O112),kinematics!R112,0)</f>
        <v>0.361257748900579</v>
      </c>
      <c r="P270" s="205" t="n">
        <f aca="false">IF(ISNUMBER(kinematics!O112),kinematics!S112,0)</f>
        <v>615.131879712141</v>
      </c>
      <c r="R270" s="27" t="n">
        <f aca="false">O270</f>
        <v>0.361257748900579</v>
      </c>
      <c r="S270" s="27" t="n">
        <f aca="false">P270</f>
        <v>615.131879712141</v>
      </c>
    </row>
    <row r="271" customFormat="false" ht="12.75" hidden="false" customHeight="false" outlineLevel="0" collapsed="false">
      <c r="C271" s="27" t="n">
        <f aca="false">IF(ISNUMBER(kinematics!O113),kinematics!O113,IF(ISNUMBER(kinematics!$O$30),MIN(kinematics!$O$30:$O$210),180))</f>
        <v>178.403</v>
      </c>
      <c r="D271" s="205" t="n">
        <f aca="false">IF(ISNUMBER(kinematics!O113),kinematics!N113,0)</f>
        <v>83</v>
      </c>
      <c r="E271" s="205" t="n">
        <f aca="false">IF(ISNUMBER(kinematics!O113),kinematics!R113,0)</f>
        <v>0.427398900671505</v>
      </c>
      <c r="I271" s="27" t="n">
        <f aca="false">C271</f>
        <v>178.403</v>
      </c>
      <c r="J271" s="205" t="n">
        <f aca="false">IF(ISNUMBER(kinematics!O113),kinematics!P113,0)</f>
        <v>0.0949055708194083</v>
      </c>
      <c r="K271" s="205" t="n">
        <f aca="false">IF(ISNUMBER(kinematics!O113),kinematics!S113,0)</f>
        <v>615.105094429181</v>
      </c>
      <c r="M271" s="205" t="n">
        <f aca="false">IF(ISNUMBER(kinematics!O113),kinematics!N113,MAX($D$6:$D$186))</f>
        <v>83</v>
      </c>
      <c r="N271" s="205" t="n">
        <f aca="false">IF(ISNUMBER(kinematics!O113),kinematics!P113,0)</f>
        <v>0.0949055708194083</v>
      </c>
      <c r="O271" s="205" t="n">
        <f aca="false">IF(ISNUMBER(kinematics!O113),kinematics!R113,0)</f>
        <v>0.427398900671505</v>
      </c>
      <c r="P271" s="205" t="n">
        <f aca="false">IF(ISNUMBER(kinematics!O113),kinematics!S113,0)</f>
        <v>615.105094429181</v>
      </c>
      <c r="R271" s="27" t="n">
        <f aca="false">O271</f>
        <v>0.427398900671505</v>
      </c>
      <c r="S271" s="27" t="n">
        <f aca="false">P271</f>
        <v>615.105094429181</v>
      </c>
    </row>
    <row r="272" customFormat="false" ht="12.75" hidden="false" customHeight="false" outlineLevel="0" collapsed="false">
      <c r="C272" s="27" t="n">
        <f aca="false">IF(ISNUMBER(kinematics!O114),kinematics!O114,IF(ISNUMBER(kinematics!$O$30),MIN(kinematics!$O$30:$O$210),180))</f>
        <v>178.02</v>
      </c>
      <c r="D272" s="205" t="n">
        <f aca="false">IF(ISNUMBER(kinematics!O114),kinematics!N114,0)</f>
        <v>84</v>
      </c>
      <c r="E272" s="205" t="n">
        <f aca="false">IF(ISNUMBER(kinematics!O114),kinematics!R114,0)</f>
        <v>0.52981067067577</v>
      </c>
      <c r="I272" s="27" t="n">
        <f aca="false">C272</f>
        <v>178.02</v>
      </c>
      <c r="J272" s="205" t="n">
        <f aca="false">IF(ISNUMBER(kinematics!O114),kinematics!P114,0)</f>
        <v>0.145244228855303</v>
      </c>
      <c r="K272" s="205" t="n">
        <f aca="false">IF(ISNUMBER(kinematics!O114),kinematics!S114,0)</f>
        <v>615.054755771145</v>
      </c>
      <c r="M272" s="205" t="n">
        <f aca="false">IF(ISNUMBER(kinematics!O114),kinematics!N114,MAX($D$6:$D$186))</f>
        <v>84</v>
      </c>
      <c r="N272" s="205" t="n">
        <f aca="false">IF(ISNUMBER(kinematics!O114),kinematics!P114,0)</f>
        <v>0.145244228855303</v>
      </c>
      <c r="O272" s="205" t="n">
        <f aca="false">IF(ISNUMBER(kinematics!O114),kinematics!R114,0)</f>
        <v>0.52981067067577</v>
      </c>
      <c r="P272" s="205" t="n">
        <f aca="false">IF(ISNUMBER(kinematics!O114),kinematics!S114,0)</f>
        <v>615.054755771145</v>
      </c>
      <c r="R272" s="27" t="n">
        <f aca="false">O272</f>
        <v>0.52981067067577</v>
      </c>
      <c r="S272" s="27" t="n">
        <f aca="false">P272</f>
        <v>615.054755771145</v>
      </c>
    </row>
    <row r="273" customFormat="false" ht="12.75" hidden="false" customHeight="false" outlineLevel="0" collapsed="false">
      <c r="C273" s="27" t="n">
        <f aca="false">IF(ISNUMBER(kinematics!O115),kinematics!O115,IF(ISNUMBER(kinematics!$O$30),MIN(kinematics!$O$30:$O$210),180))</f>
        <v>177.265</v>
      </c>
      <c r="D273" s="205" t="n">
        <f aca="false">IF(ISNUMBER(kinematics!O115),kinematics!N115,0)</f>
        <v>85</v>
      </c>
      <c r="E273" s="205" t="n">
        <f aca="false">IF(ISNUMBER(kinematics!O115),kinematics!R115,0)</f>
        <v>0.731814097193463</v>
      </c>
      <c r="I273" s="27" t="n">
        <f aca="false">C273</f>
        <v>177.265</v>
      </c>
      <c r="J273" s="205" t="n">
        <f aca="false">IF(ISNUMBER(kinematics!O115),kinematics!P115,0)</f>
        <v>0.276118110470769</v>
      </c>
      <c r="K273" s="205" t="n">
        <f aca="false">IF(ISNUMBER(kinematics!O115),kinematics!S115,0)</f>
        <v>614.923881889529</v>
      </c>
      <c r="M273" s="205" t="n">
        <f aca="false">IF(ISNUMBER(kinematics!O115),kinematics!N115,MAX($D$6:$D$186))</f>
        <v>85</v>
      </c>
      <c r="N273" s="205" t="n">
        <f aca="false">IF(ISNUMBER(kinematics!O115),kinematics!P115,0)</f>
        <v>0.276118110470769</v>
      </c>
      <c r="O273" s="205" t="n">
        <f aca="false">IF(ISNUMBER(kinematics!O115),kinematics!R115,0)</f>
        <v>0.731814097193463</v>
      </c>
      <c r="P273" s="205" t="n">
        <f aca="false">IF(ISNUMBER(kinematics!O115),kinematics!S115,0)</f>
        <v>614.923881889529</v>
      </c>
      <c r="R273" s="27" t="n">
        <f aca="false">O273</f>
        <v>0.731814097193463</v>
      </c>
      <c r="S273" s="27" t="n">
        <f aca="false">P273</f>
        <v>614.923881889529</v>
      </c>
    </row>
    <row r="274" customFormat="false" ht="12.75" hidden="false" customHeight="false" outlineLevel="0" collapsed="false">
      <c r="C274" s="27" t="n">
        <f aca="false">IF(ISNUMBER(kinematics!O116),kinematics!O116,IF(ISNUMBER(kinematics!$O$30),MIN(kinematics!$O$30:$O$210),180))</f>
        <v>177.265</v>
      </c>
      <c r="D274" s="205" t="n">
        <f aca="false">IF(ISNUMBER(kinematics!O116),kinematics!N116,0)</f>
        <v>0</v>
      </c>
      <c r="E274" s="205" t="n">
        <f aca="false">IF(ISNUMBER(kinematics!O116),kinematics!R116,0)</f>
        <v>0</v>
      </c>
      <c r="I274" s="27" t="n">
        <f aca="false">C274</f>
        <v>177.265</v>
      </c>
      <c r="J274" s="205" t="n">
        <f aca="false">IF(ISNUMBER(kinematics!O116),kinematics!P116,0)</f>
        <v>0</v>
      </c>
      <c r="K274" s="205" t="n">
        <f aca="false">IF(ISNUMBER(kinematics!O116),kinematics!S116,0)</f>
        <v>0</v>
      </c>
      <c r="M274" s="205" t="n">
        <f aca="false">IF(ISNUMBER(kinematics!O116),kinematics!N116,MAX($D$6:$D$186))</f>
        <v>85</v>
      </c>
      <c r="N274" s="205" t="n">
        <f aca="false">IF(ISNUMBER(kinematics!O116),kinematics!P116,0)</f>
        <v>0</v>
      </c>
      <c r="O274" s="205" t="n">
        <f aca="false">IF(ISNUMBER(kinematics!O116),kinematics!R116,0)</f>
        <v>0</v>
      </c>
      <c r="P274" s="205" t="n">
        <f aca="false">IF(ISNUMBER(kinematics!O116),kinematics!S116,0)</f>
        <v>0</v>
      </c>
      <c r="R274" s="27" t="n">
        <f aca="false">O274</f>
        <v>0</v>
      </c>
      <c r="S274" s="27" t="n">
        <f aca="false">P274</f>
        <v>0</v>
      </c>
    </row>
    <row r="275" customFormat="false" ht="12.75" hidden="false" customHeight="false" outlineLevel="0" collapsed="false">
      <c r="C275" s="27" t="n">
        <f aca="false">IF(ISNUMBER(kinematics!O117),kinematics!O117,IF(ISNUMBER(kinematics!$O$30),MIN(kinematics!$O$30:$O$210),180))</f>
        <v>177.265</v>
      </c>
      <c r="D275" s="205" t="n">
        <f aca="false">IF(ISNUMBER(kinematics!O117),kinematics!N117,0)</f>
        <v>0</v>
      </c>
      <c r="E275" s="205" t="n">
        <f aca="false">IF(ISNUMBER(kinematics!O117),kinematics!R117,0)</f>
        <v>0</v>
      </c>
      <c r="I275" s="27" t="n">
        <f aca="false">C275</f>
        <v>177.265</v>
      </c>
      <c r="J275" s="205" t="n">
        <f aca="false">IF(ISNUMBER(kinematics!O117),kinematics!P117,0)</f>
        <v>0</v>
      </c>
      <c r="K275" s="205" t="n">
        <f aca="false">IF(ISNUMBER(kinematics!O117),kinematics!S117,0)</f>
        <v>0</v>
      </c>
      <c r="M275" s="205" t="n">
        <f aca="false">IF(ISNUMBER(kinematics!O117),kinematics!N117,MAX($D$6:$D$186))</f>
        <v>85</v>
      </c>
      <c r="N275" s="205" t="n">
        <f aca="false">IF(ISNUMBER(kinematics!O117),kinematics!P117,0)</f>
        <v>0</v>
      </c>
      <c r="O275" s="205" t="n">
        <f aca="false">IF(ISNUMBER(kinematics!O117),kinematics!R117,0)</f>
        <v>0</v>
      </c>
      <c r="P275" s="205" t="n">
        <f aca="false">IF(ISNUMBER(kinematics!O117),kinematics!S117,0)</f>
        <v>0</v>
      </c>
      <c r="R275" s="27" t="n">
        <f aca="false">O275</f>
        <v>0</v>
      </c>
      <c r="S275" s="27" t="n">
        <f aca="false">P275</f>
        <v>0</v>
      </c>
    </row>
    <row r="276" customFormat="false" ht="12.75" hidden="false" customHeight="false" outlineLevel="0" collapsed="false">
      <c r="C276" s="27" t="n">
        <f aca="false">IF(ISNUMBER(kinematics!O118),kinematics!O118,IF(ISNUMBER(kinematics!$O$30),MIN(kinematics!$O$30:$O$210),180))</f>
        <v>177.265</v>
      </c>
      <c r="D276" s="205" t="n">
        <f aca="false">IF(ISNUMBER(kinematics!O118),kinematics!N118,0)</f>
        <v>0</v>
      </c>
      <c r="E276" s="205" t="n">
        <f aca="false">IF(ISNUMBER(kinematics!O118),kinematics!R118,0)</f>
        <v>0</v>
      </c>
      <c r="I276" s="27" t="n">
        <f aca="false">C276</f>
        <v>177.265</v>
      </c>
      <c r="J276" s="205" t="n">
        <f aca="false">IF(ISNUMBER(kinematics!O118),kinematics!P118,0)</f>
        <v>0</v>
      </c>
      <c r="K276" s="205" t="n">
        <f aca="false">IF(ISNUMBER(kinematics!O118),kinematics!S118,0)</f>
        <v>0</v>
      </c>
      <c r="M276" s="205" t="n">
        <f aca="false">IF(ISNUMBER(kinematics!O118),kinematics!N118,MAX($D$6:$D$186))</f>
        <v>85</v>
      </c>
      <c r="N276" s="205" t="n">
        <f aca="false">IF(ISNUMBER(kinematics!O118),kinematics!P118,0)</f>
        <v>0</v>
      </c>
      <c r="O276" s="205" t="n">
        <f aca="false">IF(ISNUMBER(kinematics!O118),kinematics!R118,0)</f>
        <v>0</v>
      </c>
      <c r="P276" s="205" t="n">
        <f aca="false">IF(ISNUMBER(kinematics!O118),kinematics!S118,0)</f>
        <v>0</v>
      </c>
      <c r="R276" s="27" t="n">
        <f aca="false">O276</f>
        <v>0</v>
      </c>
      <c r="S276" s="27" t="n">
        <f aca="false">P276</f>
        <v>0</v>
      </c>
    </row>
    <row r="277" customFormat="false" ht="12.75" hidden="false" customHeight="false" outlineLevel="0" collapsed="false">
      <c r="C277" s="27" t="n">
        <f aca="false">IF(ISNUMBER(kinematics!O119),kinematics!O119,IF(ISNUMBER(kinematics!$O$30),MIN(kinematics!$O$30:$O$210),180))</f>
        <v>177.265</v>
      </c>
      <c r="D277" s="205" t="n">
        <f aca="false">IF(ISNUMBER(kinematics!O119),kinematics!N119,0)</f>
        <v>0</v>
      </c>
      <c r="E277" s="205" t="n">
        <f aca="false">IF(ISNUMBER(kinematics!O119),kinematics!R119,0)</f>
        <v>0</v>
      </c>
      <c r="I277" s="27" t="n">
        <f aca="false">C277</f>
        <v>177.265</v>
      </c>
      <c r="J277" s="205" t="n">
        <f aca="false">IF(ISNUMBER(kinematics!O119),kinematics!P119,0)</f>
        <v>0</v>
      </c>
      <c r="K277" s="205" t="n">
        <f aca="false">IF(ISNUMBER(kinematics!O119),kinematics!S119,0)</f>
        <v>0</v>
      </c>
      <c r="M277" s="205" t="n">
        <f aca="false">IF(ISNUMBER(kinematics!O119),kinematics!N119,MAX($D$6:$D$186))</f>
        <v>85</v>
      </c>
      <c r="N277" s="205" t="n">
        <f aca="false">IF(ISNUMBER(kinematics!O119),kinematics!P119,0)</f>
        <v>0</v>
      </c>
      <c r="O277" s="205" t="n">
        <f aca="false">IF(ISNUMBER(kinematics!O119),kinematics!R119,0)</f>
        <v>0</v>
      </c>
      <c r="P277" s="205" t="n">
        <f aca="false">IF(ISNUMBER(kinematics!O119),kinematics!S119,0)</f>
        <v>0</v>
      </c>
      <c r="R277" s="27" t="n">
        <f aca="false">O277</f>
        <v>0</v>
      </c>
      <c r="S277" s="27" t="n">
        <f aca="false">P277</f>
        <v>0</v>
      </c>
    </row>
    <row r="278" customFormat="false" ht="12.75" hidden="false" customHeight="false" outlineLevel="0" collapsed="false">
      <c r="C278" s="27" t="n">
        <f aca="false">IF(ISNUMBER(kinematics!O120),kinematics!O120,IF(ISNUMBER(kinematics!$O$30),MIN(kinematics!$O$30:$O$210),180))</f>
        <v>177.265</v>
      </c>
      <c r="D278" s="205" t="n">
        <f aca="false">IF(ISNUMBER(kinematics!O120),kinematics!N120,0)</f>
        <v>0</v>
      </c>
      <c r="E278" s="205" t="n">
        <f aca="false">IF(ISNUMBER(kinematics!O120),kinematics!R120,0)</f>
        <v>0</v>
      </c>
      <c r="I278" s="27" t="n">
        <f aca="false">C278</f>
        <v>177.265</v>
      </c>
      <c r="J278" s="205" t="n">
        <f aca="false">IF(ISNUMBER(kinematics!O120),kinematics!P120,0)</f>
        <v>0</v>
      </c>
      <c r="K278" s="205" t="n">
        <f aca="false">IF(ISNUMBER(kinematics!O120),kinematics!S120,0)</f>
        <v>0</v>
      </c>
      <c r="M278" s="205" t="n">
        <f aca="false">IF(ISNUMBER(kinematics!O120),kinematics!N120,MAX($D$6:$D$186))</f>
        <v>85</v>
      </c>
      <c r="N278" s="205" t="n">
        <f aca="false">IF(ISNUMBER(kinematics!O120),kinematics!P120,0)</f>
        <v>0</v>
      </c>
      <c r="O278" s="205" t="n">
        <f aca="false">IF(ISNUMBER(kinematics!O120),kinematics!R120,0)</f>
        <v>0</v>
      </c>
      <c r="P278" s="205" t="n">
        <f aca="false">IF(ISNUMBER(kinematics!O120),kinematics!S120,0)</f>
        <v>0</v>
      </c>
      <c r="R278" s="27" t="n">
        <f aca="false">O278</f>
        <v>0</v>
      </c>
      <c r="S278" s="27" t="n">
        <f aca="false">P278</f>
        <v>0</v>
      </c>
    </row>
    <row r="279" customFormat="false" ht="12.75" hidden="false" customHeight="false" outlineLevel="0" collapsed="false">
      <c r="C279" s="27" t="n">
        <f aca="false">IF(ISNUMBER(kinematics!O121),kinematics!O121,IF(ISNUMBER(kinematics!$O$30),MIN(kinematics!$O$30:$O$210),180))</f>
        <v>177.265</v>
      </c>
      <c r="D279" s="205" t="n">
        <f aca="false">IF(ISNUMBER(kinematics!O121),kinematics!N121,0)</f>
        <v>0</v>
      </c>
      <c r="E279" s="205" t="n">
        <f aca="false">IF(ISNUMBER(kinematics!O121),kinematics!R121,0)</f>
        <v>0</v>
      </c>
      <c r="I279" s="27" t="n">
        <f aca="false">C279</f>
        <v>177.265</v>
      </c>
      <c r="J279" s="205" t="n">
        <f aca="false">IF(ISNUMBER(kinematics!O121),kinematics!P121,0)</f>
        <v>0</v>
      </c>
      <c r="K279" s="205" t="n">
        <f aca="false">IF(ISNUMBER(kinematics!O121),kinematics!S121,0)</f>
        <v>0</v>
      </c>
      <c r="M279" s="205" t="n">
        <f aca="false">IF(ISNUMBER(kinematics!O121),kinematics!N121,MAX($D$6:$D$186))</f>
        <v>85</v>
      </c>
      <c r="N279" s="205" t="n">
        <f aca="false">IF(ISNUMBER(kinematics!O121),kinematics!P121,0)</f>
        <v>0</v>
      </c>
      <c r="O279" s="205" t="n">
        <f aca="false">IF(ISNUMBER(kinematics!O121),kinematics!R121,0)</f>
        <v>0</v>
      </c>
      <c r="P279" s="205" t="n">
        <f aca="false">IF(ISNUMBER(kinematics!O121),kinematics!S121,0)</f>
        <v>0</v>
      </c>
      <c r="R279" s="27" t="n">
        <f aca="false">O279</f>
        <v>0</v>
      </c>
      <c r="S279" s="27" t="n">
        <f aca="false">P279</f>
        <v>0</v>
      </c>
    </row>
    <row r="280" customFormat="false" ht="12.75" hidden="false" customHeight="false" outlineLevel="0" collapsed="false">
      <c r="C280" s="27" t="n">
        <f aca="false">IF(ISNUMBER(kinematics!O122),kinematics!O122,IF(ISNUMBER(kinematics!$O$30),MIN(kinematics!$O$30:$O$210),180))</f>
        <v>177.265</v>
      </c>
      <c r="D280" s="205" t="n">
        <f aca="false">IF(ISNUMBER(kinematics!O122),kinematics!N122,0)</f>
        <v>0</v>
      </c>
      <c r="E280" s="205" t="n">
        <f aca="false">IF(ISNUMBER(kinematics!O122),kinematics!R122,0)</f>
        <v>0</v>
      </c>
      <c r="I280" s="27" t="n">
        <f aca="false">C280</f>
        <v>177.265</v>
      </c>
      <c r="J280" s="205" t="n">
        <f aca="false">IF(ISNUMBER(kinematics!O122),kinematics!P122,0)</f>
        <v>0</v>
      </c>
      <c r="K280" s="205" t="n">
        <f aca="false">IF(ISNUMBER(kinematics!O122),kinematics!S122,0)</f>
        <v>0</v>
      </c>
      <c r="M280" s="205" t="n">
        <f aca="false">IF(ISNUMBER(kinematics!O122),kinematics!N122,MAX($D$6:$D$186))</f>
        <v>85</v>
      </c>
      <c r="N280" s="205" t="n">
        <f aca="false">IF(ISNUMBER(kinematics!O122),kinematics!P122,0)</f>
        <v>0</v>
      </c>
      <c r="O280" s="205" t="n">
        <f aca="false">IF(ISNUMBER(kinematics!O122),kinematics!R122,0)</f>
        <v>0</v>
      </c>
      <c r="P280" s="205" t="n">
        <f aca="false">IF(ISNUMBER(kinematics!O122),kinematics!S122,0)</f>
        <v>0</v>
      </c>
      <c r="R280" s="27" t="n">
        <f aca="false">O280</f>
        <v>0</v>
      </c>
      <c r="S280" s="27" t="n">
        <f aca="false">P280</f>
        <v>0</v>
      </c>
    </row>
    <row r="281" customFormat="false" ht="12.75" hidden="false" customHeight="false" outlineLevel="0" collapsed="false">
      <c r="C281" s="27" t="n">
        <f aca="false">IF(ISNUMBER(kinematics!O123),kinematics!O123,IF(ISNUMBER(kinematics!$O$30),MIN(kinematics!$O$30:$O$210),180))</f>
        <v>177.265</v>
      </c>
      <c r="D281" s="205" t="n">
        <f aca="false">IF(ISNUMBER(kinematics!O123),kinematics!N123,0)</f>
        <v>0</v>
      </c>
      <c r="E281" s="205" t="n">
        <f aca="false">IF(ISNUMBER(kinematics!O123),kinematics!R123,0)</f>
        <v>0</v>
      </c>
      <c r="I281" s="27" t="n">
        <f aca="false">C281</f>
        <v>177.265</v>
      </c>
      <c r="J281" s="205" t="n">
        <f aca="false">IF(ISNUMBER(kinematics!O123),kinematics!P123,0)</f>
        <v>0</v>
      </c>
      <c r="K281" s="205" t="n">
        <f aca="false">IF(ISNUMBER(kinematics!O123),kinematics!S123,0)</f>
        <v>0</v>
      </c>
      <c r="M281" s="205" t="n">
        <f aca="false">IF(ISNUMBER(kinematics!O123),kinematics!N123,MAX($D$6:$D$186))</f>
        <v>85</v>
      </c>
      <c r="N281" s="205" t="n">
        <f aca="false">IF(ISNUMBER(kinematics!O123),kinematics!P123,0)</f>
        <v>0</v>
      </c>
      <c r="O281" s="205" t="n">
        <f aca="false">IF(ISNUMBER(kinematics!O123),kinematics!R123,0)</f>
        <v>0</v>
      </c>
      <c r="P281" s="205" t="n">
        <f aca="false">IF(ISNUMBER(kinematics!O123),kinematics!S123,0)</f>
        <v>0</v>
      </c>
      <c r="R281" s="27" t="n">
        <f aca="false">O281</f>
        <v>0</v>
      </c>
      <c r="S281" s="27" t="n">
        <f aca="false">P281</f>
        <v>0</v>
      </c>
    </row>
    <row r="282" customFormat="false" ht="12.75" hidden="false" customHeight="false" outlineLevel="0" collapsed="false">
      <c r="C282" s="27" t="n">
        <f aca="false">IF(ISNUMBER(kinematics!O124),kinematics!O124,IF(ISNUMBER(kinematics!$O$30),MIN(kinematics!$O$30:$O$210),180))</f>
        <v>177.265</v>
      </c>
      <c r="D282" s="205" t="n">
        <f aca="false">IF(ISNUMBER(kinematics!O124),kinematics!N124,0)</f>
        <v>0</v>
      </c>
      <c r="E282" s="205" t="n">
        <f aca="false">IF(ISNUMBER(kinematics!O124),kinematics!R124,0)</f>
        <v>0</v>
      </c>
      <c r="I282" s="27" t="n">
        <f aca="false">C282</f>
        <v>177.265</v>
      </c>
      <c r="J282" s="205" t="n">
        <f aca="false">IF(ISNUMBER(kinematics!O124),kinematics!P124,0)</f>
        <v>0</v>
      </c>
      <c r="K282" s="205" t="n">
        <f aca="false">IF(ISNUMBER(kinematics!O124),kinematics!S124,0)</f>
        <v>0</v>
      </c>
      <c r="M282" s="205" t="n">
        <f aca="false">IF(ISNUMBER(kinematics!O124),kinematics!N124,MAX($D$6:$D$186))</f>
        <v>85</v>
      </c>
      <c r="N282" s="205" t="n">
        <f aca="false">IF(ISNUMBER(kinematics!O124),kinematics!P124,0)</f>
        <v>0</v>
      </c>
      <c r="O282" s="205" t="n">
        <f aca="false">IF(ISNUMBER(kinematics!O124),kinematics!R124,0)</f>
        <v>0</v>
      </c>
      <c r="P282" s="205" t="n">
        <f aca="false">IF(ISNUMBER(kinematics!O124),kinematics!S124,0)</f>
        <v>0</v>
      </c>
      <c r="R282" s="27" t="n">
        <f aca="false">O282</f>
        <v>0</v>
      </c>
      <c r="S282" s="27" t="n">
        <f aca="false">P282</f>
        <v>0</v>
      </c>
    </row>
    <row r="283" customFormat="false" ht="12.75" hidden="false" customHeight="false" outlineLevel="0" collapsed="false">
      <c r="C283" s="27" t="n">
        <f aca="false">IF(ISNUMBER(kinematics!O125),kinematics!O125,IF(ISNUMBER(kinematics!$O$30),MIN(kinematics!$O$30:$O$210),180))</f>
        <v>177.265</v>
      </c>
      <c r="D283" s="205" t="n">
        <f aca="false">IF(ISNUMBER(kinematics!O125),kinematics!N125,0)</f>
        <v>0</v>
      </c>
      <c r="E283" s="205" t="n">
        <f aca="false">IF(ISNUMBER(kinematics!O125),kinematics!R125,0)</f>
        <v>0</v>
      </c>
      <c r="I283" s="27" t="n">
        <f aca="false">C283</f>
        <v>177.265</v>
      </c>
      <c r="J283" s="205" t="n">
        <f aca="false">IF(ISNUMBER(kinematics!O125),kinematics!P125,0)</f>
        <v>0</v>
      </c>
      <c r="K283" s="205" t="n">
        <f aca="false">IF(ISNUMBER(kinematics!O125),kinematics!S125,0)</f>
        <v>0</v>
      </c>
      <c r="M283" s="205" t="n">
        <f aca="false">IF(ISNUMBER(kinematics!O125),kinematics!N125,MAX($D$6:$D$186))</f>
        <v>85</v>
      </c>
      <c r="N283" s="205" t="n">
        <f aca="false">IF(ISNUMBER(kinematics!O125),kinematics!P125,0)</f>
        <v>0</v>
      </c>
      <c r="O283" s="205" t="n">
        <f aca="false">IF(ISNUMBER(kinematics!O125),kinematics!R125,0)</f>
        <v>0</v>
      </c>
      <c r="P283" s="205" t="n">
        <f aca="false">IF(ISNUMBER(kinematics!O125),kinematics!S125,0)</f>
        <v>0</v>
      </c>
      <c r="R283" s="27" t="n">
        <f aca="false">O283</f>
        <v>0</v>
      </c>
      <c r="S283" s="27" t="n">
        <f aca="false">P283</f>
        <v>0</v>
      </c>
    </row>
    <row r="284" customFormat="false" ht="12.75" hidden="false" customHeight="false" outlineLevel="0" collapsed="false">
      <c r="C284" s="27" t="n">
        <f aca="false">IF(ISNUMBER(kinematics!O126),kinematics!O126,IF(ISNUMBER(kinematics!$O$30),MIN(kinematics!$O$30:$O$210),180))</f>
        <v>177.265</v>
      </c>
      <c r="D284" s="205" t="n">
        <f aca="false">IF(ISNUMBER(kinematics!O126),kinematics!N126,0)</f>
        <v>0</v>
      </c>
      <c r="E284" s="205" t="n">
        <f aca="false">IF(ISNUMBER(kinematics!O126),kinematics!R126,0)</f>
        <v>0</v>
      </c>
      <c r="I284" s="27" t="n">
        <f aca="false">C284</f>
        <v>177.265</v>
      </c>
      <c r="J284" s="205" t="n">
        <f aca="false">IF(ISNUMBER(kinematics!O126),kinematics!P126,0)</f>
        <v>0</v>
      </c>
      <c r="K284" s="205" t="n">
        <f aca="false">IF(ISNUMBER(kinematics!O126),kinematics!S126,0)</f>
        <v>0</v>
      </c>
      <c r="M284" s="205" t="n">
        <f aca="false">IF(ISNUMBER(kinematics!O126),kinematics!N126,MAX($D$6:$D$186))</f>
        <v>85</v>
      </c>
      <c r="N284" s="205" t="n">
        <f aca="false">IF(ISNUMBER(kinematics!O126),kinematics!P126,0)</f>
        <v>0</v>
      </c>
      <c r="O284" s="205" t="n">
        <f aca="false">IF(ISNUMBER(kinematics!O126),kinematics!R126,0)</f>
        <v>0</v>
      </c>
      <c r="P284" s="205" t="n">
        <f aca="false">IF(ISNUMBER(kinematics!O126),kinematics!S126,0)</f>
        <v>0</v>
      </c>
      <c r="R284" s="27" t="n">
        <f aca="false">O284</f>
        <v>0</v>
      </c>
      <c r="S284" s="27" t="n">
        <f aca="false">P284</f>
        <v>0</v>
      </c>
    </row>
    <row r="285" customFormat="false" ht="12.75" hidden="false" customHeight="false" outlineLevel="0" collapsed="false">
      <c r="C285" s="27" t="n">
        <f aca="false">IF(ISNUMBER(kinematics!O127),kinematics!O127,IF(ISNUMBER(kinematics!$O$30),MIN(kinematics!$O$30:$O$210),180))</f>
        <v>177.265</v>
      </c>
      <c r="D285" s="205" t="n">
        <f aca="false">IF(ISNUMBER(kinematics!O127),kinematics!N127,0)</f>
        <v>0</v>
      </c>
      <c r="E285" s="205" t="n">
        <f aca="false">IF(ISNUMBER(kinematics!O127),kinematics!R127,0)</f>
        <v>0</v>
      </c>
      <c r="I285" s="27" t="n">
        <f aca="false">C285</f>
        <v>177.265</v>
      </c>
      <c r="J285" s="205" t="n">
        <f aca="false">IF(ISNUMBER(kinematics!O127),kinematics!P127,0)</f>
        <v>0</v>
      </c>
      <c r="K285" s="205" t="n">
        <f aca="false">IF(ISNUMBER(kinematics!O127),kinematics!S127,0)</f>
        <v>0</v>
      </c>
      <c r="M285" s="205" t="n">
        <f aca="false">IF(ISNUMBER(kinematics!O127),kinematics!N127,MAX($D$6:$D$186))</f>
        <v>85</v>
      </c>
      <c r="N285" s="205" t="n">
        <f aca="false">IF(ISNUMBER(kinematics!O127),kinematics!P127,0)</f>
        <v>0</v>
      </c>
      <c r="O285" s="205" t="n">
        <f aca="false">IF(ISNUMBER(kinematics!O127),kinematics!R127,0)</f>
        <v>0</v>
      </c>
      <c r="P285" s="205" t="n">
        <f aca="false">IF(ISNUMBER(kinematics!O127),kinematics!S127,0)</f>
        <v>0</v>
      </c>
      <c r="R285" s="27" t="n">
        <f aca="false">O285</f>
        <v>0</v>
      </c>
      <c r="S285" s="27" t="n">
        <f aca="false">P285</f>
        <v>0</v>
      </c>
    </row>
    <row r="286" customFormat="false" ht="12.75" hidden="false" customHeight="false" outlineLevel="0" collapsed="false">
      <c r="C286" s="27" t="n">
        <f aca="false">IF(ISNUMBER(kinematics!O128),kinematics!O128,IF(ISNUMBER(kinematics!$O$30),MIN(kinematics!$O$30:$O$210),180))</f>
        <v>177.265</v>
      </c>
      <c r="D286" s="205" t="n">
        <f aca="false">IF(ISNUMBER(kinematics!O128),kinematics!N128,0)</f>
        <v>0</v>
      </c>
      <c r="E286" s="205" t="n">
        <f aca="false">IF(ISNUMBER(kinematics!O128),kinematics!R128,0)</f>
        <v>0</v>
      </c>
      <c r="I286" s="27" t="n">
        <f aca="false">C286</f>
        <v>177.265</v>
      </c>
      <c r="J286" s="205" t="n">
        <f aca="false">IF(ISNUMBER(kinematics!O128),kinematics!P128,0)</f>
        <v>0</v>
      </c>
      <c r="K286" s="205" t="n">
        <f aca="false">IF(ISNUMBER(kinematics!O128),kinematics!S128,0)</f>
        <v>0</v>
      </c>
      <c r="M286" s="205" t="n">
        <f aca="false">IF(ISNUMBER(kinematics!O128),kinematics!N128,MAX($D$6:$D$186))</f>
        <v>85</v>
      </c>
      <c r="N286" s="205" t="n">
        <f aca="false">IF(ISNUMBER(kinematics!O128),kinematics!P128,0)</f>
        <v>0</v>
      </c>
      <c r="O286" s="205" t="n">
        <f aca="false">IF(ISNUMBER(kinematics!O128),kinematics!R128,0)</f>
        <v>0</v>
      </c>
      <c r="P286" s="205" t="n">
        <f aca="false">IF(ISNUMBER(kinematics!O128),kinematics!S128,0)</f>
        <v>0</v>
      </c>
      <c r="R286" s="27" t="n">
        <f aca="false">O286</f>
        <v>0</v>
      </c>
      <c r="S286" s="27" t="n">
        <f aca="false">P286</f>
        <v>0</v>
      </c>
    </row>
    <row r="287" customFormat="false" ht="12.75" hidden="false" customHeight="false" outlineLevel="0" collapsed="false">
      <c r="C287" s="27" t="n">
        <f aca="false">IF(ISNUMBER(kinematics!O129),kinematics!O129,IF(ISNUMBER(kinematics!$O$30),MIN(kinematics!$O$30:$O$210),180))</f>
        <v>177.265</v>
      </c>
      <c r="D287" s="205" t="n">
        <f aca="false">IF(ISNUMBER(kinematics!O129),kinematics!N129,0)</f>
        <v>0</v>
      </c>
      <c r="E287" s="205" t="n">
        <f aca="false">IF(ISNUMBER(kinematics!O129),kinematics!R129,0)</f>
        <v>0</v>
      </c>
      <c r="I287" s="27" t="n">
        <f aca="false">C287</f>
        <v>177.265</v>
      </c>
      <c r="J287" s="205" t="n">
        <f aca="false">IF(ISNUMBER(kinematics!O129),kinematics!P129,0)</f>
        <v>0</v>
      </c>
      <c r="K287" s="205" t="n">
        <f aca="false">IF(ISNUMBER(kinematics!O129),kinematics!S129,0)</f>
        <v>0</v>
      </c>
      <c r="M287" s="205" t="n">
        <f aca="false">IF(ISNUMBER(kinematics!O129),kinematics!N129,MAX($D$6:$D$186))</f>
        <v>85</v>
      </c>
      <c r="N287" s="205" t="n">
        <f aca="false">IF(ISNUMBER(kinematics!O129),kinematics!P129,0)</f>
        <v>0</v>
      </c>
      <c r="O287" s="205" t="n">
        <f aca="false">IF(ISNUMBER(kinematics!O129),kinematics!R129,0)</f>
        <v>0</v>
      </c>
      <c r="P287" s="205" t="n">
        <f aca="false">IF(ISNUMBER(kinematics!O129),kinematics!S129,0)</f>
        <v>0</v>
      </c>
      <c r="R287" s="27" t="n">
        <f aca="false">O287</f>
        <v>0</v>
      </c>
      <c r="S287" s="27" t="n">
        <f aca="false">P287</f>
        <v>0</v>
      </c>
    </row>
    <row r="288" customFormat="false" ht="12.75" hidden="false" customHeight="false" outlineLevel="0" collapsed="false">
      <c r="C288" s="27" t="n">
        <f aca="false">IF(ISNUMBER(kinematics!O130),kinematics!O130,IF(ISNUMBER(kinematics!$O$30),MIN(kinematics!$O$30:$O$210),180))</f>
        <v>177.265</v>
      </c>
      <c r="D288" s="205" t="n">
        <f aca="false">IF(ISNUMBER(kinematics!O130),kinematics!N130,0)</f>
        <v>0</v>
      </c>
      <c r="E288" s="205" t="n">
        <f aca="false">IF(ISNUMBER(kinematics!O130),kinematics!R130,0)</f>
        <v>0</v>
      </c>
      <c r="I288" s="27" t="n">
        <f aca="false">C288</f>
        <v>177.265</v>
      </c>
      <c r="J288" s="205" t="n">
        <f aca="false">IF(ISNUMBER(kinematics!O130),kinematics!P130,0)</f>
        <v>0</v>
      </c>
      <c r="K288" s="205" t="n">
        <f aca="false">IF(ISNUMBER(kinematics!O130),kinematics!S130,0)</f>
        <v>0</v>
      </c>
      <c r="M288" s="205" t="n">
        <f aca="false">IF(ISNUMBER(kinematics!O130),kinematics!N130,MAX($D$6:$D$186))</f>
        <v>85</v>
      </c>
      <c r="N288" s="205" t="n">
        <f aca="false">IF(ISNUMBER(kinematics!O130),kinematics!P130,0)</f>
        <v>0</v>
      </c>
      <c r="O288" s="205" t="n">
        <f aca="false">IF(ISNUMBER(kinematics!O130),kinematics!R130,0)</f>
        <v>0</v>
      </c>
      <c r="P288" s="205" t="n">
        <f aca="false">IF(ISNUMBER(kinematics!O130),kinematics!S130,0)</f>
        <v>0</v>
      </c>
      <c r="R288" s="27" t="n">
        <f aca="false">O288</f>
        <v>0</v>
      </c>
      <c r="S288" s="27" t="n">
        <f aca="false">P288</f>
        <v>0</v>
      </c>
    </row>
    <row r="289" customFormat="false" ht="12.75" hidden="false" customHeight="false" outlineLevel="0" collapsed="false">
      <c r="C289" s="27" t="n">
        <f aca="false">IF(ISNUMBER(kinematics!O131),kinematics!O131,IF(ISNUMBER(kinematics!$O$30),MIN(kinematics!$O$30:$O$210),180))</f>
        <v>177.265</v>
      </c>
      <c r="D289" s="205" t="n">
        <f aca="false">IF(ISNUMBER(kinematics!O131),kinematics!N131,0)</f>
        <v>0</v>
      </c>
      <c r="E289" s="205" t="n">
        <f aca="false">IF(ISNUMBER(kinematics!O131),kinematics!R131,0)</f>
        <v>0</v>
      </c>
      <c r="I289" s="27" t="n">
        <f aca="false">C289</f>
        <v>177.265</v>
      </c>
      <c r="J289" s="205" t="n">
        <f aca="false">IF(ISNUMBER(kinematics!O131),kinematics!P131,0)</f>
        <v>0</v>
      </c>
      <c r="K289" s="205" t="n">
        <f aca="false">IF(ISNUMBER(kinematics!O131),kinematics!S131,0)</f>
        <v>0</v>
      </c>
      <c r="M289" s="205" t="n">
        <f aca="false">IF(ISNUMBER(kinematics!O131),kinematics!N131,MAX($D$6:$D$186))</f>
        <v>85</v>
      </c>
      <c r="N289" s="205" t="n">
        <f aca="false">IF(ISNUMBER(kinematics!O131),kinematics!P131,0)</f>
        <v>0</v>
      </c>
      <c r="O289" s="205" t="n">
        <f aca="false">IF(ISNUMBER(kinematics!O131),kinematics!R131,0)</f>
        <v>0</v>
      </c>
      <c r="P289" s="205" t="n">
        <f aca="false">IF(ISNUMBER(kinematics!O131),kinematics!S131,0)</f>
        <v>0</v>
      </c>
      <c r="R289" s="27" t="n">
        <f aca="false">O289</f>
        <v>0</v>
      </c>
      <c r="S289" s="27" t="n">
        <f aca="false">P289</f>
        <v>0</v>
      </c>
    </row>
    <row r="290" customFormat="false" ht="12.75" hidden="false" customHeight="false" outlineLevel="0" collapsed="false">
      <c r="C290" s="27" t="n">
        <f aca="false">IF(ISNUMBER(kinematics!O132),kinematics!O132,IF(ISNUMBER(kinematics!$O$30),MIN(kinematics!$O$30:$O$210),180))</f>
        <v>177.265</v>
      </c>
      <c r="D290" s="205" t="n">
        <f aca="false">IF(ISNUMBER(kinematics!O132),kinematics!N132,0)</f>
        <v>0</v>
      </c>
      <c r="E290" s="205" t="n">
        <f aca="false">IF(ISNUMBER(kinematics!O132),kinematics!R132,0)</f>
        <v>0</v>
      </c>
      <c r="I290" s="27" t="n">
        <f aca="false">C290</f>
        <v>177.265</v>
      </c>
      <c r="J290" s="205" t="n">
        <f aca="false">IF(ISNUMBER(kinematics!O132),kinematics!P132,0)</f>
        <v>0</v>
      </c>
      <c r="K290" s="205" t="n">
        <f aca="false">IF(ISNUMBER(kinematics!O132),kinematics!S132,0)</f>
        <v>0</v>
      </c>
      <c r="M290" s="205" t="n">
        <f aca="false">IF(ISNUMBER(kinematics!O132),kinematics!N132,MAX($D$6:$D$186))</f>
        <v>85</v>
      </c>
      <c r="N290" s="205" t="n">
        <f aca="false">IF(ISNUMBER(kinematics!O132),kinematics!P132,0)</f>
        <v>0</v>
      </c>
      <c r="O290" s="205" t="n">
        <f aca="false">IF(ISNUMBER(kinematics!O132),kinematics!R132,0)</f>
        <v>0</v>
      </c>
      <c r="P290" s="205" t="n">
        <f aca="false">IF(ISNUMBER(kinematics!O132),kinematics!S132,0)</f>
        <v>0</v>
      </c>
      <c r="R290" s="27" t="n">
        <f aca="false">O290</f>
        <v>0</v>
      </c>
      <c r="S290" s="27" t="n">
        <f aca="false">P290</f>
        <v>0</v>
      </c>
    </row>
    <row r="291" customFormat="false" ht="12.75" hidden="false" customHeight="false" outlineLevel="0" collapsed="false">
      <c r="C291" s="27" t="n">
        <f aca="false">IF(ISNUMBER(kinematics!O133),kinematics!O133,IF(ISNUMBER(kinematics!$O$30),MIN(kinematics!$O$30:$O$210),180))</f>
        <v>177.265</v>
      </c>
      <c r="D291" s="205" t="n">
        <f aca="false">IF(ISNUMBER(kinematics!O133),kinematics!N133,0)</f>
        <v>0</v>
      </c>
      <c r="E291" s="205" t="n">
        <f aca="false">IF(ISNUMBER(kinematics!O133),kinematics!R133,0)</f>
        <v>0</v>
      </c>
      <c r="I291" s="27" t="n">
        <f aca="false">C291</f>
        <v>177.265</v>
      </c>
      <c r="J291" s="205" t="n">
        <f aca="false">IF(ISNUMBER(kinematics!O133),kinematics!P133,0)</f>
        <v>0</v>
      </c>
      <c r="K291" s="205" t="n">
        <f aca="false">IF(ISNUMBER(kinematics!O133),kinematics!S133,0)</f>
        <v>0</v>
      </c>
      <c r="M291" s="205" t="n">
        <f aca="false">IF(ISNUMBER(kinematics!O133),kinematics!N133,MAX($D$6:$D$186))</f>
        <v>85</v>
      </c>
      <c r="N291" s="205" t="n">
        <f aca="false">IF(ISNUMBER(kinematics!O133),kinematics!P133,0)</f>
        <v>0</v>
      </c>
      <c r="O291" s="205" t="n">
        <f aca="false">IF(ISNUMBER(kinematics!O133),kinematics!R133,0)</f>
        <v>0</v>
      </c>
      <c r="P291" s="205" t="n">
        <f aca="false">IF(ISNUMBER(kinematics!O133),kinematics!S133,0)</f>
        <v>0</v>
      </c>
      <c r="R291" s="27" t="n">
        <f aca="false">O291</f>
        <v>0</v>
      </c>
      <c r="S291" s="27" t="n">
        <f aca="false">P291</f>
        <v>0</v>
      </c>
    </row>
    <row r="292" customFormat="false" ht="12.75" hidden="false" customHeight="false" outlineLevel="0" collapsed="false">
      <c r="C292" s="27" t="n">
        <f aca="false">IF(ISNUMBER(kinematics!O134),kinematics!O134,IF(ISNUMBER(kinematics!$O$30),MIN(kinematics!$O$30:$O$210),180))</f>
        <v>177.265</v>
      </c>
      <c r="D292" s="205" t="n">
        <f aca="false">IF(ISNUMBER(kinematics!O134),kinematics!N134,0)</f>
        <v>0</v>
      </c>
      <c r="E292" s="205" t="n">
        <f aca="false">IF(ISNUMBER(kinematics!O134),kinematics!R134,0)</f>
        <v>0</v>
      </c>
      <c r="I292" s="27" t="n">
        <f aca="false">C292</f>
        <v>177.265</v>
      </c>
      <c r="J292" s="205" t="n">
        <f aca="false">IF(ISNUMBER(kinematics!O134),kinematics!P134,0)</f>
        <v>0</v>
      </c>
      <c r="K292" s="205" t="n">
        <f aca="false">IF(ISNUMBER(kinematics!O134),kinematics!S134,0)</f>
        <v>0</v>
      </c>
      <c r="M292" s="205" t="n">
        <f aca="false">IF(ISNUMBER(kinematics!O134),kinematics!N134,MAX($D$6:$D$186))</f>
        <v>85</v>
      </c>
      <c r="N292" s="205" t="n">
        <f aca="false">IF(ISNUMBER(kinematics!O134),kinematics!P134,0)</f>
        <v>0</v>
      </c>
      <c r="O292" s="205" t="n">
        <f aca="false">IF(ISNUMBER(kinematics!O134),kinematics!R134,0)</f>
        <v>0</v>
      </c>
      <c r="P292" s="205" t="n">
        <f aca="false">IF(ISNUMBER(kinematics!O134),kinematics!S134,0)</f>
        <v>0</v>
      </c>
      <c r="R292" s="27" t="n">
        <f aca="false">O292</f>
        <v>0</v>
      </c>
      <c r="S292" s="27" t="n">
        <f aca="false">P292</f>
        <v>0</v>
      </c>
    </row>
    <row r="293" customFormat="false" ht="12.75" hidden="false" customHeight="false" outlineLevel="0" collapsed="false">
      <c r="C293" s="27" t="n">
        <f aca="false">IF(ISNUMBER(kinematics!O135),kinematics!O135,IF(ISNUMBER(kinematics!$O$30),MIN(kinematics!$O$30:$O$210),180))</f>
        <v>177.265</v>
      </c>
      <c r="D293" s="205" t="n">
        <f aca="false">IF(ISNUMBER(kinematics!O135),kinematics!N135,0)</f>
        <v>0</v>
      </c>
      <c r="E293" s="205" t="n">
        <f aca="false">IF(ISNUMBER(kinematics!O135),kinematics!R135,0)</f>
        <v>0</v>
      </c>
      <c r="I293" s="27" t="n">
        <f aca="false">C293</f>
        <v>177.265</v>
      </c>
      <c r="J293" s="205" t="n">
        <f aca="false">IF(ISNUMBER(kinematics!O135),kinematics!P135,0)</f>
        <v>0</v>
      </c>
      <c r="K293" s="205" t="n">
        <f aca="false">IF(ISNUMBER(kinematics!O135),kinematics!S135,0)</f>
        <v>0</v>
      </c>
      <c r="M293" s="205" t="n">
        <f aca="false">IF(ISNUMBER(kinematics!O135),kinematics!N135,MAX($D$6:$D$186))</f>
        <v>85</v>
      </c>
      <c r="N293" s="205" t="n">
        <f aca="false">IF(ISNUMBER(kinematics!O135),kinematics!P135,0)</f>
        <v>0</v>
      </c>
      <c r="O293" s="205" t="n">
        <f aca="false">IF(ISNUMBER(kinematics!O135),kinematics!R135,0)</f>
        <v>0</v>
      </c>
      <c r="P293" s="205" t="n">
        <f aca="false">IF(ISNUMBER(kinematics!O135),kinematics!S135,0)</f>
        <v>0</v>
      </c>
      <c r="R293" s="27" t="n">
        <f aca="false">O293</f>
        <v>0</v>
      </c>
      <c r="S293" s="27" t="n">
        <f aca="false">P293</f>
        <v>0</v>
      </c>
    </row>
    <row r="294" customFormat="false" ht="12.75" hidden="false" customHeight="false" outlineLevel="0" collapsed="false">
      <c r="C294" s="27" t="n">
        <f aca="false">IF(ISNUMBER(kinematics!O136),kinematics!O136,IF(ISNUMBER(kinematics!$O$30),MIN(kinematics!$O$30:$O$210),180))</f>
        <v>177.265</v>
      </c>
      <c r="D294" s="205" t="n">
        <f aca="false">IF(ISNUMBER(kinematics!O136),kinematics!N136,0)</f>
        <v>0</v>
      </c>
      <c r="E294" s="205" t="n">
        <f aca="false">IF(ISNUMBER(kinematics!O136),kinematics!R136,0)</f>
        <v>0</v>
      </c>
      <c r="I294" s="27" t="n">
        <f aca="false">C294</f>
        <v>177.265</v>
      </c>
      <c r="J294" s="205" t="n">
        <f aca="false">IF(ISNUMBER(kinematics!O136),kinematics!P136,0)</f>
        <v>0</v>
      </c>
      <c r="K294" s="205" t="n">
        <f aca="false">IF(ISNUMBER(kinematics!O136),kinematics!S136,0)</f>
        <v>0</v>
      </c>
      <c r="M294" s="205" t="n">
        <f aca="false">IF(ISNUMBER(kinematics!O136),kinematics!N136,MAX($D$6:$D$186))</f>
        <v>85</v>
      </c>
      <c r="N294" s="205" t="n">
        <f aca="false">IF(ISNUMBER(kinematics!O136),kinematics!P136,0)</f>
        <v>0</v>
      </c>
      <c r="O294" s="205" t="n">
        <f aca="false">IF(ISNUMBER(kinematics!O136),kinematics!R136,0)</f>
        <v>0</v>
      </c>
      <c r="P294" s="205" t="n">
        <f aca="false">IF(ISNUMBER(kinematics!O136),kinematics!S136,0)</f>
        <v>0</v>
      </c>
      <c r="R294" s="27" t="n">
        <f aca="false">O294</f>
        <v>0</v>
      </c>
      <c r="S294" s="27" t="n">
        <f aca="false">P294</f>
        <v>0</v>
      </c>
    </row>
    <row r="295" customFormat="false" ht="12.75" hidden="false" customHeight="false" outlineLevel="0" collapsed="false">
      <c r="C295" s="27" t="n">
        <f aca="false">IF(ISNUMBER(kinematics!O137),kinematics!O137,IF(ISNUMBER(kinematics!$O$30),MIN(kinematics!$O$30:$O$210),180))</f>
        <v>177.265</v>
      </c>
      <c r="D295" s="205" t="n">
        <f aca="false">IF(ISNUMBER(kinematics!O137),kinematics!N137,0)</f>
        <v>0</v>
      </c>
      <c r="E295" s="205" t="n">
        <f aca="false">IF(ISNUMBER(kinematics!O137),kinematics!R137,0)</f>
        <v>0</v>
      </c>
      <c r="I295" s="27" t="n">
        <f aca="false">C295</f>
        <v>177.265</v>
      </c>
      <c r="J295" s="205" t="n">
        <f aca="false">IF(ISNUMBER(kinematics!O137),kinematics!P137,0)</f>
        <v>0</v>
      </c>
      <c r="K295" s="205" t="n">
        <f aca="false">IF(ISNUMBER(kinematics!O137),kinematics!S137,0)</f>
        <v>0</v>
      </c>
      <c r="M295" s="205" t="n">
        <f aca="false">IF(ISNUMBER(kinematics!O137),kinematics!N137,MAX($D$6:$D$186))</f>
        <v>85</v>
      </c>
      <c r="N295" s="205" t="n">
        <f aca="false">IF(ISNUMBER(kinematics!O137),kinematics!P137,0)</f>
        <v>0</v>
      </c>
      <c r="O295" s="205" t="n">
        <f aca="false">IF(ISNUMBER(kinematics!O137),kinematics!R137,0)</f>
        <v>0</v>
      </c>
      <c r="P295" s="205" t="n">
        <f aca="false">IF(ISNUMBER(kinematics!O137),kinematics!S137,0)</f>
        <v>0</v>
      </c>
      <c r="R295" s="27" t="n">
        <f aca="false">O295</f>
        <v>0</v>
      </c>
      <c r="S295" s="27" t="n">
        <f aca="false">P295</f>
        <v>0</v>
      </c>
    </row>
    <row r="296" customFormat="false" ht="12.75" hidden="false" customHeight="false" outlineLevel="0" collapsed="false">
      <c r="C296" s="27" t="n">
        <f aca="false">IF(ISNUMBER(kinematics!O138),kinematics!O138,IF(ISNUMBER(kinematics!$O$30),MIN(kinematics!$O$30:$O$210),180))</f>
        <v>177.265</v>
      </c>
      <c r="D296" s="205" t="n">
        <f aca="false">IF(ISNUMBER(kinematics!O138),kinematics!N138,0)</f>
        <v>0</v>
      </c>
      <c r="E296" s="205" t="n">
        <f aca="false">IF(ISNUMBER(kinematics!O138),kinematics!R138,0)</f>
        <v>0</v>
      </c>
      <c r="I296" s="27" t="n">
        <f aca="false">C296</f>
        <v>177.265</v>
      </c>
      <c r="J296" s="205" t="n">
        <f aca="false">IF(ISNUMBER(kinematics!O138),kinematics!P138,0)</f>
        <v>0</v>
      </c>
      <c r="K296" s="205" t="n">
        <f aca="false">IF(ISNUMBER(kinematics!O138),kinematics!S138,0)</f>
        <v>0</v>
      </c>
      <c r="M296" s="205" t="n">
        <f aca="false">IF(ISNUMBER(kinematics!O138),kinematics!N138,MAX($D$6:$D$186))</f>
        <v>85</v>
      </c>
      <c r="N296" s="205" t="n">
        <f aca="false">IF(ISNUMBER(kinematics!O138),kinematics!P138,0)</f>
        <v>0</v>
      </c>
      <c r="O296" s="205" t="n">
        <f aca="false">IF(ISNUMBER(kinematics!O138),kinematics!R138,0)</f>
        <v>0</v>
      </c>
      <c r="P296" s="205" t="n">
        <f aca="false">IF(ISNUMBER(kinematics!O138),kinematics!S138,0)</f>
        <v>0</v>
      </c>
      <c r="R296" s="27" t="n">
        <f aca="false">O296</f>
        <v>0</v>
      </c>
      <c r="S296" s="27" t="n">
        <f aca="false">P296</f>
        <v>0</v>
      </c>
    </row>
    <row r="297" customFormat="false" ht="12.75" hidden="false" customHeight="false" outlineLevel="0" collapsed="false">
      <c r="C297" s="27" t="n">
        <f aca="false">IF(ISNUMBER(kinematics!O139),kinematics!O139,IF(ISNUMBER(kinematics!$O$30),MIN(kinematics!$O$30:$O$210),180))</f>
        <v>177.265</v>
      </c>
      <c r="D297" s="205" t="n">
        <f aca="false">IF(ISNUMBER(kinematics!O139),kinematics!N139,0)</f>
        <v>0</v>
      </c>
      <c r="E297" s="205" t="n">
        <f aca="false">IF(ISNUMBER(kinematics!O139),kinematics!R139,0)</f>
        <v>0</v>
      </c>
      <c r="I297" s="27" t="n">
        <f aca="false">C297</f>
        <v>177.265</v>
      </c>
      <c r="J297" s="205" t="n">
        <f aca="false">IF(ISNUMBER(kinematics!O139),kinematics!P139,0)</f>
        <v>0</v>
      </c>
      <c r="K297" s="205" t="n">
        <f aca="false">IF(ISNUMBER(kinematics!O139),kinematics!S139,0)</f>
        <v>0</v>
      </c>
      <c r="M297" s="205" t="n">
        <f aca="false">IF(ISNUMBER(kinematics!O139),kinematics!N139,MAX($D$6:$D$186))</f>
        <v>85</v>
      </c>
      <c r="N297" s="205" t="n">
        <f aca="false">IF(ISNUMBER(kinematics!O139),kinematics!P139,0)</f>
        <v>0</v>
      </c>
      <c r="O297" s="205" t="n">
        <f aca="false">IF(ISNUMBER(kinematics!O139),kinematics!R139,0)</f>
        <v>0</v>
      </c>
      <c r="P297" s="205" t="n">
        <f aca="false">IF(ISNUMBER(kinematics!O139),kinematics!S139,0)</f>
        <v>0</v>
      </c>
      <c r="R297" s="27" t="n">
        <f aca="false">O297</f>
        <v>0</v>
      </c>
      <c r="S297" s="27" t="n">
        <f aca="false">P297</f>
        <v>0</v>
      </c>
    </row>
    <row r="298" customFormat="false" ht="12.75" hidden="false" customHeight="false" outlineLevel="0" collapsed="false">
      <c r="C298" s="27" t="n">
        <f aca="false">IF(ISNUMBER(kinematics!O140),kinematics!O140,IF(ISNUMBER(kinematics!$O$30),MIN(kinematics!$O$30:$O$210),180))</f>
        <v>177.265</v>
      </c>
      <c r="D298" s="205" t="n">
        <f aca="false">IF(ISNUMBER(kinematics!O140),kinematics!N140,0)</f>
        <v>0</v>
      </c>
      <c r="E298" s="205" t="n">
        <f aca="false">IF(ISNUMBER(kinematics!O140),kinematics!R140,0)</f>
        <v>0</v>
      </c>
      <c r="I298" s="27" t="n">
        <f aca="false">C298</f>
        <v>177.265</v>
      </c>
      <c r="J298" s="205" t="n">
        <f aca="false">IF(ISNUMBER(kinematics!O140),kinematics!P140,0)</f>
        <v>0</v>
      </c>
      <c r="K298" s="205" t="n">
        <f aca="false">IF(ISNUMBER(kinematics!O140),kinematics!S140,0)</f>
        <v>0</v>
      </c>
      <c r="M298" s="205" t="n">
        <f aca="false">IF(ISNUMBER(kinematics!O140),kinematics!N140,MAX($D$6:$D$186))</f>
        <v>85</v>
      </c>
      <c r="N298" s="205" t="n">
        <f aca="false">IF(ISNUMBER(kinematics!O140),kinematics!P140,0)</f>
        <v>0</v>
      </c>
      <c r="O298" s="205" t="n">
        <f aca="false">IF(ISNUMBER(kinematics!O140),kinematics!R140,0)</f>
        <v>0</v>
      </c>
      <c r="P298" s="205" t="n">
        <f aca="false">IF(ISNUMBER(kinematics!O140),kinematics!S140,0)</f>
        <v>0</v>
      </c>
      <c r="R298" s="27" t="n">
        <f aca="false">O298</f>
        <v>0</v>
      </c>
      <c r="S298" s="27" t="n">
        <f aca="false">P298</f>
        <v>0</v>
      </c>
    </row>
    <row r="299" customFormat="false" ht="12.75" hidden="false" customHeight="false" outlineLevel="0" collapsed="false">
      <c r="C299" s="27" t="n">
        <f aca="false">IF(ISNUMBER(kinematics!O141),kinematics!O141,IF(ISNUMBER(kinematics!$O$30),MIN(kinematics!$O$30:$O$210),180))</f>
        <v>177.265</v>
      </c>
      <c r="D299" s="205" t="n">
        <f aca="false">IF(ISNUMBER(kinematics!O141),kinematics!N141,0)</f>
        <v>0</v>
      </c>
      <c r="E299" s="205" t="n">
        <f aca="false">IF(ISNUMBER(kinematics!O141),kinematics!R141,0)</f>
        <v>0</v>
      </c>
      <c r="I299" s="27" t="n">
        <f aca="false">C299</f>
        <v>177.265</v>
      </c>
      <c r="J299" s="205" t="n">
        <f aca="false">IF(ISNUMBER(kinematics!O141),kinematics!P141,0)</f>
        <v>0</v>
      </c>
      <c r="K299" s="205" t="n">
        <f aca="false">IF(ISNUMBER(kinematics!O141),kinematics!S141,0)</f>
        <v>0</v>
      </c>
      <c r="M299" s="205" t="n">
        <f aca="false">IF(ISNUMBER(kinematics!O141),kinematics!N141,MAX($D$6:$D$186))</f>
        <v>85</v>
      </c>
      <c r="N299" s="205" t="n">
        <f aca="false">IF(ISNUMBER(kinematics!O141),kinematics!P141,0)</f>
        <v>0</v>
      </c>
      <c r="O299" s="205" t="n">
        <f aca="false">IF(ISNUMBER(kinematics!O141),kinematics!R141,0)</f>
        <v>0</v>
      </c>
      <c r="P299" s="205" t="n">
        <f aca="false">IF(ISNUMBER(kinematics!O141),kinematics!S141,0)</f>
        <v>0</v>
      </c>
      <c r="R299" s="27" t="n">
        <f aca="false">O299</f>
        <v>0</v>
      </c>
      <c r="S299" s="27" t="n">
        <f aca="false">P299</f>
        <v>0</v>
      </c>
    </row>
    <row r="300" customFormat="false" ht="12.75" hidden="false" customHeight="false" outlineLevel="0" collapsed="false">
      <c r="C300" s="27" t="n">
        <f aca="false">IF(ISNUMBER(kinematics!O142),kinematics!O142,IF(ISNUMBER(kinematics!$O$30),MIN(kinematics!$O$30:$O$210),180))</f>
        <v>177.265</v>
      </c>
      <c r="D300" s="205" t="n">
        <f aca="false">IF(ISNUMBER(kinematics!O142),kinematics!N142,0)</f>
        <v>0</v>
      </c>
      <c r="E300" s="205" t="n">
        <f aca="false">IF(ISNUMBER(kinematics!O142),kinematics!R142,0)</f>
        <v>0</v>
      </c>
      <c r="I300" s="27" t="n">
        <f aca="false">C300</f>
        <v>177.265</v>
      </c>
      <c r="J300" s="205" t="n">
        <f aca="false">IF(ISNUMBER(kinematics!O142),kinematics!P142,0)</f>
        <v>0</v>
      </c>
      <c r="K300" s="205" t="n">
        <f aca="false">IF(ISNUMBER(kinematics!O142),kinematics!S142,0)</f>
        <v>0</v>
      </c>
      <c r="M300" s="205" t="n">
        <f aca="false">IF(ISNUMBER(kinematics!O142),kinematics!N142,MAX($D$6:$D$186))</f>
        <v>85</v>
      </c>
      <c r="N300" s="205" t="n">
        <f aca="false">IF(ISNUMBER(kinematics!O142),kinematics!P142,0)</f>
        <v>0</v>
      </c>
      <c r="O300" s="205" t="n">
        <f aca="false">IF(ISNUMBER(kinematics!O142),kinematics!R142,0)</f>
        <v>0</v>
      </c>
      <c r="P300" s="205" t="n">
        <f aca="false">IF(ISNUMBER(kinematics!O142),kinematics!S142,0)</f>
        <v>0</v>
      </c>
      <c r="R300" s="27" t="n">
        <f aca="false">O300</f>
        <v>0</v>
      </c>
      <c r="S300" s="27" t="n">
        <f aca="false">P300</f>
        <v>0</v>
      </c>
    </row>
    <row r="301" customFormat="false" ht="12.75" hidden="false" customHeight="false" outlineLevel="0" collapsed="false">
      <c r="C301" s="27" t="n">
        <f aca="false">IF(ISNUMBER(kinematics!O143),kinematics!O143,IF(ISNUMBER(kinematics!$O$30),MIN(kinematics!$O$30:$O$210),180))</f>
        <v>177.265</v>
      </c>
      <c r="D301" s="205" t="n">
        <f aca="false">IF(ISNUMBER(kinematics!O143),kinematics!N143,0)</f>
        <v>0</v>
      </c>
      <c r="E301" s="205" t="n">
        <f aca="false">IF(ISNUMBER(kinematics!O143),kinematics!R143,0)</f>
        <v>0</v>
      </c>
      <c r="I301" s="27" t="n">
        <f aca="false">C301</f>
        <v>177.265</v>
      </c>
      <c r="J301" s="205" t="n">
        <f aca="false">IF(ISNUMBER(kinematics!O143),kinematics!P143,0)</f>
        <v>0</v>
      </c>
      <c r="K301" s="205" t="n">
        <f aca="false">IF(ISNUMBER(kinematics!O143),kinematics!S143,0)</f>
        <v>0</v>
      </c>
      <c r="M301" s="205" t="n">
        <f aca="false">IF(ISNUMBER(kinematics!O143),kinematics!N143,MAX($D$6:$D$186))</f>
        <v>85</v>
      </c>
      <c r="N301" s="205" t="n">
        <f aca="false">IF(ISNUMBER(kinematics!O143),kinematics!P143,0)</f>
        <v>0</v>
      </c>
      <c r="O301" s="205" t="n">
        <f aca="false">IF(ISNUMBER(kinematics!O143),kinematics!R143,0)</f>
        <v>0</v>
      </c>
      <c r="P301" s="205" t="n">
        <f aca="false">IF(ISNUMBER(kinematics!O143),kinematics!S143,0)</f>
        <v>0</v>
      </c>
      <c r="R301" s="27" t="n">
        <f aca="false">O301</f>
        <v>0</v>
      </c>
      <c r="S301" s="27" t="n">
        <f aca="false">P301</f>
        <v>0</v>
      </c>
    </row>
    <row r="302" customFormat="false" ht="12.75" hidden="false" customHeight="false" outlineLevel="0" collapsed="false">
      <c r="C302" s="27" t="n">
        <f aca="false">IF(ISNUMBER(kinematics!O144),kinematics!O144,IF(ISNUMBER(kinematics!$O$30),MIN(kinematics!$O$30:$O$210),180))</f>
        <v>177.265</v>
      </c>
      <c r="D302" s="205" t="n">
        <f aca="false">IF(ISNUMBER(kinematics!O144),kinematics!N144,0)</f>
        <v>0</v>
      </c>
      <c r="E302" s="205" t="n">
        <f aca="false">IF(ISNUMBER(kinematics!O144),kinematics!R144,0)</f>
        <v>0</v>
      </c>
      <c r="I302" s="27" t="n">
        <f aca="false">C302</f>
        <v>177.265</v>
      </c>
      <c r="J302" s="205" t="n">
        <f aca="false">IF(ISNUMBER(kinematics!O144),kinematics!P144,0)</f>
        <v>0</v>
      </c>
      <c r="K302" s="205" t="n">
        <f aca="false">IF(ISNUMBER(kinematics!O144),kinematics!S144,0)</f>
        <v>0</v>
      </c>
      <c r="M302" s="205" t="n">
        <f aca="false">IF(ISNUMBER(kinematics!O144),kinematics!N144,MAX($D$6:$D$186))</f>
        <v>85</v>
      </c>
      <c r="N302" s="205" t="n">
        <f aca="false">IF(ISNUMBER(kinematics!O144),kinematics!P144,0)</f>
        <v>0</v>
      </c>
      <c r="O302" s="205" t="n">
        <f aca="false">IF(ISNUMBER(kinematics!O144),kinematics!R144,0)</f>
        <v>0</v>
      </c>
      <c r="P302" s="205" t="n">
        <f aca="false">IF(ISNUMBER(kinematics!O144),kinematics!S144,0)</f>
        <v>0</v>
      </c>
      <c r="R302" s="27" t="n">
        <f aca="false">O302</f>
        <v>0</v>
      </c>
      <c r="S302" s="27" t="n">
        <f aca="false">P302</f>
        <v>0</v>
      </c>
    </row>
    <row r="303" customFormat="false" ht="12.75" hidden="false" customHeight="false" outlineLevel="0" collapsed="false">
      <c r="C303" s="27" t="n">
        <f aca="false">IF(ISNUMBER(kinematics!O145),kinematics!O145,IF(ISNUMBER(kinematics!$O$30),MIN(kinematics!$O$30:$O$210),180))</f>
        <v>177.265</v>
      </c>
      <c r="D303" s="205" t="n">
        <f aca="false">IF(ISNUMBER(kinematics!O145),kinematics!N145,0)</f>
        <v>0</v>
      </c>
      <c r="E303" s="205" t="n">
        <f aca="false">IF(ISNUMBER(kinematics!O145),kinematics!R145,0)</f>
        <v>0</v>
      </c>
      <c r="I303" s="27" t="n">
        <f aca="false">C303</f>
        <v>177.265</v>
      </c>
      <c r="J303" s="205" t="n">
        <f aca="false">IF(ISNUMBER(kinematics!O145),kinematics!P145,0)</f>
        <v>0</v>
      </c>
      <c r="K303" s="205" t="n">
        <f aca="false">IF(ISNUMBER(kinematics!O145),kinematics!S145,0)</f>
        <v>0</v>
      </c>
      <c r="M303" s="205" t="n">
        <f aca="false">IF(ISNUMBER(kinematics!O145),kinematics!N145,MAX($D$6:$D$186))</f>
        <v>85</v>
      </c>
      <c r="N303" s="205" t="n">
        <f aca="false">IF(ISNUMBER(kinematics!O145),kinematics!P145,0)</f>
        <v>0</v>
      </c>
      <c r="O303" s="205" t="n">
        <f aca="false">IF(ISNUMBER(kinematics!O145),kinematics!R145,0)</f>
        <v>0</v>
      </c>
      <c r="P303" s="205" t="n">
        <f aca="false">IF(ISNUMBER(kinematics!O145),kinematics!S145,0)</f>
        <v>0</v>
      </c>
      <c r="R303" s="27" t="n">
        <f aca="false">O303</f>
        <v>0</v>
      </c>
      <c r="S303" s="27" t="n">
        <f aca="false">P303</f>
        <v>0</v>
      </c>
    </row>
    <row r="304" customFormat="false" ht="12.75" hidden="false" customHeight="false" outlineLevel="0" collapsed="false">
      <c r="C304" s="27" t="n">
        <f aca="false">IF(ISNUMBER(kinematics!O146),kinematics!O146,IF(ISNUMBER(kinematics!$O$30),MIN(kinematics!$O$30:$O$210),180))</f>
        <v>177.265</v>
      </c>
      <c r="D304" s="205" t="n">
        <f aca="false">IF(ISNUMBER(kinematics!O146),kinematics!N146,0)</f>
        <v>0</v>
      </c>
      <c r="E304" s="205" t="n">
        <f aca="false">IF(ISNUMBER(kinematics!O146),kinematics!R146,0)</f>
        <v>0</v>
      </c>
      <c r="I304" s="27" t="n">
        <f aca="false">C304</f>
        <v>177.265</v>
      </c>
      <c r="J304" s="205" t="n">
        <f aca="false">IF(ISNUMBER(kinematics!O146),kinematics!P146,0)</f>
        <v>0</v>
      </c>
      <c r="K304" s="205" t="n">
        <f aca="false">IF(ISNUMBER(kinematics!O146),kinematics!S146,0)</f>
        <v>0</v>
      </c>
      <c r="M304" s="205" t="n">
        <f aca="false">IF(ISNUMBER(kinematics!O146),kinematics!N146,MAX($D$6:$D$186))</f>
        <v>85</v>
      </c>
      <c r="N304" s="205" t="n">
        <f aca="false">IF(ISNUMBER(kinematics!O146),kinematics!P146,0)</f>
        <v>0</v>
      </c>
      <c r="O304" s="205" t="n">
        <f aca="false">IF(ISNUMBER(kinematics!O146),kinematics!R146,0)</f>
        <v>0</v>
      </c>
      <c r="P304" s="205" t="n">
        <f aca="false">IF(ISNUMBER(kinematics!O146),kinematics!S146,0)</f>
        <v>0</v>
      </c>
      <c r="R304" s="27" t="n">
        <f aca="false">O304</f>
        <v>0</v>
      </c>
      <c r="S304" s="27" t="n">
        <f aca="false">P304</f>
        <v>0</v>
      </c>
    </row>
    <row r="305" customFormat="false" ht="12.75" hidden="false" customHeight="false" outlineLevel="0" collapsed="false">
      <c r="C305" s="27" t="n">
        <f aca="false">IF(ISNUMBER(kinematics!O147),kinematics!O147,IF(ISNUMBER(kinematics!$O$30),MIN(kinematics!$O$30:$O$210),180))</f>
        <v>177.265</v>
      </c>
      <c r="D305" s="205" t="n">
        <f aca="false">IF(ISNUMBER(kinematics!O147),kinematics!N147,0)</f>
        <v>0</v>
      </c>
      <c r="E305" s="205" t="n">
        <f aca="false">IF(ISNUMBER(kinematics!O147),kinematics!R147,0)</f>
        <v>0</v>
      </c>
      <c r="I305" s="27" t="n">
        <f aca="false">C305</f>
        <v>177.265</v>
      </c>
      <c r="J305" s="205" t="n">
        <f aca="false">IF(ISNUMBER(kinematics!O147),kinematics!P147,0)</f>
        <v>0</v>
      </c>
      <c r="K305" s="205" t="n">
        <f aca="false">IF(ISNUMBER(kinematics!O147),kinematics!S147,0)</f>
        <v>0</v>
      </c>
      <c r="M305" s="205" t="n">
        <f aca="false">IF(ISNUMBER(kinematics!O147),kinematics!N147,MAX($D$6:$D$186))</f>
        <v>85</v>
      </c>
      <c r="N305" s="205" t="n">
        <f aca="false">IF(ISNUMBER(kinematics!O147),kinematics!P147,0)</f>
        <v>0</v>
      </c>
      <c r="O305" s="205" t="n">
        <f aca="false">IF(ISNUMBER(kinematics!O147),kinematics!R147,0)</f>
        <v>0</v>
      </c>
      <c r="P305" s="205" t="n">
        <f aca="false">IF(ISNUMBER(kinematics!O147),kinematics!S147,0)</f>
        <v>0</v>
      </c>
      <c r="R305" s="27" t="n">
        <f aca="false">O305</f>
        <v>0</v>
      </c>
      <c r="S305" s="27" t="n">
        <f aca="false">P305</f>
        <v>0</v>
      </c>
    </row>
    <row r="306" customFormat="false" ht="12.75" hidden="false" customHeight="false" outlineLevel="0" collapsed="false">
      <c r="C306" s="27" t="n">
        <f aca="false">IF(ISNUMBER(kinematics!O148),kinematics!O148,IF(ISNUMBER(kinematics!$O$30),MIN(kinematics!$O$30:$O$210),180))</f>
        <v>177.265</v>
      </c>
      <c r="D306" s="205" t="n">
        <f aca="false">IF(ISNUMBER(kinematics!O148),kinematics!N148,0)</f>
        <v>0</v>
      </c>
      <c r="E306" s="205" t="n">
        <f aca="false">IF(ISNUMBER(kinematics!O148),kinematics!R148,0)</f>
        <v>0</v>
      </c>
      <c r="I306" s="27" t="n">
        <f aca="false">C306</f>
        <v>177.265</v>
      </c>
      <c r="J306" s="205" t="n">
        <f aca="false">IF(ISNUMBER(kinematics!O148),kinematics!P148,0)</f>
        <v>0</v>
      </c>
      <c r="K306" s="205" t="n">
        <f aca="false">IF(ISNUMBER(kinematics!O148),kinematics!S148,0)</f>
        <v>0</v>
      </c>
      <c r="M306" s="205" t="n">
        <f aca="false">IF(ISNUMBER(kinematics!O148),kinematics!N148,MAX($D$6:$D$186))</f>
        <v>85</v>
      </c>
      <c r="N306" s="205" t="n">
        <f aca="false">IF(ISNUMBER(kinematics!O148),kinematics!P148,0)</f>
        <v>0</v>
      </c>
      <c r="O306" s="205" t="n">
        <f aca="false">IF(ISNUMBER(kinematics!O148),kinematics!R148,0)</f>
        <v>0</v>
      </c>
      <c r="P306" s="205" t="n">
        <f aca="false">IF(ISNUMBER(kinematics!O148),kinematics!S148,0)</f>
        <v>0</v>
      </c>
      <c r="R306" s="27" t="n">
        <f aca="false">O306</f>
        <v>0</v>
      </c>
      <c r="S306" s="27" t="n">
        <f aca="false">P306</f>
        <v>0</v>
      </c>
    </row>
    <row r="307" customFormat="false" ht="12.75" hidden="false" customHeight="false" outlineLevel="0" collapsed="false">
      <c r="C307" s="27" t="n">
        <f aca="false">IF(ISNUMBER(kinematics!O149),kinematics!O149,IF(ISNUMBER(kinematics!$O$30),MIN(kinematics!$O$30:$O$210),180))</f>
        <v>177.265</v>
      </c>
      <c r="D307" s="205" t="n">
        <f aca="false">IF(ISNUMBER(kinematics!O149),kinematics!N149,0)</f>
        <v>0</v>
      </c>
      <c r="E307" s="205" t="n">
        <f aca="false">IF(ISNUMBER(kinematics!O149),kinematics!R149,0)</f>
        <v>0</v>
      </c>
      <c r="I307" s="27" t="n">
        <f aca="false">C307</f>
        <v>177.265</v>
      </c>
      <c r="J307" s="205" t="n">
        <f aca="false">IF(ISNUMBER(kinematics!O149),kinematics!P149,0)</f>
        <v>0</v>
      </c>
      <c r="K307" s="205" t="n">
        <f aca="false">IF(ISNUMBER(kinematics!O149),kinematics!S149,0)</f>
        <v>0</v>
      </c>
      <c r="M307" s="205" t="n">
        <f aca="false">IF(ISNUMBER(kinematics!O149),kinematics!N149,MAX($D$6:$D$186))</f>
        <v>85</v>
      </c>
      <c r="N307" s="205" t="n">
        <f aca="false">IF(ISNUMBER(kinematics!O149),kinematics!P149,0)</f>
        <v>0</v>
      </c>
      <c r="O307" s="205" t="n">
        <f aca="false">IF(ISNUMBER(kinematics!O149),kinematics!R149,0)</f>
        <v>0</v>
      </c>
      <c r="P307" s="205" t="n">
        <f aca="false">IF(ISNUMBER(kinematics!O149),kinematics!S149,0)</f>
        <v>0</v>
      </c>
      <c r="R307" s="27" t="n">
        <f aca="false">O307</f>
        <v>0</v>
      </c>
      <c r="S307" s="27" t="n">
        <f aca="false">P307</f>
        <v>0</v>
      </c>
    </row>
    <row r="308" customFormat="false" ht="12.75" hidden="false" customHeight="false" outlineLevel="0" collapsed="false">
      <c r="C308" s="27" t="n">
        <f aca="false">IF(ISNUMBER(kinematics!O150),kinematics!O150,IF(ISNUMBER(kinematics!$O$30),MIN(kinematics!$O$30:$O$210),180))</f>
        <v>177.265</v>
      </c>
      <c r="D308" s="205" t="n">
        <f aca="false">IF(ISNUMBER(kinematics!O150),kinematics!N150,0)</f>
        <v>0</v>
      </c>
      <c r="E308" s="205" t="n">
        <f aca="false">IF(ISNUMBER(kinematics!O150),kinematics!R150,0)</f>
        <v>0</v>
      </c>
      <c r="I308" s="27" t="n">
        <f aca="false">C308</f>
        <v>177.265</v>
      </c>
      <c r="J308" s="205" t="n">
        <f aca="false">IF(ISNUMBER(kinematics!O150),kinematics!P150,0)</f>
        <v>0</v>
      </c>
      <c r="K308" s="205" t="n">
        <f aca="false">IF(ISNUMBER(kinematics!O150),kinematics!S150,0)</f>
        <v>0</v>
      </c>
      <c r="M308" s="205" t="n">
        <f aca="false">IF(ISNUMBER(kinematics!O150),kinematics!N150,MAX($D$6:$D$186))</f>
        <v>85</v>
      </c>
      <c r="N308" s="205" t="n">
        <f aca="false">IF(ISNUMBER(kinematics!O150),kinematics!P150,0)</f>
        <v>0</v>
      </c>
      <c r="O308" s="205" t="n">
        <f aca="false">IF(ISNUMBER(kinematics!O150),kinematics!R150,0)</f>
        <v>0</v>
      </c>
      <c r="P308" s="205" t="n">
        <f aca="false">IF(ISNUMBER(kinematics!O150),kinematics!S150,0)</f>
        <v>0</v>
      </c>
      <c r="R308" s="27" t="n">
        <f aca="false">O308</f>
        <v>0</v>
      </c>
      <c r="S308" s="27" t="n">
        <f aca="false">P308</f>
        <v>0</v>
      </c>
    </row>
    <row r="309" customFormat="false" ht="12.75" hidden="false" customHeight="false" outlineLevel="0" collapsed="false">
      <c r="C309" s="27" t="n">
        <f aca="false">IF(ISNUMBER(kinematics!O151),kinematics!O151,IF(ISNUMBER(kinematics!$O$30),MIN(kinematics!$O$30:$O$210),180))</f>
        <v>177.265</v>
      </c>
      <c r="D309" s="205" t="n">
        <f aca="false">IF(ISNUMBER(kinematics!O151),kinematics!N151,0)</f>
        <v>0</v>
      </c>
      <c r="E309" s="205" t="n">
        <f aca="false">IF(ISNUMBER(kinematics!O151),kinematics!R151,0)</f>
        <v>0</v>
      </c>
      <c r="I309" s="27" t="n">
        <f aca="false">C309</f>
        <v>177.265</v>
      </c>
      <c r="J309" s="205" t="n">
        <f aca="false">IF(ISNUMBER(kinematics!O151),kinematics!P151,0)</f>
        <v>0</v>
      </c>
      <c r="K309" s="205" t="n">
        <f aca="false">IF(ISNUMBER(kinematics!O151),kinematics!S151,0)</f>
        <v>0</v>
      </c>
      <c r="M309" s="205" t="n">
        <f aca="false">IF(ISNUMBER(kinematics!O151),kinematics!N151,MAX($D$6:$D$186))</f>
        <v>85</v>
      </c>
      <c r="N309" s="205" t="n">
        <f aca="false">IF(ISNUMBER(kinematics!O151),kinematics!P151,0)</f>
        <v>0</v>
      </c>
      <c r="O309" s="205" t="n">
        <f aca="false">IF(ISNUMBER(kinematics!O151),kinematics!R151,0)</f>
        <v>0</v>
      </c>
      <c r="P309" s="205" t="n">
        <f aca="false">IF(ISNUMBER(kinematics!O151),kinematics!S151,0)</f>
        <v>0</v>
      </c>
      <c r="R309" s="27" t="n">
        <f aca="false">O309</f>
        <v>0</v>
      </c>
      <c r="S309" s="27" t="n">
        <f aca="false">P309</f>
        <v>0</v>
      </c>
    </row>
    <row r="310" customFormat="false" ht="12.75" hidden="false" customHeight="false" outlineLevel="0" collapsed="false">
      <c r="C310" s="27" t="n">
        <f aca="false">IF(ISNUMBER(kinematics!O152),kinematics!O152,IF(ISNUMBER(kinematics!$O$30),MIN(kinematics!$O$30:$O$210),180))</f>
        <v>177.265</v>
      </c>
      <c r="D310" s="205" t="n">
        <f aca="false">IF(ISNUMBER(kinematics!O152),kinematics!N152,0)</f>
        <v>0</v>
      </c>
      <c r="E310" s="205" t="n">
        <f aca="false">IF(ISNUMBER(kinematics!O152),kinematics!R152,0)</f>
        <v>0</v>
      </c>
      <c r="I310" s="27" t="n">
        <f aca="false">C310</f>
        <v>177.265</v>
      </c>
      <c r="J310" s="205" t="n">
        <f aca="false">IF(ISNUMBER(kinematics!O152),kinematics!P152,0)</f>
        <v>0</v>
      </c>
      <c r="K310" s="205" t="n">
        <f aca="false">IF(ISNUMBER(kinematics!O152),kinematics!S152,0)</f>
        <v>0</v>
      </c>
      <c r="M310" s="205" t="n">
        <f aca="false">IF(ISNUMBER(kinematics!O152),kinematics!N152,MAX($D$6:$D$186))</f>
        <v>85</v>
      </c>
      <c r="N310" s="205" t="n">
        <f aca="false">IF(ISNUMBER(kinematics!O152),kinematics!P152,0)</f>
        <v>0</v>
      </c>
      <c r="O310" s="205" t="n">
        <f aca="false">IF(ISNUMBER(kinematics!O152),kinematics!R152,0)</f>
        <v>0</v>
      </c>
      <c r="P310" s="205" t="n">
        <f aca="false">IF(ISNUMBER(kinematics!O152),kinematics!S152,0)</f>
        <v>0</v>
      </c>
      <c r="R310" s="27" t="n">
        <f aca="false">O310</f>
        <v>0</v>
      </c>
      <c r="S310" s="27" t="n">
        <f aca="false">P310</f>
        <v>0</v>
      </c>
    </row>
    <row r="311" customFormat="false" ht="12.75" hidden="false" customHeight="false" outlineLevel="0" collapsed="false">
      <c r="C311" s="27" t="n">
        <f aca="false">IF(ISNUMBER(kinematics!O153),kinematics!O153,IF(ISNUMBER(kinematics!$O$30),MIN(kinematics!$O$30:$O$210),180))</f>
        <v>177.265</v>
      </c>
      <c r="D311" s="205" t="n">
        <f aca="false">IF(ISNUMBER(kinematics!O153),kinematics!N153,0)</f>
        <v>0</v>
      </c>
      <c r="E311" s="205" t="n">
        <f aca="false">IF(ISNUMBER(kinematics!O153),kinematics!R153,0)</f>
        <v>0</v>
      </c>
      <c r="I311" s="27" t="n">
        <f aca="false">C311</f>
        <v>177.265</v>
      </c>
      <c r="J311" s="205" t="n">
        <f aca="false">IF(ISNUMBER(kinematics!O153),kinematics!P153,0)</f>
        <v>0</v>
      </c>
      <c r="K311" s="205" t="n">
        <f aca="false">IF(ISNUMBER(kinematics!O153),kinematics!S153,0)</f>
        <v>0</v>
      </c>
      <c r="M311" s="205" t="n">
        <f aca="false">IF(ISNUMBER(kinematics!O153),kinematics!N153,MAX($D$6:$D$186))</f>
        <v>85</v>
      </c>
      <c r="N311" s="205" t="n">
        <f aca="false">IF(ISNUMBER(kinematics!O153),kinematics!P153,0)</f>
        <v>0</v>
      </c>
      <c r="O311" s="205" t="n">
        <f aca="false">IF(ISNUMBER(kinematics!O153),kinematics!R153,0)</f>
        <v>0</v>
      </c>
      <c r="P311" s="205" t="n">
        <f aca="false">IF(ISNUMBER(kinematics!O153),kinematics!S153,0)</f>
        <v>0</v>
      </c>
      <c r="R311" s="27" t="n">
        <f aca="false">O311</f>
        <v>0</v>
      </c>
      <c r="S311" s="27" t="n">
        <f aca="false">P311</f>
        <v>0</v>
      </c>
    </row>
    <row r="312" customFormat="false" ht="12.75" hidden="false" customHeight="false" outlineLevel="0" collapsed="false">
      <c r="C312" s="27" t="n">
        <f aca="false">IF(ISNUMBER(kinematics!O154),kinematics!O154,IF(ISNUMBER(kinematics!$O$30),MIN(kinematics!$O$30:$O$210),180))</f>
        <v>177.265</v>
      </c>
      <c r="D312" s="205" t="n">
        <f aca="false">IF(ISNUMBER(kinematics!O154),kinematics!N154,0)</f>
        <v>0</v>
      </c>
      <c r="E312" s="205" t="n">
        <f aca="false">IF(ISNUMBER(kinematics!O154),kinematics!R154,0)</f>
        <v>0</v>
      </c>
      <c r="I312" s="27" t="n">
        <f aca="false">C312</f>
        <v>177.265</v>
      </c>
      <c r="J312" s="205" t="n">
        <f aca="false">IF(ISNUMBER(kinematics!O154),kinematics!P154,0)</f>
        <v>0</v>
      </c>
      <c r="K312" s="205" t="n">
        <f aca="false">IF(ISNUMBER(kinematics!O154),kinematics!S154,0)</f>
        <v>0</v>
      </c>
      <c r="M312" s="205" t="n">
        <f aca="false">IF(ISNUMBER(kinematics!O154),kinematics!N154,MAX($D$6:$D$186))</f>
        <v>85</v>
      </c>
      <c r="N312" s="205" t="n">
        <f aca="false">IF(ISNUMBER(kinematics!O154),kinematics!P154,0)</f>
        <v>0</v>
      </c>
      <c r="O312" s="205" t="n">
        <f aca="false">IF(ISNUMBER(kinematics!O154),kinematics!R154,0)</f>
        <v>0</v>
      </c>
      <c r="P312" s="205" t="n">
        <f aca="false">IF(ISNUMBER(kinematics!O154),kinematics!S154,0)</f>
        <v>0</v>
      </c>
      <c r="R312" s="27" t="n">
        <f aca="false">O312</f>
        <v>0</v>
      </c>
      <c r="S312" s="27" t="n">
        <f aca="false">P312</f>
        <v>0</v>
      </c>
    </row>
    <row r="313" customFormat="false" ht="12.75" hidden="false" customHeight="false" outlineLevel="0" collapsed="false">
      <c r="C313" s="27" t="n">
        <f aca="false">IF(ISNUMBER(kinematics!O155),kinematics!O155,IF(ISNUMBER(kinematics!$O$30),MIN(kinematics!$O$30:$O$210),180))</f>
        <v>177.265</v>
      </c>
      <c r="D313" s="205" t="n">
        <f aca="false">IF(ISNUMBER(kinematics!O155),kinematics!N155,0)</f>
        <v>0</v>
      </c>
      <c r="E313" s="205" t="n">
        <f aca="false">IF(ISNUMBER(kinematics!O155),kinematics!R155,0)</f>
        <v>0</v>
      </c>
      <c r="I313" s="27" t="n">
        <f aca="false">C313</f>
        <v>177.265</v>
      </c>
      <c r="J313" s="205" t="n">
        <f aca="false">IF(ISNUMBER(kinematics!O155),kinematics!P155,0)</f>
        <v>0</v>
      </c>
      <c r="K313" s="205" t="n">
        <f aca="false">IF(ISNUMBER(kinematics!O155),kinematics!S155,0)</f>
        <v>0</v>
      </c>
      <c r="M313" s="205" t="n">
        <f aca="false">IF(ISNUMBER(kinematics!O155),kinematics!N155,MAX($D$6:$D$186))</f>
        <v>85</v>
      </c>
      <c r="N313" s="205" t="n">
        <f aca="false">IF(ISNUMBER(kinematics!O155),kinematics!P155,0)</f>
        <v>0</v>
      </c>
      <c r="O313" s="205" t="n">
        <f aca="false">IF(ISNUMBER(kinematics!O155),kinematics!R155,0)</f>
        <v>0</v>
      </c>
      <c r="P313" s="205" t="n">
        <f aca="false">IF(ISNUMBER(kinematics!O155),kinematics!S155,0)</f>
        <v>0</v>
      </c>
      <c r="R313" s="27" t="n">
        <f aca="false">O313</f>
        <v>0</v>
      </c>
      <c r="S313" s="27" t="n">
        <f aca="false">P313</f>
        <v>0</v>
      </c>
    </row>
    <row r="314" customFormat="false" ht="12.75" hidden="false" customHeight="false" outlineLevel="0" collapsed="false">
      <c r="C314" s="27" t="n">
        <f aca="false">IF(ISNUMBER(kinematics!O156),kinematics!O156,IF(ISNUMBER(kinematics!$O$30),MIN(kinematics!$O$30:$O$210),180))</f>
        <v>177.265</v>
      </c>
      <c r="D314" s="205" t="n">
        <f aca="false">IF(ISNUMBER(kinematics!O156),kinematics!N156,0)</f>
        <v>0</v>
      </c>
      <c r="E314" s="205" t="n">
        <f aca="false">IF(ISNUMBER(kinematics!O156),kinematics!R156,0)</f>
        <v>0</v>
      </c>
      <c r="I314" s="27" t="n">
        <f aca="false">C314</f>
        <v>177.265</v>
      </c>
      <c r="J314" s="205" t="n">
        <f aca="false">IF(ISNUMBER(kinematics!O156),kinematics!P156,0)</f>
        <v>0</v>
      </c>
      <c r="K314" s="205" t="n">
        <f aca="false">IF(ISNUMBER(kinematics!O156),kinematics!S156,0)</f>
        <v>0</v>
      </c>
      <c r="M314" s="205" t="n">
        <f aca="false">IF(ISNUMBER(kinematics!O156),kinematics!N156,MAX($D$6:$D$186))</f>
        <v>85</v>
      </c>
      <c r="N314" s="205" t="n">
        <f aca="false">IF(ISNUMBER(kinematics!O156),kinematics!P156,0)</f>
        <v>0</v>
      </c>
      <c r="O314" s="205" t="n">
        <f aca="false">IF(ISNUMBER(kinematics!O156),kinematics!R156,0)</f>
        <v>0</v>
      </c>
      <c r="P314" s="205" t="n">
        <f aca="false">IF(ISNUMBER(kinematics!O156),kinematics!S156,0)</f>
        <v>0</v>
      </c>
      <c r="R314" s="27" t="n">
        <f aca="false">O314</f>
        <v>0</v>
      </c>
      <c r="S314" s="27" t="n">
        <f aca="false">P314</f>
        <v>0</v>
      </c>
    </row>
    <row r="315" customFormat="false" ht="12.75" hidden="false" customHeight="false" outlineLevel="0" collapsed="false">
      <c r="C315" s="27" t="n">
        <f aca="false">IF(ISNUMBER(kinematics!O157),kinematics!O157,IF(ISNUMBER(kinematics!$O$30),MIN(kinematics!$O$30:$O$210),180))</f>
        <v>177.265</v>
      </c>
      <c r="D315" s="205" t="n">
        <f aca="false">IF(ISNUMBER(kinematics!O157),kinematics!N157,0)</f>
        <v>0</v>
      </c>
      <c r="E315" s="205" t="n">
        <f aca="false">IF(ISNUMBER(kinematics!O157),kinematics!R157,0)</f>
        <v>0</v>
      </c>
      <c r="I315" s="27" t="n">
        <f aca="false">C315</f>
        <v>177.265</v>
      </c>
      <c r="J315" s="205" t="n">
        <f aca="false">IF(ISNUMBER(kinematics!O157),kinematics!P157,0)</f>
        <v>0</v>
      </c>
      <c r="K315" s="205" t="n">
        <f aca="false">IF(ISNUMBER(kinematics!O157),kinematics!S157,0)</f>
        <v>0</v>
      </c>
      <c r="M315" s="205" t="n">
        <f aca="false">IF(ISNUMBER(kinematics!O157),kinematics!N157,MAX($D$6:$D$186))</f>
        <v>85</v>
      </c>
      <c r="N315" s="205" t="n">
        <f aca="false">IF(ISNUMBER(kinematics!O157),kinematics!P157,0)</f>
        <v>0</v>
      </c>
      <c r="O315" s="205" t="n">
        <f aca="false">IF(ISNUMBER(kinematics!O157),kinematics!R157,0)</f>
        <v>0</v>
      </c>
      <c r="P315" s="205" t="n">
        <f aca="false">IF(ISNUMBER(kinematics!O157),kinematics!S157,0)</f>
        <v>0</v>
      </c>
      <c r="R315" s="27" t="n">
        <f aca="false">O315</f>
        <v>0</v>
      </c>
      <c r="S315" s="27" t="n">
        <f aca="false">P315</f>
        <v>0</v>
      </c>
    </row>
    <row r="316" customFormat="false" ht="12.75" hidden="false" customHeight="false" outlineLevel="0" collapsed="false">
      <c r="C316" s="27" t="n">
        <f aca="false">IF(ISNUMBER(kinematics!O158),kinematics!O158,IF(ISNUMBER(kinematics!$O$30),MIN(kinematics!$O$30:$O$210),180))</f>
        <v>177.265</v>
      </c>
      <c r="D316" s="205" t="n">
        <f aca="false">IF(ISNUMBER(kinematics!O158),kinematics!N158,0)</f>
        <v>0</v>
      </c>
      <c r="E316" s="205" t="n">
        <f aca="false">IF(ISNUMBER(kinematics!O158),kinematics!R158,0)</f>
        <v>0</v>
      </c>
      <c r="I316" s="27" t="n">
        <f aca="false">C316</f>
        <v>177.265</v>
      </c>
      <c r="J316" s="205" t="n">
        <f aca="false">IF(ISNUMBER(kinematics!O158),kinematics!P158,0)</f>
        <v>0</v>
      </c>
      <c r="K316" s="205" t="n">
        <f aca="false">IF(ISNUMBER(kinematics!O158),kinematics!S158,0)</f>
        <v>0</v>
      </c>
      <c r="M316" s="205" t="n">
        <f aca="false">IF(ISNUMBER(kinematics!O158),kinematics!N158,MAX($D$6:$D$186))</f>
        <v>85</v>
      </c>
      <c r="N316" s="205" t="n">
        <f aca="false">IF(ISNUMBER(kinematics!O158),kinematics!P158,0)</f>
        <v>0</v>
      </c>
      <c r="O316" s="205" t="n">
        <f aca="false">IF(ISNUMBER(kinematics!O158),kinematics!R158,0)</f>
        <v>0</v>
      </c>
      <c r="P316" s="205" t="n">
        <f aca="false">IF(ISNUMBER(kinematics!O158),kinematics!S158,0)</f>
        <v>0</v>
      </c>
      <c r="R316" s="27" t="n">
        <f aca="false">O316</f>
        <v>0</v>
      </c>
      <c r="S316" s="27" t="n">
        <f aca="false">P316</f>
        <v>0</v>
      </c>
    </row>
    <row r="317" customFormat="false" ht="12.75" hidden="false" customHeight="false" outlineLevel="0" collapsed="false">
      <c r="C317" s="27" t="n">
        <f aca="false">IF(ISNUMBER(kinematics!O159),kinematics!O159,IF(ISNUMBER(kinematics!$O$30),MIN(kinematics!$O$30:$O$210),180))</f>
        <v>177.265</v>
      </c>
      <c r="D317" s="205" t="n">
        <f aca="false">IF(ISNUMBER(kinematics!O159),kinematics!N159,0)</f>
        <v>0</v>
      </c>
      <c r="E317" s="205" t="n">
        <f aca="false">IF(ISNUMBER(kinematics!O159),kinematics!R159,0)</f>
        <v>0</v>
      </c>
      <c r="I317" s="27" t="n">
        <f aca="false">C317</f>
        <v>177.265</v>
      </c>
      <c r="J317" s="205" t="n">
        <f aca="false">IF(ISNUMBER(kinematics!O159),kinematics!P159,0)</f>
        <v>0</v>
      </c>
      <c r="K317" s="205" t="n">
        <f aca="false">IF(ISNUMBER(kinematics!O159),kinematics!S159,0)</f>
        <v>0</v>
      </c>
      <c r="M317" s="205" t="n">
        <f aca="false">IF(ISNUMBER(kinematics!O159),kinematics!N159,MAX($D$6:$D$186))</f>
        <v>85</v>
      </c>
      <c r="N317" s="205" t="n">
        <f aca="false">IF(ISNUMBER(kinematics!O159),kinematics!P159,0)</f>
        <v>0</v>
      </c>
      <c r="O317" s="205" t="n">
        <f aca="false">IF(ISNUMBER(kinematics!O159),kinematics!R159,0)</f>
        <v>0</v>
      </c>
      <c r="P317" s="205" t="n">
        <f aca="false">IF(ISNUMBER(kinematics!O159),kinematics!S159,0)</f>
        <v>0</v>
      </c>
      <c r="R317" s="27" t="n">
        <f aca="false">O317</f>
        <v>0</v>
      </c>
      <c r="S317" s="27" t="n">
        <f aca="false">P317</f>
        <v>0</v>
      </c>
    </row>
    <row r="318" customFormat="false" ht="12.75" hidden="false" customHeight="false" outlineLevel="0" collapsed="false">
      <c r="C318" s="27" t="n">
        <f aca="false">IF(ISNUMBER(kinematics!O160),kinematics!O160,IF(ISNUMBER(kinematics!$O$30),MIN(kinematics!$O$30:$O$210),180))</f>
        <v>177.265</v>
      </c>
      <c r="D318" s="205" t="n">
        <f aca="false">IF(ISNUMBER(kinematics!O160),kinematics!N160,0)</f>
        <v>0</v>
      </c>
      <c r="E318" s="205" t="n">
        <f aca="false">IF(ISNUMBER(kinematics!O160),kinematics!R160,0)</f>
        <v>0</v>
      </c>
      <c r="I318" s="27" t="n">
        <f aca="false">C318</f>
        <v>177.265</v>
      </c>
      <c r="J318" s="205" t="n">
        <f aca="false">IF(ISNUMBER(kinematics!O160),kinematics!P160,0)</f>
        <v>0</v>
      </c>
      <c r="K318" s="205" t="n">
        <f aca="false">IF(ISNUMBER(kinematics!O160),kinematics!S160,0)</f>
        <v>0</v>
      </c>
      <c r="M318" s="205" t="n">
        <f aca="false">IF(ISNUMBER(kinematics!O160),kinematics!N160,MAX($D$6:$D$186))</f>
        <v>85</v>
      </c>
      <c r="N318" s="205" t="n">
        <f aca="false">IF(ISNUMBER(kinematics!O160),kinematics!P160,0)</f>
        <v>0</v>
      </c>
      <c r="O318" s="205" t="n">
        <f aca="false">IF(ISNUMBER(kinematics!O160),kinematics!R160,0)</f>
        <v>0</v>
      </c>
      <c r="P318" s="205" t="n">
        <f aca="false">IF(ISNUMBER(kinematics!O160),kinematics!S160,0)</f>
        <v>0</v>
      </c>
      <c r="R318" s="27" t="n">
        <f aca="false">O318</f>
        <v>0</v>
      </c>
      <c r="S318" s="27" t="n">
        <f aca="false">P318</f>
        <v>0</v>
      </c>
    </row>
    <row r="319" customFormat="false" ht="12.75" hidden="false" customHeight="false" outlineLevel="0" collapsed="false">
      <c r="C319" s="27" t="n">
        <f aca="false">IF(ISNUMBER(kinematics!O161),kinematics!O161,IF(ISNUMBER(kinematics!$O$30),MIN(kinematics!$O$30:$O$210),180))</f>
        <v>177.265</v>
      </c>
      <c r="D319" s="205" t="n">
        <f aca="false">IF(ISNUMBER(kinematics!O161),kinematics!N161,0)</f>
        <v>0</v>
      </c>
      <c r="E319" s="205" t="n">
        <f aca="false">IF(ISNUMBER(kinematics!O161),kinematics!R161,0)</f>
        <v>0</v>
      </c>
      <c r="I319" s="27" t="n">
        <f aca="false">C319</f>
        <v>177.265</v>
      </c>
      <c r="J319" s="205" t="n">
        <f aca="false">IF(ISNUMBER(kinematics!O161),kinematics!P161,0)</f>
        <v>0</v>
      </c>
      <c r="K319" s="205" t="n">
        <f aca="false">IF(ISNUMBER(kinematics!O161),kinematics!S161,0)</f>
        <v>0</v>
      </c>
      <c r="M319" s="205" t="n">
        <f aca="false">IF(ISNUMBER(kinematics!O161),kinematics!N161,MAX($D$6:$D$186))</f>
        <v>85</v>
      </c>
      <c r="N319" s="205" t="n">
        <f aca="false">IF(ISNUMBER(kinematics!O161),kinematics!P161,0)</f>
        <v>0</v>
      </c>
      <c r="O319" s="205" t="n">
        <f aca="false">IF(ISNUMBER(kinematics!O161),kinematics!R161,0)</f>
        <v>0</v>
      </c>
      <c r="P319" s="205" t="n">
        <f aca="false">IF(ISNUMBER(kinematics!O161),kinematics!S161,0)</f>
        <v>0</v>
      </c>
      <c r="R319" s="27" t="n">
        <f aca="false">O319</f>
        <v>0</v>
      </c>
      <c r="S319" s="27" t="n">
        <f aca="false">P319</f>
        <v>0</v>
      </c>
    </row>
    <row r="320" customFormat="false" ht="12.75" hidden="false" customHeight="false" outlineLevel="0" collapsed="false">
      <c r="C320" s="27" t="n">
        <f aca="false">IF(ISNUMBER(kinematics!O162),kinematics!O162,IF(ISNUMBER(kinematics!$O$30),MIN(kinematics!$O$30:$O$210),180))</f>
        <v>177.265</v>
      </c>
      <c r="D320" s="205" t="n">
        <f aca="false">IF(ISNUMBER(kinematics!O162),kinematics!N162,0)</f>
        <v>0</v>
      </c>
      <c r="E320" s="205" t="n">
        <f aca="false">IF(ISNUMBER(kinematics!O162),kinematics!R162,0)</f>
        <v>0</v>
      </c>
      <c r="I320" s="27" t="n">
        <f aca="false">C320</f>
        <v>177.265</v>
      </c>
      <c r="J320" s="205" t="n">
        <f aca="false">IF(ISNUMBER(kinematics!O162),kinematics!P162,0)</f>
        <v>0</v>
      </c>
      <c r="K320" s="205" t="n">
        <f aca="false">IF(ISNUMBER(kinematics!O162),kinematics!S162,0)</f>
        <v>0</v>
      </c>
      <c r="M320" s="205" t="n">
        <f aca="false">IF(ISNUMBER(kinematics!O162),kinematics!N162,MAX($D$6:$D$186))</f>
        <v>85</v>
      </c>
      <c r="N320" s="205" t="n">
        <f aca="false">IF(ISNUMBER(kinematics!O162),kinematics!P162,0)</f>
        <v>0</v>
      </c>
      <c r="O320" s="205" t="n">
        <f aca="false">IF(ISNUMBER(kinematics!O162),kinematics!R162,0)</f>
        <v>0</v>
      </c>
      <c r="P320" s="205" t="n">
        <f aca="false">IF(ISNUMBER(kinematics!O162),kinematics!S162,0)</f>
        <v>0</v>
      </c>
      <c r="R320" s="27" t="n">
        <f aca="false">O320</f>
        <v>0</v>
      </c>
      <c r="S320" s="27" t="n">
        <f aca="false">P320</f>
        <v>0</v>
      </c>
    </row>
    <row r="321" customFormat="false" ht="12.75" hidden="false" customHeight="false" outlineLevel="0" collapsed="false">
      <c r="C321" s="27" t="n">
        <f aca="false">IF(ISNUMBER(kinematics!O163),kinematics!O163,IF(ISNUMBER(kinematics!$O$30),MIN(kinematics!$O$30:$O$210),180))</f>
        <v>177.265</v>
      </c>
      <c r="D321" s="205" t="n">
        <f aca="false">IF(ISNUMBER(kinematics!O163),kinematics!N163,0)</f>
        <v>0</v>
      </c>
      <c r="E321" s="205" t="n">
        <f aca="false">IF(ISNUMBER(kinematics!O163),kinematics!R163,0)</f>
        <v>0</v>
      </c>
      <c r="I321" s="27" t="n">
        <f aca="false">C321</f>
        <v>177.265</v>
      </c>
      <c r="J321" s="205" t="n">
        <f aca="false">IF(ISNUMBER(kinematics!O163),kinematics!P163,0)</f>
        <v>0</v>
      </c>
      <c r="K321" s="205" t="n">
        <f aca="false">IF(ISNUMBER(kinematics!O163),kinematics!S163,0)</f>
        <v>0</v>
      </c>
      <c r="M321" s="205" t="n">
        <f aca="false">IF(ISNUMBER(kinematics!O163),kinematics!N163,MAX($D$6:$D$186))</f>
        <v>85</v>
      </c>
      <c r="N321" s="205" t="n">
        <f aca="false">IF(ISNUMBER(kinematics!O163),kinematics!P163,0)</f>
        <v>0</v>
      </c>
      <c r="O321" s="205" t="n">
        <f aca="false">IF(ISNUMBER(kinematics!O163),kinematics!R163,0)</f>
        <v>0</v>
      </c>
      <c r="P321" s="205" t="n">
        <f aca="false">IF(ISNUMBER(kinematics!O163),kinematics!S163,0)</f>
        <v>0</v>
      </c>
      <c r="R321" s="27" t="n">
        <f aca="false">O321</f>
        <v>0</v>
      </c>
      <c r="S321" s="27" t="n">
        <f aca="false">P321</f>
        <v>0</v>
      </c>
    </row>
    <row r="322" customFormat="false" ht="12.75" hidden="false" customHeight="false" outlineLevel="0" collapsed="false">
      <c r="C322" s="27" t="n">
        <f aca="false">IF(ISNUMBER(kinematics!O164),kinematics!O164,IF(ISNUMBER(kinematics!$O$30),MIN(kinematics!$O$30:$O$210),180))</f>
        <v>177.265</v>
      </c>
      <c r="D322" s="205" t="n">
        <f aca="false">IF(ISNUMBER(kinematics!O164),kinematics!N164,0)</f>
        <v>0</v>
      </c>
      <c r="E322" s="205" t="n">
        <f aca="false">IF(ISNUMBER(kinematics!O164),kinematics!R164,0)</f>
        <v>0</v>
      </c>
      <c r="I322" s="27" t="n">
        <f aca="false">C322</f>
        <v>177.265</v>
      </c>
      <c r="J322" s="205" t="n">
        <f aca="false">IF(ISNUMBER(kinematics!O164),kinematics!P164,0)</f>
        <v>0</v>
      </c>
      <c r="K322" s="205" t="n">
        <f aca="false">IF(ISNUMBER(kinematics!O164),kinematics!S164,0)</f>
        <v>0</v>
      </c>
      <c r="M322" s="205" t="n">
        <f aca="false">IF(ISNUMBER(kinematics!O164),kinematics!N164,MAX($D$6:$D$186))</f>
        <v>85</v>
      </c>
      <c r="N322" s="205" t="n">
        <f aca="false">IF(ISNUMBER(kinematics!O164),kinematics!P164,0)</f>
        <v>0</v>
      </c>
      <c r="O322" s="205" t="n">
        <f aca="false">IF(ISNUMBER(kinematics!O164),kinematics!R164,0)</f>
        <v>0</v>
      </c>
      <c r="P322" s="205" t="n">
        <f aca="false">IF(ISNUMBER(kinematics!O164),kinematics!S164,0)</f>
        <v>0</v>
      </c>
      <c r="R322" s="27" t="n">
        <f aca="false">O322</f>
        <v>0</v>
      </c>
      <c r="S322" s="27" t="n">
        <f aca="false">P322</f>
        <v>0</v>
      </c>
    </row>
    <row r="323" customFormat="false" ht="12.75" hidden="false" customHeight="false" outlineLevel="0" collapsed="false">
      <c r="C323" s="27" t="n">
        <f aca="false">IF(ISNUMBER(kinematics!O165),kinematics!O165,IF(ISNUMBER(kinematics!$O$30),MIN(kinematics!$O$30:$O$210),180))</f>
        <v>177.265</v>
      </c>
      <c r="D323" s="205" t="n">
        <f aca="false">IF(ISNUMBER(kinematics!O165),kinematics!N165,0)</f>
        <v>0</v>
      </c>
      <c r="E323" s="205" t="n">
        <f aca="false">IF(ISNUMBER(kinematics!O165),kinematics!R165,0)</f>
        <v>0</v>
      </c>
      <c r="I323" s="27" t="n">
        <f aca="false">C323</f>
        <v>177.265</v>
      </c>
      <c r="J323" s="205" t="n">
        <f aca="false">IF(ISNUMBER(kinematics!O165),kinematics!P165,0)</f>
        <v>0</v>
      </c>
      <c r="K323" s="205" t="n">
        <f aca="false">IF(ISNUMBER(kinematics!O165),kinematics!S165,0)</f>
        <v>0</v>
      </c>
      <c r="M323" s="205" t="n">
        <f aca="false">IF(ISNUMBER(kinematics!O165),kinematics!N165,MAX($D$6:$D$186))</f>
        <v>85</v>
      </c>
      <c r="N323" s="205" t="n">
        <f aca="false">IF(ISNUMBER(kinematics!O165),kinematics!P165,0)</f>
        <v>0</v>
      </c>
      <c r="O323" s="205" t="n">
        <f aca="false">IF(ISNUMBER(kinematics!O165),kinematics!R165,0)</f>
        <v>0</v>
      </c>
      <c r="P323" s="205" t="n">
        <f aca="false">IF(ISNUMBER(kinematics!O165),kinematics!S165,0)</f>
        <v>0</v>
      </c>
      <c r="R323" s="27" t="n">
        <f aca="false">O323</f>
        <v>0</v>
      </c>
      <c r="S323" s="27" t="n">
        <f aca="false">P323</f>
        <v>0</v>
      </c>
    </row>
    <row r="324" customFormat="false" ht="12.75" hidden="false" customHeight="false" outlineLevel="0" collapsed="false">
      <c r="C324" s="27" t="n">
        <f aca="false">IF(ISNUMBER(kinematics!O166),kinematics!O166,IF(ISNUMBER(kinematics!$O$30),MIN(kinematics!$O$30:$O$210),180))</f>
        <v>177.265</v>
      </c>
      <c r="D324" s="205" t="n">
        <f aca="false">IF(ISNUMBER(kinematics!O166),kinematics!N166,0)</f>
        <v>0</v>
      </c>
      <c r="E324" s="205" t="n">
        <f aca="false">IF(ISNUMBER(kinematics!O166),kinematics!R166,0)</f>
        <v>0</v>
      </c>
      <c r="I324" s="27" t="n">
        <f aca="false">C324</f>
        <v>177.265</v>
      </c>
      <c r="J324" s="205" t="n">
        <f aca="false">IF(ISNUMBER(kinematics!O166),kinematics!P166,0)</f>
        <v>0</v>
      </c>
      <c r="K324" s="205" t="n">
        <f aca="false">IF(ISNUMBER(kinematics!O166),kinematics!S166,0)</f>
        <v>0</v>
      </c>
      <c r="M324" s="205" t="n">
        <f aca="false">IF(ISNUMBER(kinematics!O166),kinematics!N166,MAX($D$6:$D$186))</f>
        <v>85</v>
      </c>
      <c r="N324" s="205" t="n">
        <f aca="false">IF(ISNUMBER(kinematics!O166),kinematics!P166,0)</f>
        <v>0</v>
      </c>
      <c r="O324" s="205" t="n">
        <f aca="false">IF(ISNUMBER(kinematics!O166),kinematics!R166,0)</f>
        <v>0</v>
      </c>
      <c r="P324" s="205" t="n">
        <f aca="false">IF(ISNUMBER(kinematics!O166),kinematics!S166,0)</f>
        <v>0</v>
      </c>
      <c r="R324" s="27" t="n">
        <f aca="false">O324</f>
        <v>0</v>
      </c>
      <c r="S324" s="27" t="n">
        <f aca="false">P324</f>
        <v>0</v>
      </c>
    </row>
    <row r="325" customFormat="false" ht="12.75" hidden="false" customHeight="false" outlineLevel="0" collapsed="false">
      <c r="C325" s="27" t="n">
        <f aca="false">IF(ISNUMBER(kinematics!O167),kinematics!O167,IF(ISNUMBER(kinematics!$O$30),MIN(kinematics!$O$30:$O$210),180))</f>
        <v>177.265</v>
      </c>
      <c r="D325" s="205" t="n">
        <f aca="false">IF(ISNUMBER(kinematics!O167),kinematics!N167,0)</f>
        <v>0</v>
      </c>
      <c r="E325" s="205" t="n">
        <f aca="false">IF(ISNUMBER(kinematics!O167),kinematics!R167,0)</f>
        <v>0</v>
      </c>
      <c r="I325" s="27" t="n">
        <f aca="false">C325</f>
        <v>177.265</v>
      </c>
      <c r="J325" s="205" t="n">
        <f aca="false">IF(ISNUMBER(kinematics!O167),kinematics!P167,0)</f>
        <v>0</v>
      </c>
      <c r="K325" s="205" t="n">
        <f aca="false">IF(ISNUMBER(kinematics!O167),kinematics!S167,0)</f>
        <v>0</v>
      </c>
      <c r="M325" s="205" t="n">
        <f aca="false">IF(ISNUMBER(kinematics!O167),kinematics!N167,MAX($D$6:$D$186))</f>
        <v>85</v>
      </c>
      <c r="N325" s="205" t="n">
        <f aca="false">IF(ISNUMBER(kinematics!O167),kinematics!P167,0)</f>
        <v>0</v>
      </c>
      <c r="O325" s="205" t="n">
        <f aca="false">IF(ISNUMBER(kinematics!O167),kinematics!R167,0)</f>
        <v>0</v>
      </c>
      <c r="P325" s="205" t="n">
        <f aca="false">IF(ISNUMBER(kinematics!O167),kinematics!S167,0)</f>
        <v>0</v>
      </c>
      <c r="R325" s="27" t="n">
        <f aca="false">O325</f>
        <v>0</v>
      </c>
      <c r="S325" s="27" t="n">
        <f aca="false">P325</f>
        <v>0</v>
      </c>
    </row>
    <row r="326" customFormat="false" ht="12.75" hidden="false" customHeight="false" outlineLevel="0" collapsed="false">
      <c r="C326" s="27" t="n">
        <f aca="false">IF(ISNUMBER(kinematics!O168),kinematics!O168,IF(ISNUMBER(kinematics!$O$30),MIN(kinematics!$O$30:$O$210),180))</f>
        <v>177.265</v>
      </c>
      <c r="D326" s="205" t="n">
        <f aca="false">IF(ISNUMBER(kinematics!O168),kinematics!N168,0)</f>
        <v>0</v>
      </c>
      <c r="E326" s="205" t="n">
        <f aca="false">IF(ISNUMBER(kinematics!O168),kinematics!R168,0)</f>
        <v>0</v>
      </c>
      <c r="I326" s="27" t="n">
        <f aca="false">C326</f>
        <v>177.265</v>
      </c>
      <c r="J326" s="205" t="n">
        <f aca="false">IF(ISNUMBER(kinematics!O168),kinematics!P168,0)</f>
        <v>0</v>
      </c>
      <c r="K326" s="205" t="n">
        <f aca="false">IF(ISNUMBER(kinematics!O168),kinematics!S168,0)</f>
        <v>0</v>
      </c>
      <c r="M326" s="205" t="n">
        <f aca="false">IF(ISNUMBER(kinematics!O168),kinematics!N168,MAX($D$6:$D$186))</f>
        <v>85</v>
      </c>
      <c r="N326" s="205" t="n">
        <f aca="false">IF(ISNUMBER(kinematics!O168),kinematics!P168,0)</f>
        <v>0</v>
      </c>
      <c r="O326" s="205" t="n">
        <f aca="false">IF(ISNUMBER(kinematics!O168),kinematics!R168,0)</f>
        <v>0</v>
      </c>
      <c r="P326" s="205" t="n">
        <f aca="false">IF(ISNUMBER(kinematics!O168),kinematics!S168,0)</f>
        <v>0</v>
      </c>
      <c r="R326" s="27" t="n">
        <f aca="false">O326</f>
        <v>0</v>
      </c>
      <c r="S326" s="27" t="n">
        <f aca="false">P326</f>
        <v>0</v>
      </c>
    </row>
    <row r="327" customFormat="false" ht="12.75" hidden="false" customHeight="false" outlineLevel="0" collapsed="false">
      <c r="C327" s="27" t="n">
        <f aca="false">IF(ISNUMBER(kinematics!O169),kinematics!O169,IF(ISNUMBER(kinematics!$O$30),MIN(kinematics!$O$30:$O$210),180))</f>
        <v>177.265</v>
      </c>
      <c r="D327" s="205" t="n">
        <f aca="false">IF(ISNUMBER(kinematics!O169),kinematics!N169,0)</f>
        <v>0</v>
      </c>
      <c r="E327" s="205" t="n">
        <f aca="false">IF(ISNUMBER(kinematics!O169),kinematics!R169,0)</f>
        <v>0</v>
      </c>
      <c r="I327" s="27" t="n">
        <f aca="false">C327</f>
        <v>177.265</v>
      </c>
      <c r="J327" s="205" t="n">
        <f aca="false">IF(ISNUMBER(kinematics!O169),kinematics!P169,0)</f>
        <v>0</v>
      </c>
      <c r="K327" s="205" t="n">
        <f aca="false">IF(ISNUMBER(kinematics!O169),kinematics!S169,0)</f>
        <v>0</v>
      </c>
      <c r="M327" s="205" t="n">
        <f aca="false">IF(ISNUMBER(kinematics!O169),kinematics!N169,MAX($D$6:$D$186))</f>
        <v>85</v>
      </c>
      <c r="N327" s="205" t="n">
        <f aca="false">IF(ISNUMBER(kinematics!O169),kinematics!P169,0)</f>
        <v>0</v>
      </c>
      <c r="O327" s="205" t="n">
        <f aca="false">IF(ISNUMBER(kinematics!O169),kinematics!R169,0)</f>
        <v>0</v>
      </c>
      <c r="P327" s="205" t="n">
        <f aca="false">IF(ISNUMBER(kinematics!O169),kinematics!S169,0)</f>
        <v>0</v>
      </c>
      <c r="R327" s="27" t="n">
        <f aca="false">O327</f>
        <v>0</v>
      </c>
      <c r="S327" s="27" t="n">
        <f aca="false">P327</f>
        <v>0</v>
      </c>
    </row>
    <row r="328" customFormat="false" ht="12.75" hidden="false" customHeight="false" outlineLevel="0" collapsed="false">
      <c r="C328" s="27" t="n">
        <f aca="false">IF(ISNUMBER(kinematics!O170),kinematics!O170,IF(ISNUMBER(kinematics!$O$30),MIN(kinematics!$O$30:$O$210),180))</f>
        <v>177.265</v>
      </c>
      <c r="D328" s="205" t="n">
        <f aca="false">IF(ISNUMBER(kinematics!O170),kinematics!N170,0)</f>
        <v>0</v>
      </c>
      <c r="E328" s="205" t="n">
        <f aca="false">IF(ISNUMBER(kinematics!O170),kinematics!R170,0)</f>
        <v>0</v>
      </c>
      <c r="I328" s="27" t="n">
        <f aca="false">C328</f>
        <v>177.265</v>
      </c>
      <c r="J328" s="205" t="n">
        <f aca="false">IF(ISNUMBER(kinematics!O170),kinematics!P170,0)</f>
        <v>0</v>
      </c>
      <c r="K328" s="205" t="n">
        <f aca="false">IF(ISNUMBER(kinematics!O170),kinematics!S170,0)</f>
        <v>0</v>
      </c>
      <c r="M328" s="205" t="n">
        <f aca="false">IF(ISNUMBER(kinematics!O170),kinematics!N170,MAX($D$6:$D$186))</f>
        <v>85</v>
      </c>
      <c r="N328" s="205" t="n">
        <f aca="false">IF(ISNUMBER(kinematics!O170),kinematics!P170,0)</f>
        <v>0</v>
      </c>
      <c r="O328" s="205" t="n">
        <f aca="false">IF(ISNUMBER(kinematics!O170),kinematics!R170,0)</f>
        <v>0</v>
      </c>
      <c r="P328" s="205" t="n">
        <f aca="false">IF(ISNUMBER(kinematics!O170),kinematics!S170,0)</f>
        <v>0</v>
      </c>
      <c r="R328" s="27" t="n">
        <f aca="false">O328</f>
        <v>0</v>
      </c>
      <c r="S328" s="27" t="n">
        <f aca="false">P328</f>
        <v>0</v>
      </c>
    </row>
    <row r="329" customFormat="false" ht="12.75" hidden="false" customHeight="false" outlineLevel="0" collapsed="false">
      <c r="C329" s="27" t="n">
        <f aca="false">IF(ISNUMBER(kinematics!O171),kinematics!O171,IF(ISNUMBER(kinematics!$O$30),MIN(kinematics!$O$30:$O$210),180))</f>
        <v>177.265</v>
      </c>
      <c r="D329" s="205" t="n">
        <f aca="false">IF(ISNUMBER(kinematics!O171),kinematics!N171,0)</f>
        <v>0</v>
      </c>
      <c r="E329" s="205" t="n">
        <f aca="false">IF(ISNUMBER(kinematics!O171),kinematics!R171,0)</f>
        <v>0</v>
      </c>
      <c r="I329" s="27" t="n">
        <f aca="false">C329</f>
        <v>177.265</v>
      </c>
      <c r="J329" s="205" t="n">
        <f aca="false">IF(ISNUMBER(kinematics!O171),kinematics!P171,0)</f>
        <v>0</v>
      </c>
      <c r="K329" s="205" t="n">
        <f aca="false">IF(ISNUMBER(kinematics!O171),kinematics!S171,0)</f>
        <v>0</v>
      </c>
      <c r="M329" s="205" t="n">
        <f aca="false">IF(ISNUMBER(kinematics!O171),kinematics!N171,MAX($D$6:$D$186))</f>
        <v>85</v>
      </c>
      <c r="N329" s="205" t="n">
        <f aca="false">IF(ISNUMBER(kinematics!O171),kinematics!P171,0)</f>
        <v>0</v>
      </c>
      <c r="O329" s="205" t="n">
        <f aca="false">IF(ISNUMBER(kinematics!O171),kinematics!R171,0)</f>
        <v>0</v>
      </c>
      <c r="P329" s="205" t="n">
        <f aca="false">IF(ISNUMBER(kinematics!O171),kinematics!S171,0)</f>
        <v>0</v>
      </c>
      <c r="R329" s="27" t="n">
        <f aca="false">O329</f>
        <v>0</v>
      </c>
      <c r="S329" s="27" t="n">
        <f aca="false">P329</f>
        <v>0</v>
      </c>
    </row>
    <row r="330" customFormat="false" ht="12.75" hidden="false" customHeight="false" outlineLevel="0" collapsed="false">
      <c r="C330" s="27" t="n">
        <f aca="false">IF(ISNUMBER(kinematics!O172),kinematics!O172,IF(ISNUMBER(kinematics!$O$30),MIN(kinematics!$O$30:$O$210),180))</f>
        <v>177.265</v>
      </c>
      <c r="D330" s="205" t="n">
        <f aca="false">IF(ISNUMBER(kinematics!O172),kinematics!N172,0)</f>
        <v>0</v>
      </c>
      <c r="E330" s="205" t="n">
        <f aca="false">IF(ISNUMBER(kinematics!O172),kinematics!R172,0)</f>
        <v>0</v>
      </c>
      <c r="I330" s="27" t="n">
        <f aca="false">C330</f>
        <v>177.265</v>
      </c>
      <c r="J330" s="205" t="n">
        <f aca="false">IF(ISNUMBER(kinematics!O172),kinematics!P172,0)</f>
        <v>0</v>
      </c>
      <c r="K330" s="205" t="n">
        <f aca="false">IF(ISNUMBER(kinematics!O172),kinematics!S172,0)</f>
        <v>0</v>
      </c>
      <c r="M330" s="205" t="n">
        <f aca="false">IF(ISNUMBER(kinematics!O172),kinematics!N172,MAX($D$6:$D$186))</f>
        <v>85</v>
      </c>
      <c r="N330" s="205" t="n">
        <f aca="false">IF(ISNUMBER(kinematics!O172),kinematics!P172,0)</f>
        <v>0</v>
      </c>
      <c r="O330" s="205" t="n">
        <f aca="false">IF(ISNUMBER(kinematics!O172),kinematics!R172,0)</f>
        <v>0</v>
      </c>
      <c r="P330" s="205" t="n">
        <f aca="false">IF(ISNUMBER(kinematics!O172),kinematics!S172,0)</f>
        <v>0</v>
      </c>
      <c r="R330" s="27" t="n">
        <f aca="false">O330</f>
        <v>0</v>
      </c>
      <c r="S330" s="27" t="n">
        <f aca="false">P330</f>
        <v>0</v>
      </c>
    </row>
    <row r="331" customFormat="false" ht="12.75" hidden="false" customHeight="false" outlineLevel="0" collapsed="false">
      <c r="C331" s="27" t="n">
        <f aca="false">IF(ISNUMBER(kinematics!O173),kinematics!O173,IF(ISNUMBER(kinematics!$O$30),MIN(kinematics!$O$30:$O$210),180))</f>
        <v>177.265</v>
      </c>
      <c r="D331" s="205" t="n">
        <f aca="false">IF(ISNUMBER(kinematics!O173),kinematics!N173,0)</f>
        <v>0</v>
      </c>
      <c r="E331" s="205" t="n">
        <f aca="false">IF(ISNUMBER(kinematics!O173),kinematics!R173,0)</f>
        <v>0</v>
      </c>
      <c r="I331" s="27" t="n">
        <f aca="false">C331</f>
        <v>177.265</v>
      </c>
      <c r="J331" s="205" t="n">
        <f aca="false">IF(ISNUMBER(kinematics!O173),kinematics!P173,0)</f>
        <v>0</v>
      </c>
      <c r="K331" s="205" t="n">
        <f aca="false">IF(ISNUMBER(kinematics!O173),kinematics!S173,0)</f>
        <v>0</v>
      </c>
      <c r="M331" s="205" t="n">
        <f aca="false">IF(ISNUMBER(kinematics!O173),kinematics!N173,MAX($D$6:$D$186))</f>
        <v>85</v>
      </c>
      <c r="N331" s="205" t="n">
        <f aca="false">IF(ISNUMBER(kinematics!O173),kinematics!P173,0)</f>
        <v>0</v>
      </c>
      <c r="O331" s="205" t="n">
        <f aca="false">IF(ISNUMBER(kinematics!O173),kinematics!R173,0)</f>
        <v>0</v>
      </c>
      <c r="P331" s="205" t="n">
        <f aca="false">IF(ISNUMBER(kinematics!O173),kinematics!S173,0)</f>
        <v>0</v>
      </c>
      <c r="R331" s="27" t="n">
        <f aca="false">O331</f>
        <v>0</v>
      </c>
      <c r="S331" s="27" t="n">
        <f aca="false">P331</f>
        <v>0</v>
      </c>
    </row>
    <row r="332" customFormat="false" ht="12.75" hidden="false" customHeight="false" outlineLevel="0" collapsed="false">
      <c r="C332" s="27" t="n">
        <f aca="false">IF(ISNUMBER(kinematics!O174),kinematics!O174,IF(ISNUMBER(kinematics!$O$30),MIN(kinematics!$O$30:$O$210),180))</f>
        <v>177.265</v>
      </c>
      <c r="D332" s="205" t="n">
        <f aca="false">IF(ISNUMBER(kinematics!O174),kinematics!N174,0)</f>
        <v>0</v>
      </c>
      <c r="E332" s="205" t="n">
        <f aca="false">IF(ISNUMBER(kinematics!O174),kinematics!R174,0)</f>
        <v>0</v>
      </c>
      <c r="I332" s="27" t="n">
        <f aca="false">C332</f>
        <v>177.265</v>
      </c>
      <c r="J332" s="205" t="n">
        <f aca="false">IF(ISNUMBER(kinematics!O174),kinematics!P174,0)</f>
        <v>0</v>
      </c>
      <c r="K332" s="205" t="n">
        <f aca="false">IF(ISNUMBER(kinematics!O174),kinematics!S174,0)</f>
        <v>0</v>
      </c>
      <c r="M332" s="205" t="n">
        <f aca="false">IF(ISNUMBER(kinematics!O174),kinematics!N174,MAX($D$6:$D$186))</f>
        <v>85</v>
      </c>
      <c r="N332" s="205" t="n">
        <f aca="false">IF(ISNUMBER(kinematics!O174),kinematics!P174,0)</f>
        <v>0</v>
      </c>
      <c r="O332" s="205" t="n">
        <f aca="false">IF(ISNUMBER(kinematics!O174),kinematics!R174,0)</f>
        <v>0</v>
      </c>
      <c r="P332" s="205" t="n">
        <f aca="false">IF(ISNUMBER(kinematics!O174),kinematics!S174,0)</f>
        <v>0</v>
      </c>
      <c r="R332" s="27" t="n">
        <f aca="false">O332</f>
        <v>0</v>
      </c>
      <c r="S332" s="27" t="n">
        <f aca="false">P332</f>
        <v>0</v>
      </c>
    </row>
    <row r="333" customFormat="false" ht="12.75" hidden="false" customHeight="false" outlineLevel="0" collapsed="false">
      <c r="C333" s="27" t="n">
        <f aca="false">IF(ISNUMBER(kinematics!O175),kinematics!O175,IF(ISNUMBER(kinematics!$O$30),MIN(kinematics!$O$30:$O$210),180))</f>
        <v>177.265</v>
      </c>
      <c r="D333" s="205" t="n">
        <f aca="false">IF(ISNUMBER(kinematics!O175),kinematics!N175,0)</f>
        <v>0</v>
      </c>
      <c r="E333" s="205" t="n">
        <f aca="false">IF(ISNUMBER(kinematics!O175),kinematics!R175,0)</f>
        <v>0</v>
      </c>
      <c r="I333" s="27" t="n">
        <f aca="false">C333</f>
        <v>177.265</v>
      </c>
      <c r="J333" s="205" t="n">
        <f aca="false">IF(ISNUMBER(kinematics!O175),kinematics!P175,0)</f>
        <v>0</v>
      </c>
      <c r="K333" s="205" t="n">
        <f aca="false">IF(ISNUMBER(kinematics!O175),kinematics!S175,0)</f>
        <v>0</v>
      </c>
      <c r="M333" s="205" t="n">
        <f aca="false">IF(ISNUMBER(kinematics!O175),kinematics!N175,MAX($D$6:$D$186))</f>
        <v>85</v>
      </c>
      <c r="N333" s="205" t="n">
        <f aca="false">IF(ISNUMBER(kinematics!O175),kinematics!P175,0)</f>
        <v>0</v>
      </c>
      <c r="O333" s="205" t="n">
        <f aca="false">IF(ISNUMBER(kinematics!O175),kinematics!R175,0)</f>
        <v>0</v>
      </c>
      <c r="P333" s="205" t="n">
        <f aca="false">IF(ISNUMBER(kinematics!O175),kinematics!S175,0)</f>
        <v>0</v>
      </c>
      <c r="R333" s="27" t="n">
        <f aca="false">O333</f>
        <v>0</v>
      </c>
      <c r="S333" s="27" t="n">
        <f aca="false">P333</f>
        <v>0</v>
      </c>
    </row>
    <row r="334" customFormat="false" ht="12.75" hidden="false" customHeight="false" outlineLevel="0" collapsed="false">
      <c r="C334" s="27" t="n">
        <f aca="false">IF(ISNUMBER(kinematics!O176),kinematics!O176,IF(ISNUMBER(kinematics!$O$30),MIN(kinematics!$O$30:$O$210),180))</f>
        <v>177.265</v>
      </c>
      <c r="D334" s="205" t="n">
        <f aca="false">IF(ISNUMBER(kinematics!O176),kinematics!N176,0)</f>
        <v>0</v>
      </c>
      <c r="E334" s="205" t="n">
        <f aca="false">IF(ISNUMBER(kinematics!O176),kinematics!R176,0)</f>
        <v>0</v>
      </c>
      <c r="I334" s="27" t="n">
        <f aca="false">C334</f>
        <v>177.265</v>
      </c>
      <c r="J334" s="205" t="n">
        <f aca="false">IF(ISNUMBER(kinematics!O176),kinematics!P176,0)</f>
        <v>0</v>
      </c>
      <c r="K334" s="205" t="n">
        <f aca="false">IF(ISNUMBER(kinematics!O176),kinematics!S176,0)</f>
        <v>0</v>
      </c>
      <c r="M334" s="205" t="n">
        <f aca="false">IF(ISNUMBER(kinematics!O176),kinematics!N176,MAX($D$6:$D$186))</f>
        <v>85</v>
      </c>
      <c r="N334" s="205" t="n">
        <f aca="false">IF(ISNUMBER(kinematics!O176),kinematics!P176,0)</f>
        <v>0</v>
      </c>
      <c r="O334" s="205" t="n">
        <f aca="false">IF(ISNUMBER(kinematics!O176),kinematics!R176,0)</f>
        <v>0</v>
      </c>
      <c r="P334" s="205" t="n">
        <f aca="false">IF(ISNUMBER(kinematics!O176),kinematics!S176,0)</f>
        <v>0</v>
      </c>
      <c r="R334" s="27" t="n">
        <f aca="false">O334</f>
        <v>0</v>
      </c>
      <c r="S334" s="27" t="n">
        <f aca="false">P334</f>
        <v>0</v>
      </c>
    </row>
    <row r="335" customFormat="false" ht="12.75" hidden="false" customHeight="false" outlineLevel="0" collapsed="false">
      <c r="C335" s="27" t="n">
        <f aca="false">IF(ISNUMBER(kinematics!O177),kinematics!O177,IF(ISNUMBER(kinematics!$O$30),MIN(kinematics!$O$30:$O$210),180))</f>
        <v>177.265</v>
      </c>
      <c r="D335" s="205" t="n">
        <f aca="false">IF(ISNUMBER(kinematics!O177),kinematics!N177,0)</f>
        <v>0</v>
      </c>
      <c r="E335" s="205" t="n">
        <f aca="false">IF(ISNUMBER(kinematics!O177),kinematics!R177,0)</f>
        <v>0</v>
      </c>
      <c r="I335" s="27" t="n">
        <f aca="false">C335</f>
        <v>177.265</v>
      </c>
      <c r="J335" s="205" t="n">
        <f aca="false">IF(ISNUMBER(kinematics!O177),kinematics!P177,0)</f>
        <v>0</v>
      </c>
      <c r="K335" s="205" t="n">
        <f aca="false">IF(ISNUMBER(kinematics!O177),kinematics!S177,0)</f>
        <v>0</v>
      </c>
      <c r="M335" s="205" t="n">
        <f aca="false">IF(ISNUMBER(kinematics!O177),kinematics!N177,MAX($D$6:$D$186))</f>
        <v>85</v>
      </c>
      <c r="N335" s="205" t="n">
        <f aca="false">IF(ISNUMBER(kinematics!O177),kinematics!P177,0)</f>
        <v>0</v>
      </c>
      <c r="O335" s="205" t="n">
        <f aca="false">IF(ISNUMBER(kinematics!O177),kinematics!R177,0)</f>
        <v>0</v>
      </c>
      <c r="P335" s="205" t="n">
        <f aca="false">IF(ISNUMBER(kinematics!O177),kinematics!S177,0)</f>
        <v>0</v>
      </c>
      <c r="R335" s="27" t="n">
        <f aca="false">O335</f>
        <v>0</v>
      </c>
      <c r="S335" s="27" t="n">
        <f aca="false">P335</f>
        <v>0</v>
      </c>
    </row>
    <row r="336" customFormat="false" ht="12.75" hidden="false" customHeight="false" outlineLevel="0" collapsed="false">
      <c r="C336" s="27" t="n">
        <f aca="false">IF(ISNUMBER(kinematics!O178),kinematics!O178,IF(ISNUMBER(kinematics!$O$30),MIN(kinematics!$O$30:$O$210),180))</f>
        <v>177.265</v>
      </c>
      <c r="D336" s="205" t="n">
        <f aca="false">IF(ISNUMBER(kinematics!O178),kinematics!N178,0)</f>
        <v>0</v>
      </c>
      <c r="E336" s="205" t="n">
        <f aca="false">IF(ISNUMBER(kinematics!O178),kinematics!R178,0)</f>
        <v>0</v>
      </c>
      <c r="I336" s="27" t="n">
        <f aca="false">C336</f>
        <v>177.265</v>
      </c>
      <c r="J336" s="205" t="n">
        <f aca="false">IF(ISNUMBER(kinematics!O178),kinematics!P178,0)</f>
        <v>0</v>
      </c>
      <c r="K336" s="205" t="n">
        <f aca="false">IF(ISNUMBER(kinematics!O178),kinematics!S178,0)</f>
        <v>0</v>
      </c>
      <c r="M336" s="205" t="n">
        <f aca="false">IF(ISNUMBER(kinematics!O178),kinematics!N178,MAX($D$6:$D$186))</f>
        <v>85</v>
      </c>
      <c r="N336" s="205" t="n">
        <f aca="false">IF(ISNUMBER(kinematics!O178),kinematics!P178,0)</f>
        <v>0</v>
      </c>
      <c r="O336" s="205" t="n">
        <f aca="false">IF(ISNUMBER(kinematics!O178),kinematics!R178,0)</f>
        <v>0</v>
      </c>
      <c r="P336" s="205" t="n">
        <f aca="false">IF(ISNUMBER(kinematics!O178),kinematics!S178,0)</f>
        <v>0</v>
      </c>
      <c r="R336" s="27" t="n">
        <f aca="false">O336</f>
        <v>0</v>
      </c>
      <c r="S336" s="27" t="n">
        <f aca="false">P336</f>
        <v>0</v>
      </c>
    </row>
    <row r="337" customFormat="false" ht="12.75" hidden="false" customHeight="false" outlineLevel="0" collapsed="false">
      <c r="C337" s="27" t="n">
        <f aca="false">IF(ISNUMBER(kinematics!O179),kinematics!O179,IF(ISNUMBER(kinematics!$O$30),MIN(kinematics!$O$30:$O$210),180))</f>
        <v>177.265</v>
      </c>
      <c r="D337" s="205" t="n">
        <f aca="false">IF(ISNUMBER(kinematics!O179),kinematics!N179,0)</f>
        <v>0</v>
      </c>
      <c r="E337" s="205" t="n">
        <f aca="false">IF(ISNUMBER(kinematics!O179),kinematics!R179,0)</f>
        <v>0</v>
      </c>
      <c r="I337" s="27" t="n">
        <f aca="false">C337</f>
        <v>177.265</v>
      </c>
      <c r="J337" s="205" t="n">
        <f aca="false">IF(ISNUMBER(kinematics!O179),kinematics!P179,0)</f>
        <v>0</v>
      </c>
      <c r="K337" s="205" t="n">
        <f aca="false">IF(ISNUMBER(kinematics!O179),kinematics!S179,0)</f>
        <v>0</v>
      </c>
      <c r="M337" s="205" t="n">
        <f aca="false">IF(ISNUMBER(kinematics!O179),kinematics!N179,MAX($D$6:$D$186))</f>
        <v>85</v>
      </c>
      <c r="N337" s="205" t="n">
        <f aca="false">IF(ISNUMBER(kinematics!O179),kinematics!P179,0)</f>
        <v>0</v>
      </c>
      <c r="O337" s="205" t="n">
        <f aca="false">IF(ISNUMBER(kinematics!O179),kinematics!R179,0)</f>
        <v>0</v>
      </c>
      <c r="P337" s="205" t="n">
        <f aca="false">IF(ISNUMBER(kinematics!O179),kinematics!S179,0)</f>
        <v>0</v>
      </c>
      <c r="R337" s="27" t="n">
        <f aca="false">O337</f>
        <v>0</v>
      </c>
      <c r="S337" s="27" t="n">
        <f aca="false">P337</f>
        <v>0</v>
      </c>
    </row>
    <row r="338" customFormat="false" ht="12.75" hidden="false" customHeight="false" outlineLevel="0" collapsed="false">
      <c r="C338" s="27" t="n">
        <f aca="false">IF(ISNUMBER(kinematics!O180),kinematics!O180,IF(ISNUMBER(kinematics!$O$30),MIN(kinematics!$O$30:$O$210),180))</f>
        <v>177.265</v>
      </c>
      <c r="D338" s="205" t="n">
        <f aca="false">IF(ISNUMBER(kinematics!O180),kinematics!N180,0)</f>
        <v>0</v>
      </c>
      <c r="E338" s="205" t="n">
        <f aca="false">IF(ISNUMBER(kinematics!O180),kinematics!R180,0)</f>
        <v>0</v>
      </c>
      <c r="I338" s="27" t="n">
        <f aca="false">C338</f>
        <v>177.265</v>
      </c>
      <c r="J338" s="205" t="n">
        <f aca="false">IF(ISNUMBER(kinematics!O180),kinematics!P180,0)</f>
        <v>0</v>
      </c>
      <c r="K338" s="205" t="n">
        <f aca="false">IF(ISNUMBER(kinematics!O180),kinematics!S180,0)</f>
        <v>0</v>
      </c>
      <c r="M338" s="205" t="n">
        <f aca="false">IF(ISNUMBER(kinematics!O180),kinematics!N180,MAX($D$6:$D$186))</f>
        <v>85</v>
      </c>
      <c r="N338" s="205" t="n">
        <f aca="false">IF(ISNUMBER(kinematics!O180),kinematics!P180,0)</f>
        <v>0</v>
      </c>
      <c r="O338" s="205" t="n">
        <f aca="false">IF(ISNUMBER(kinematics!O180),kinematics!R180,0)</f>
        <v>0</v>
      </c>
      <c r="P338" s="205" t="n">
        <f aca="false">IF(ISNUMBER(kinematics!O180),kinematics!S180,0)</f>
        <v>0</v>
      </c>
      <c r="R338" s="27" t="n">
        <f aca="false">O338</f>
        <v>0</v>
      </c>
      <c r="S338" s="27" t="n">
        <f aca="false">P338</f>
        <v>0</v>
      </c>
    </row>
    <row r="339" customFormat="false" ht="12.75" hidden="false" customHeight="false" outlineLevel="0" collapsed="false">
      <c r="C339" s="27" t="n">
        <f aca="false">IF(ISNUMBER(kinematics!O181),kinematics!O181,IF(ISNUMBER(kinematics!$O$30),MIN(kinematics!$O$30:$O$210),180))</f>
        <v>177.265</v>
      </c>
      <c r="D339" s="205" t="n">
        <f aca="false">IF(ISNUMBER(kinematics!O181),kinematics!N181,0)</f>
        <v>0</v>
      </c>
      <c r="E339" s="205" t="n">
        <f aca="false">IF(ISNUMBER(kinematics!O181),kinematics!R181,0)</f>
        <v>0</v>
      </c>
      <c r="I339" s="27" t="n">
        <f aca="false">C339</f>
        <v>177.265</v>
      </c>
      <c r="J339" s="205" t="n">
        <f aca="false">IF(ISNUMBER(kinematics!O181),kinematics!P181,0)</f>
        <v>0</v>
      </c>
      <c r="K339" s="205" t="n">
        <f aca="false">IF(ISNUMBER(kinematics!O181),kinematics!S181,0)</f>
        <v>0</v>
      </c>
      <c r="M339" s="205" t="n">
        <f aca="false">IF(ISNUMBER(kinematics!O181),kinematics!N181,MAX($D$6:$D$186))</f>
        <v>85</v>
      </c>
      <c r="N339" s="205" t="n">
        <f aca="false">IF(ISNUMBER(kinematics!O181),kinematics!P181,0)</f>
        <v>0</v>
      </c>
      <c r="O339" s="205" t="n">
        <f aca="false">IF(ISNUMBER(kinematics!O181),kinematics!R181,0)</f>
        <v>0</v>
      </c>
      <c r="P339" s="205" t="n">
        <f aca="false">IF(ISNUMBER(kinematics!O181),kinematics!S181,0)</f>
        <v>0</v>
      </c>
      <c r="R339" s="27" t="n">
        <f aca="false">O339</f>
        <v>0</v>
      </c>
      <c r="S339" s="27" t="n">
        <f aca="false">P339</f>
        <v>0</v>
      </c>
    </row>
    <row r="340" customFormat="false" ht="12.75" hidden="false" customHeight="false" outlineLevel="0" collapsed="false">
      <c r="C340" s="27" t="n">
        <f aca="false">IF(ISNUMBER(kinematics!O182),kinematics!O182,IF(ISNUMBER(kinematics!$O$30),MIN(kinematics!$O$30:$O$210),180))</f>
        <v>177.265</v>
      </c>
      <c r="D340" s="205" t="n">
        <f aca="false">IF(ISNUMBER(kinematics!O182),kinematics!N182,0)</f>
        <v>0</v>
      </c>
      <c r="E340" s="205" t="n">
        <f aca="false">IF(ISNUMBER(kinematics!O182),kinematics!R182,0)</f>
        <v>0</v>
      </c>
      <c r="I340" s="27" t="n">
        <f aca="false">C340</f>
        <v>177.265</v>
      </c>
      <c r="J340" s="205" t="n">
        <f aca="false">IF(ISNUMBER(kinematics!O182),kinematics!P182,0)</f>
        <v>0</v>
      </c>
      <c r="K340" s="205" t="n">
        <f aca="false">IF(ISNUMBER(kinematics!O182),kinematics!S182,0)</f>
        <v>0</v>
      </c>
      <c r="M340" s="205" t="n">
        <f aca="false">IF(ISNUMBER(kinematics!O182),kinematics!N182,MAX($D$6:$D$186))</f>
        <v>85</v>
      </c>
      <c r="N340" s="205" t="n">
        <f aca="false">IF(ISNUMBER(kinematics!O182),kinematics!P182,0)</f>
        <v>0</v>
      </c>
      <c r="O340" s="205" t="n">
        <f aca="false">IF(ISNUMBER(kinematics!O182),kinematics!R182,0)</f>
        <v>0</v>
      </c>
      <c r="P340" s="205" t="n">
        <f aca="false">IF(ISNUMBER(kinematics!O182),kinematics!S182,0)</f>
        <v>0</v>
      </c>
      <c r="R340" s="27" t="n">
        <f aca="false">O340</f>
        <v>0</v>
      </c>
      <c r="S340" s="27" t="n">
        <f aca="false">P340</f>
        <v>0</v>
      </c>
    </row>
    <row r="341" customFormat="false" ht="12.75" hidden="false" customHeight="false" outlineLevel="0" collapsed="false">
      <c r="C341" s="27" t="n">
        <f aca="false">IF(ISNUMBER(kinematics!O183),kinematics!O183,IF(ISNUMBER(kinematics!$O$30),MIN(kinematics!$O$30:$O$210),180))</f>
        <v>177.265</v>
      </c>
      <c r="D341" s="205" t="n">
        <f aca="false">IF(ISNUMBER(kinematics!O183),kinematics!N183,0)</f>
        <v>0</v>
      </c>
      <c r="E341" s="205" t="n">
        <f aca="false">IF(ISNUMBER(kinematics!O183),kinematics!R183,0)</f>
        <v>0</v>
      </c>
      <c r="I341" s="27" t="n">
        <f aca="false">C341</f>
        <v>177.265</v>
      </c>
      <c r="J341" s="205" t="n">
        <f aca="false">IF(ISNUMBER(kinematics!O183),kinematics!P183,0)</f>
        <v>0</v>
      </c>
      <c r="K341" s="205" t="n">
        <f aca="false">IF(ISNUMBER(kinematics!O183),kinematics!S183,0)</f>
        <v>0</v>
      </c>
      <c r="M341" s="205" t="n">
        <f aca="false">IF(ISNUMBER(kinematics!O183),kinematics!N183,MAX($D$6:$D$186))</f>
        <v>85</v>
      </c>
      <c r="N341" s="205" t="n">
        <f aca="false">IF(ISNUMBER(kinematics!O183),kinematics!P183,0)</f>
        <v>0</v>
      </c>
      <c r="O341" s="205" t="n">
        <f aca="false">IF(ISNUMBER(kinematics!O183),kinematics!R183,0)</f>
        <v>0</v>
      </c>
      <c r="P341" s="205" t="n">
        <f aca="false">IF(ISNUMBER(kinematics!O183),kinematics!S183,0)</f>
        <v>0</v>
      </c>
      <c r="R341" s="27" t="n">
        <f aca="false">O341</f>
        <v>0</v>
      </c>
      <c r="S341" s="27" t="n">
        <f aca="false">P341</f>
        <v>0</v>
      </c>
    </row>
    <row r="342" customFormat="false" ht="12.75" hidden="false" customHeight="false" outlineLevel="0" collapsed="false">
      <c r="C342" s="27" t="n">
        <f aca="false">IF(ISNUMBER(kinematics!O184),kinematics!O184,IF(ISNUMBER(kinematics!$O$30),MIN(kinematics!$O$30:$O$210),180))</f>
        <v>177.265</v>
      </c>
      <c r="D342" s="205" t="n">
        <f aca="false">IF(ISNUMBER(kinematics!O184),kinematics!N184,0)</f>
        <v>0</v>
      </c>
      <c r="E342" s="205" t="n">
        <f aca="false">IF(ISNUMBER(kinematics!O184),kinematics!R184,0)</f>
        <v>0</v>
      </c>
      <c r="I342" s="27" t="n">
        <f aca="false">C342</f>
        <v>177.265</v>
      </c>
      <c r="J342" s="205" t="n">
        <f aca="false">IF(ISNUMBER(kinematics!O184),kinematics!P184,0)</f>
        <v>0</v>
      </c>
      <c r="K342" s="205" t="n">
        <f aca="false">IF(ISNUMBER(kinematics!O184),kinematics!S184,0)</f>
        <v>0</v>
      </c>
      <c r="M342" s="205" t="n">
        <f aca="false">IF(ISNUMBER(kinematics!O184),kinematics!N184,MAX($D$6:$D$186))</f>
        <v>85</v>
      </c>
      <c r="N342" s="205" t="n">
        <f aca="false">IF(ISNUMBER(kinematics!O184),kinematics!P184,0)</f>
        <v>0</v>
      </c>
      <c r="O342" s="205" t="n">
        <f aca="false">IF(ISNUMBER(kinematics!O184),kinematics!R184,0)</f>
        <v>0</v>
      </c>
      <c r="P342" s="205" t="n">
        <f aca="false">IF(ISNUMBER(kinematics!O184),kinematics!S184,0)</f>
        <v>0</v>
      </c>
      <c r="R342" s="27" t="n">
        <f aca="false">O342</f>
        <v>0</v>
      </c>
      <c r="S342" s="27" t="n">
        <f aca="false">P342</f>
        <v>0</v>
      </c>
    </row>
    <row r="343" customFormat="false" ht="12.75" hidden="false" customHeight="false" outlineLevel="0" collapsed="false">
      <c r="C343" s="27" t="n">
        <f aca="false">IF(ISNUMBER(kinematics!O185),kinematics!O185,IF(ISNUMBER(kinematics!$O$30),MIN(kinematics!$O$30:$O$210),180))</f>
        <v>177.265</v>
      </c>
      <c r="D343" s="205" t="n">
        <f aca="false">IF(ISNUMBER(kinematics!O185),kinematics!N185,0)</f>
        <v>0</v>
      </c>
      <c r="E343" s="205" t="n">
        <f aca="false">IF(ISNUMBER(kinematics!O185),kinematics!R185,0)</f>
        <v>0</v>
      </c>
      <c r="I343" s="27" t="n">
        <f aca="false">C343</f>
        <v>177.265</v>
      </c>
      <c r="J343" s="205" t="n">
        <f aca="false">IF(ISNUMBER(kinematics!O185),kinematics!P185,0)</f>
        <v>0</v>
      </c>
      <c r="K343" s="205" t="n">
        <f aca="false">IF(ISNUMBER(kinematics!O185),kinematics!S185,0)</f>
        <v>0</v>
      </c>
      <c r="M343" s="205" t="n">
        <f aca="false">IF(ISNUMBER(kinematics!O185),kinematics!N185,MAX($D$6:$D$186))</f>
        <v>85</v>
      </c>
      <c r="N343" s="205" t="n">
        <f aca="false">IF(ISNUMBER(kinematics!O185),kinematics!P185,0)</f>
        <v>0</v>
      </c>
      <c r="O343" s="205" t="n">
        <f aca="false">IF(ISNUMBER(kinematics!O185),kinematics!R185,0)</f>
        <v>0</v>
      </c>
      <c r="P343" s="205" t="n">
        <f aca="false">IF(ISNUMBER(kinematics!O185),kinematics!S185,0)</f>
        <v>0</v>
      </c>
      <c r="R343" s="27" t="n">
        <f aca="false">O343</f>
        <v>0</v>
      </c>
      <c r="S343" s="27" t="n">
        <f aca="false">P343</f>
        <v>0</v>
      </c>
    </row>
    <row r="344" customFormat="false" ht="12.75" hidden="false" customHeight="false" outlineLevel="0" collapsed="false">
      <c r="C344" s="27" t="n">
        <f aca="false">IF(ISNUMBER(kinematics!O186),kinematics!O186,IF(ISNUMBER(kinematics!$O$30),MIN(kinematics!$O$30:$O$210),180))</f>
        <v>177.265</v>
      </c>
      <c r="D344" s="205" t="n">
        <f aca="false">IF(ISNUMBER(kinematics!O186),kinematics!N186,0)</f>
        <v>0</v>
      </c>
      <c r="E344" s="205" t="n">
        <f aca="false">IF(ISNUMBER(kinematics!O186),kinematics!R186,0)</f>
        <v>0</v>
      </c>
      <c r="I344" s="27" t="n">
        <f aca="false">C344</f>
        <v>177.265</v>
      </c>
      <c r="J344" s="205" t="n">
        <f aca="false">IF(ISNUMBER(kinematics!O186),kinematics!P186,0)</f>
        <v>0</v>
      </c>
      <c r="K344" s="205" t="n">
        <f aca="false">IF(ISNUMBER(kinematics!O186),kinematics!S186,0)</f>
        <v>0</v>
      </c>
      <c r="M344" s="205" t="n">
        <f aca="false">IF(ISNUMBER(kinematics!O186),kinematics!N186,MAX($D$6:$D$186))</f>
        <v>85</v>
      </c>
      <c r="N344" s="205" t="n">
        <f aca="false">IF(ISNUMBER(kinematics!O186),kinematics!P186,0)</f>
        <v>0</v>
      </c>
      <c r="O344" s="205" t="n">
        <f aca="false">IF(ISNUMBER(kinematics!O186),kinematics!R186,0)</f>
        <v>0</v>
      </c>
      <c r="P344" s="205" t="n">
        <f aca="false">IF(ISNUMBER(kinematics!O186),kinematics!S186,0)</f>
        <v>0</v>
      </c>
      <c r="R344" s="27" t="n">
        <f aca="false">O344</f>
        <v>0</v>
      </c>
      <c r="S344" s="27" t="n">
        <f aca="false">P344</f>
        <v>0</v>
      </c>
    </row>
    <row r="345" customFormat="false" ht="12.75" hidden="false" customHeight="false" outlineLevel="0" collapsed="false">
      <c r="C345" s="27" t="n">
        <f aca="false">IF(ISNUMBER(kinematics!O187),kinematics!O187,IF(ISNUMBER(kinematics!$O$30),MIN(kinematics!$O$30:$O$210),180))</f>
        <v>177.265</v>
      </c>
      <c r="D345" s="205" t="n">
        <f aca="false">IF(ISNUMBER(kinematics!O187),kinematics!N187,0)</f>
        <v>0</v>
      </c>
      <c r="E345" s="205" t="n">
        <f aca="false">IF(ISNUMBER(kinematics!O187),kinematics!R187,0)</f>
        <v>0</v>
      </c>
      <c r="I345" s="27" t="n">
        <f aca="false">C345</f>
        <v>177.265</v>
      </c>
      <c r="J345" s="205" t="n">
        <f aca="false">IF(ISNUMBER(kinematics!O187),kinematics!P187,0)</f>
        <v>0</v>
      </c>
      <c r="K345" s="205" t="n">
        <f aca="false">IF(ISNUMBER(kinematics!O187),kinematics!S187,0)</f>
        <v>0</v>
      </c>
      <c r="M345" s="205" t="n">
        <f aca="false">IF(ISNUMBER(kinematics!O187),kinematics!N187,MAX($D$6:$D$186))</f>
        <v>85</v>
      </c>
      <c r="N345" s="205" t="n">
        <f aca="false">IF(ISNUMBER(kinematics!O187),kinematics!P187,0)</f>
        <v>0</v>
      </c>
      <c r="O345" s="205" t="n">
        <f aca="false">IF(ISNUMBER(kinematics!O187),kinematics!R187,0)</f>
        <v>0</v>
      </c>
      <c r="P345" s="205" t="n">
        <f aca="false">IF(ISNUMBER(kinematics!O187),kinematics!S187,0)</f>
        <v>0</v>
      </c>
      <c r="R345" s="27" t="n">
        <f aca="false">O345</f>
        <v>0</v>
      </c>
      <c r="S345" s="27" t="n">
        <f aca="false">P345</f>
        <v>0</v>
      </c>
    </row>
    <row r="346" customFormat="false" ht="12.75" hidden="false" customHeight="false" outlineLevel="0" collapsed="false">
      <c r="C346" s="27" t="n">
        <f aca="false">IF(ISNUMBER(kinematics!O188),kinematics!O188,IF(ISNUMBER(kinematics!$O$30),MIN(kinematics!$O$30:$O$210),180))</f>
        <v>177.265</v>
      </c>
      <c r="D346" s="205" t="n">
        <f aca="false">IF(ISNUMBER(kinematics!O188),kinematics!N188,0)</f>
        <v>0</v>
      </c>
      <c r="E346" s="205" t="n">
        <f aca="false">IF(ISNUMBER(kinematics!O188),kinematics!R188,0)</f>
        <v>0</v>
      </c>
      <c r="I346" s="27" t="n">
        <f aca="false">C346</f>
        <v>177.265</v>
      </c>
      <c r="J346" s="205" t="n">
        <f aca="false">IF(ISNUMBER(kinematics!O188),kinematics!P188,0)</f>
        <v>0</v>
      </c>
      <c r="K346" s="205" t="n">
        <f aca="false">IF(ISNUMBER(kinematics!O188),kinematics!S188,0)</f>
        <v>0</v>
      </c>
      <c r="M346" s="205" t="n">
        <f aca="false">IF(ISNUMBER(kinematics!O188),kinematics!N188,MAX($D$6:$D$186))</f>
        <v>85</v>
      </c>
      <c r="N346" s="205" t="n">
        <f aca="false">IF(ISNUMBER(kinematics!O188),kinematics!P188,0)</f>
        <v>0</v>
      </c>
      <c r="O346" s="205" t="n">
        <f aca="false">IF(ISNUMBER(kinematics!O188),kinematics!R188,0)</f>
        <v>0</v>
      </c>
      <c r="P346" s="205" t="n">
        <f aca="false">IF(ISNUMBER(kinematics!O188),kinematics!S188,0)</f>
        <v>0</v>
      </c>
      <c r="R346" s="27" t="n">
        <f aca="false">O346</f>
        <v>0</v>
      </c>
      <c r="S346" s="27" t="n">
        <f aca="false">P346</f>
        <v>0</v>
      </c>
    </row>
    <row r="347" customFormat="false" ht="12.75" hidden="false" customHeight="false" outlineLevel="0" collapsed="false">
      <c r="C347" s="27" t="n">
        <f aca="false">IF(ISNUMBER(kinematics!O189),kinematics!O189,IF(ISNUMBER(kinematics!$O$30),MIN(kinematics!$O$30:$O$210),180))</f>
        <v>177.265</v>
      </c>
      <c r="D347" s="205" t="n">
        <f aca="false">IF(ISNUMBER(kinematics!O189),kinematics!N189,0)</f>
        <v>0</v>
      </c>
      <c r="E347" s="205" t="n">
        <f aca="false">IF(ISNUMBER(kinematics!O189),kinematics!R189,0)</f>
        <v>0</v>
      </c>
      <c r="I347" s="27" t="n">
        <f aca="false">C347</f>
        <v>177.265</v>
      </c>
      <c r="J347" s="205" t="n">
        <f aca="false">IF(ISNUMBER(kinematics!O189),kinematics!P189,0)</f>
        <v>0</v>
      </c>
      <c r="K347" s="205" t="n">
        <f aca="false">IF(ISNUMBER(kinematics!O189),kinematics!S189,0)</f>
        <v>0</v>
      </c>
      <c r="M347" s="205" t="n">
        <f aca="false">IF(ISNUMBER(kinematics!O189),kinematics!N189,MAX($D$6:$D$186))</f>
        <v>85</v>
      </c>
      <c r="N347" s="205" t="n">
        <f aca="false">IF(ISNUMBER(kinematics!O189),kinematics!P189,0)</f>
        <v>0</v>
      </c>
      <c r="O347" s="205" t="n">
        <f aca="false">IF(ISNUMBER(kinematics!O189),kinematics!R189,0)</f>
        <v>0</v>
      </c>
      <c r="P347" s="205" t="n">
        <f aca="false">IF(ISNUMBER(kinematics!O189),kinematics!S189,0)</f>
        <v>0</v>
      </c>
      <c r="R347" s="27" t="n">
        <f aca="false">O347</f>
        <v>0</v>
      </c>
      <c r="S347" s="27" t="n">
        <f aca="false">P347</f>
        <v>0</v>
      </c>
    </row>
    <row r="348" customFormat="false" ht="12.75" hidden="false" customHeight="false" outlineLevel="0" collapsed="false">
      <c r="C348" s="27" t="n">
        <f aca="false">IF(ISNUMBER(kinematics!O190),kinematics!O190,IF(ISNUMBER(kinematics!$O$30),MIN(kinematics!$O$30:$O$210),180))</f>
        <v>177.265</v>
      </c>
      <c r="D348" s="205" t="n">
        <f aca="false">IF(ISNUMBER(kinematics!O190),kinematics!N190,0)</f>
        <v>0</v>
      </c>
      <c r="E348" s="205" t="n">
        <f aca="false">IF(ISNUMBER(kinematics!O190),kinematics!R190,0)</f>
        <v>0</v>
      </c>
      <c r="I348" s="27" t="n">
        <f aca="false">C348</f>
        <v>177.265</v>
      </c>
      <c r="J348" s="205" t="n">
        <f aca="false">IF(ISNUMBER(kinematics!O190),kinematics!P190,0)</f>
        <v>0</v>
      </c>
      <c r="K348" s="205" t="n">
        <f aca="false">IF(ISNUMBER(kinematics!O190),kinematics!S190,0)</f>
        <v>0</v>
      </c>
      <c r="M348" s="205" t="n">
        <f aca="false">IF(ISNUMBER(kinematics!O190),kinematics!N190,MAX($D$6:$D$186))</f>
        <v>85</v>
      </c>
      <c r="N348" s="205" t="n">
        <f aca="false">IF(ISNUMBER(kinematics!O190),kinematics!P190,0)</f>
        <v>0</v>
      </c>
      <c r="O348" s="205" t="n">
        <f aca="false">IF(ISNUMBER(kinematics!O190),kinematics!R190,0)</f>
        <v>0</v>
      </c>
      <c r="P348" s="205" t="n">
        <f aca="false">IF(ISNUMBER(kinematics!O190),kinematics!S190,0)</f>
        <v>0</v>
      </c>
      <c r="R348" s="27" t="n">
        <f aca="false">O348</f>
        <v>0</v>
      </c>
      <c r="S348" s="27" t="n">
        <f aca="false">P348</f>
        <v>0</v>
      </c>
    </row>
    <row r="349" customFormat="false" ht="12.75" hidden="false" customHeight="false" outlineLevel="0" collapsed="false">
      <c r="C349" s="27" t="n">
        <f aca="false">IF(ISNUMBER(kinematics!O191),kinematics!O191,IF(ISNUMBER(kinematics!$O$30),MIN(kinematics!$O$30:$O$210),180))</f>
        <v>177.265</v>
      </c>
      <c r="D349" s="205" t="n">
        <f aca="false">IF(ISNUMBER(kinematics!O191),kinematics!N191,0)</f>
        <v>0</v>
      </c>
      <c r="E349" s="205" t="n">
        <f aca="false">IF(ISNUMBER(kinematics!O191),kinematics!R191,0)</f>
        <v>0</v>
      </c>
      <c r="I349" s="27" t="n">
        <f aca="false">C349</f>
        <v>177.265</v>
      </c>
      <c r="J349" s="205" t="n">
        <f aca="false">IF(ISNUMBER(kinematics!O191),kinematics!P191,0)</f>
        <v>0</v>
      </c>
      <c r="K349" s="205" t="n">
        <f aca="false">IF(ISNUMBER(kinematics!O191),kinematics!S191,0)</f>
        <v>0</v>
      </c>
      <c r="M349" s="205" t="n">
        <f aca="false">IF(ISNUMBER(kinematics!O191),kinematics!N191,MAX($D$6:$D$186))</f>
        <v>85</v>
      </c>
      <c r="N349" s="205" t="n">
        <f aca="false">IF(ISNUMBER(kinematics!O191),kinematics!P191,0)</f>
        <v>0</v>
      </c>
      <c r="O349" s="205" t="n">
        <f aca="false">IF(ISNUMBER(kinematics!O191),kinematics!R191,0)</f>
        <v>0</v>
      </c>
      <c r="P349" s="205" t="n">
        <f aca="false">IF(ISNUMBER(kinematics!O191),kinematics!S191,0)</f>
        <v>0</v>
      </c>
      <c r="R349" s="27" t="n">
        <f aca="false">O349</f>
        <v>0</v>
      </c>
      <c r="S349" s="27" t="n">
        <f aca="false">P349</f>
        <v>0</v>
      </c>
    </row>
    <row r="350" customFormat="false" ht="12.75" hidden="false" customHeight="false" outlineLevel="0" collapsed="false">
      <c r="C350" s="27" t="n">
        <f aca="false">IF(ISNUMBER(kinematics!O192),kinematics!O192,IF(ISNUMBER(kinematics!$O$30),MIN(kinematics!$O$30:$O$210),180))</f>
        <v>177.265</v>
      </c>
      <c r="D350" s="205" t="n">
        <f aca="false">IF(ISNUMBER(kinematics!O192),kinematics!N192,0)</f>
        <v>0</v>
      </c>
      <c r="E350" s="205" t="n">
        <f aca="false">IF(ISNUMBER(kinematics!O192),kinematics!R192,0)</f>
        <v>0</v>
      </c>
      <c r="I350" s="27" t="n">
        <f aca="false">C350</f>
        <v>177.265</v>
      </c>
      <c r="J350" s="205" t="n">
        <f aca="false">IF(ISNUMBER(kinematics!O192),kinematics!P192,0)</f>
        <v>0</v>
      </c>
      <c r="K350" s="205" t="n">
        <f aca="false">IF(ISNUMBER(kinematics!O192),kinematics!S192,0)</f>
        <v>0</v>
      </c>
      <c r="M350" s="205" t="n">
        <f aca="false">IF(ISNUMBER(kinematics!O192),kinematics!N192,MAX($D$6:$D$186))</f>
        <v>85</v>
      </c>
      <c r="N350" s="205" t="n">
        <f aca="false">IF(ISNUMBER(kinematics!O192),kinematics!P192,0)</f>
        <v>0</v>
      </c>
      <c r="O350" s="205" t="n">
        <f aca="false">IF(ISNUMBER(kinematics!O192),kinematics!R192,0)</f>
        <v>0</v>
      </c>
      <c r="P350" s="205" t="n">
        <f aca="false">IF(ISNUMBER(kinematics!O192),kinematics!S192,0)</f>
        <v>0</v>
      </c>
      <c r="R350" s="27" t="n">
        <f aca="false">O350</f>
        <v>0</v>
      </c>
      <c r="S350" s="27" t="n">
        <f aca="false">P350</f>
        <v>0</v>
      </c>
    </row>
    <row r="351" customFormat="false" ht="12.75" hidden="false" customHeight="false" outlineLevel="0" collapsed="false">
      <c r="C351" s="27" t="n">
        <f aca="false">IF(ISNUMBER(kinematics!O193),kinematics!O193,IF(ISNUMBER(kinematics!$O$30),MIN(kinematics!$O$30:$O$210),180))</f>
        <v>177.265</v>
      </c>
      <c r="D351" s="205" t="n">
        <f aca="false">IF(ISNUMBER(kinematics!O193),kinematics!N193,0)</f>
        <v>0</v>
      </c>
      <c r="E351" s="205" t="n">
        <f aca="false">IF(ISNUMBER(kinematics!O193),kinematics!R193,0)</f>
        <v>0</v>
      </c>
      <c r="I351" s="27" t="n">
        <f aca="false">C351</f>
        <v>177.265</v>
      </c>
      <c r="J351" s="205" t="n">
        <f aca="false">IF(ISNUMBER(kinematics!O193),kinematics!P193,0)</f>
        <v>0</v>
      </c>
      <c r="K351" s="205" t="n">
        <f aca="false">IF(ISNUMBER(kinematics!O193),kinematics!S193,0)</f>
        <v>0</v>
      </c>
      <c r="M351" s="205" t="n">
        <f aca="false">IF(ISNUMBER(kinematics!O193),kinematics!N193,MAX($D$6:$D$186))</f>
        <v>85</v>
      </c>
      <c r="N351" s="205" t="n">
        <f aca="false">IF(ISNUMBER(kinematics!O193),kinematics!P193,0)</f>
        <v>0</v>
      </c>
      <c r="O351" s="205" t="n">
        <f aca="false">IF(ISNUMBER(kinematics!O193),kinematics!R193,0)</f>
        <v>0</v>
      </c>
      <c r="P351" s="205" t="n">
        <f aca="false">IF(ISNUMBER(kinematics!O193),kinematics!S193,0)</f>
        <v>0</v>
      </c>
      <c r="R351" s="27" t="n">
        <f aca="false">O351</f>
        <v>0</v>
      </c>
      <c r="S351" s="27" t="n">
        <f aca="false">P351</f>
        <v>0</v>
      </c>
    </row>
    <row r="352" customFormat="false" ht="12.75" hidden="false" customHeight="false" outlineLevel="0" collapsed="false">
      <c r="C352" s="27" t="n">
        <f aca="false">IF(ISNUMBER(kinematics!O194),kinematics!O194,IF(ISNUMBER(kinematics!$O$30),MIN(kinematics!$O$30:$O$210),180))</f>
        <v>177.265</v>
      </c>
      <c r="D352" s="205" t="n">
        <f aca="false">IF(ISNUMBER(kinematics!O194),kinematics!N194,0)</f>
        <v>0</v>
      </c>
      <c r="E352" s="205" t="n">
        <f aca="false">IF(ISNUMBER(kinematics!O194),kinematics!R194,0)</f>
        <v>0</v>
      </c>
      <c r="I352" s="27" t="n">
        <f aca="false">C352</f>
        <v>177.265</v>
      </c>
      <c r="J352" s="205" t="n">
        <f aca="false">IF(ISNUMBER(kinematics!O194),kinematics!P194,0)</f>
        <v>0</v>
      </c>
      <c r="K352" s="205" t="n">
        <f aca="false">IF(ISNUMBER(kinematics!O194),kinematics!S194,0)</f>
        <v>0</v>
      </c>
      <c r="M352" s="205" t="n">
        <f aca="false">IF(ISNUMBER(kinematics!O194),kinematics!N194,MAX($D$6:$D$186))</f>
        <v>85</v>
      </c>
      <c r="N352" s="205" t="n">
        <f aca="false">IF(ISNUMBER(kinematics!O194),kinematics!P194,0)</f>
        <v>0</v>
      </c>
      <c r="O352" s="205" t="n">
        <f aca="false">IF(ISNUMBER(kinematics!O194),kinematics!R194,0)</f>
        <v>0</v>
      </c>
      <c r="P352" s="205" t="n">
        <f aca="false">IF(ISNUMBER(kinematics!O194),kinematics!S194,0)</f>
        <v>0</v>
      </c>
      <c r="R352" s="27" t="n">
        <f aca="false">O352</f>
        <v>0</v>
      </c>
      <c r="S352" s="27" t="n">
        <f aca="false">P352</f>
        <v>0</v>
      </c>
    </row>
    <row r="353" customFormat="false" ht="12.75" hidden="false" customHeight="false" outlineLevel="0" collapsed="false">
      <c r="C353" s="27" t="n">
        <f aca="false">IF(ISNUMBER(kinematics!O195),kinematics!O195,IF(ISNUMBER(kinematics!$O$30),MIN(kinematics!$O$30:$O$210),180))</f>
        <v>177.265</v>
      </c>
      <c r="D353" s="205" t="n">
        <f aca="false">IF(ISNUMBER(kinematics!O195),kinematics!N195,0)</f>
        <v>0</v>
      </c>
      <c r="E353" s="205" t="n">
        <f aca="false">IF(ISNUMBER(kinematics!O195),kinematics!R195,0)</f>
        <v>0</v>
      </c>
      <c r="I353" s="27" t="n">
        <f aca="false">C353</f>
        <v>177.265</v>
      </c>
      <c r="J353" s="205" t="n">
        <f aca="false">IF(ISNUMBER(kinematics!O195),kinematics!P195,0)</f>
        <v>0</v>
      </c>
      <c r="K353" s="205" t="n">
        <f aca="false">IF(ISNUMBER(kinematics!O195),kinematics!S195,0)</f>
        <v>0</v>
      </c>
      <c r="M353" s="205" t="n">
        <f aca="false">IF(ISNUMBER(kinematics!O195),kinematics!N195,MAX($D$6:$D$186))</f>
        <v>85</v>
      </c>
      <c r="N353" s="205" t="n">
        <f aca="false">IF(ISNUMBER(kinematics!O195),kinematics!P195,0)</f>
        <v>0</v>
      </c>
      <c r="O353" s="205" t="n">
        <f aca="false">IF(ISNUMBER(kinematics!O195),kinematics!R195,0)</f>
        <v>0</v>
      </c>
      <c r="P353" s="205" t="n">
        <f aca="false">IF(ISNUMBER(kinematics!O195),kinematics!S195,0)</f>
        <v>0</v>
      </c>
      <c r="R353" s="27" t="n">
        <f aca="false">O353</f>
        <v>0</v>
      </c>
      <c r="S353" s="27" t="n">
        <f aca="false">P353</f>
        <v>0</v>
      </c>
    </row>
    <row r="354" customFormat="false" ht="12.75" hidden="false" customHeight="false" outlineLevel="0" collapsed="false">
      <c r="C354" s="27" t="n">
        <f aca="false">IF(ISNUMBER(kinematics!O196),kinematics!O196,IF(ISNUMBER(kinematics!$O$30),MIN(kinematics!$O$30:$O$210),180))</f>
        <v>177.265</v>
      </c>
      <c r="D354" s="205" t="n">
        <f aca="false">IF(ISNUMBER(kinematics!O196),kinematics!N196,0)</f>
        <v>0</v>
      </c>
      <c r="E354" s="205" t="n">
        <f aca="false">IF(ISNUMBER(kinematics!O196),kinematics!R196,0)</f>
        <v>0</v>
      </c>
      <c r="I354" s="27" t="n">
        <f aca="false">C354</f>
        <v>177.265</v>
      </c>
      <c r="J354" s="205" t="n">
        <f aca="false">IF(ISNUMBER(kinematics!O196),kinematics!P196,0)</f>
        <v>0</v>
      </c>
      <c r="K354" s="205" t="n">
        <f aca="false">IF(ISNUMBER(kinematics!O196),kinematics!S196,0)</f>
        <v>0</v>
      </c>
      <c r="M354" s="205" t="n">
        <f aca="false">IF(ISNUMBER(kinematics!O196),kinematics!N196,MAX($D$6:$D$186))</f>
        <v>85</v>
      </c>
      <c r="N354" s="205" t="n">
        <f aca="false">IF(ISNUMBER(kinematics!O196),kinematics!P196,0)</f>
        <v>0</v>
      </c>
      <c r="O354" s="205" t="n">
        <f aca="false">IF(ISNUMBER(kinematics!O196),kinematics!R196,0)</f>
        <v>0</v>
      </c>
      <c r="P354" s="205" t="n">
        <f aca="false">IF(ISNUMBER(kinematics!O196),kinematics!S196,0)</f>
        <v>0</v>
      </c>
      <c r="R354" s="27" t="n">
        <f aca="false">O354</f>
        <v>0</v>
      </c>
      <c r="S354" s="27" t="n">
        <f aca="false">P354</f>
        <v>0</v>
      </c>
    </row>
    <row r="355" customFormat="false" ht="12.75" hidden="false" customHeight="false" outlineLevel="0" collapsed="false">
      <c r="C355" s="27" t="n">
        <f aca="false">IF(ISNUMBER(kinematics!O197),kinematics!O197,IF(ISNUMBER(kinematics!$O$30),MIN(kinematics!$O$30:$O$210),180))</f>
        <v>177.265</v>
      </c>
      <c r="D355" s="205" t="n">
        <f aca="false">IF(ISNUMBER(kinematics!O197),kinematics!N197,0)</f>
        <v>0</v>
      </c>
      <c r="E355" s="205" t="n">
        <f aca="false">IF(ISNUMBER(kinematics!O197),kinematics!R197,0)</f>
        <v>0</v>
      </c>
      <c r="I355" s="27" t="n">
        <f aca="false">C355</f>
        <v>177.265</v>
      </c>
      <c r="J355" s="205" t="n">
        <f aca="false">IF(ISNUMBER(kinematics!O197),kinematics!P197,0)</f>
        <v>0</v>
      </c>
      <c r="K355" s="205" t="n">
        <f aca="false">IF(ISNUMBER(kinematics!O197),kinematics!S197,0)</f>
        <v>0</v>
      </c>
      <c r="M355" s="205" t="n">
        <f aca="false">IF(ISNUMBER(kinematics!O197),kinematics!N197,MAX($D$6:$D$186))</f>
        <v>85</v>
      </c>
      <c r="N355" s="205" t="n">
        <f aca="false">IF(ISNUMBER(kinematics!O197),kinematics!P197,0)</f>
        <v>0</v>
      </c>
      <c r="O355" s="205" t="n">
        <f aca="false">IF(ISNUMBER(kinematics!O197),kinematics!R197,0)</f>
        <v>0</v>
      </c>
      <c r="P355" s="205" t="n">
        <f aca="false">IF(ISNUMBER(kinematics!O197),kinematics!S197,0)</f>
        <v>0</v>
      </c>
      <c r="R355" s="27" t="n">
        <f aca="false">O355</f>
        <v>0</v>
      </c>
      <c r="S355" s="27" t="n">
        <f aca="false">P355</f>
        <v>0</v>
      </c>
    </row>
    <row r="356" customFormat="false" ht="12.75" hidden="false" customHeight="false" outlineLevel="0" collapsed="false">
      <c r="C356" s="27" t="n">
        <f aca="false">IF(ISNUMBER(kinematics!O198),kinematics!O198,IF(ISNUMBER(kinematics!$O$30),MIN(kinematics!$O$30:$O$210),180))</f>
        <v>177.265</v>
      </c>
      <c r="D356" s="205" t="n">
        <f aca="false">IF(ISNUMBER(kinematics!O198),kinematics!N198,0)</f>
        <v>0</v>
      </c>
      <c r="E356" s="205" t="n">
        <f aca="false">IF(ISNUMBER(kinematics!O198),kinematics!R198,0)</f>
        <v>0</v>
      </c>
      <c r="I356" s="27" t="n">
        <f aca="false">C356</f>
        <v>177.265</v>
      </c>
      <c r="J356" s="205" t="n">
        <f aca="false">IF(ISNUMBER(kinematics!O198),kinematics!P198,0)</f>
        <v>0</v>
      </c>
      <c r="K356" s="205" t="n">
        <f aca="false">IF(ISNUMBER(kinematics!O198),kinematics!S198,0)</f>
        <v>0</v>
      </c>
      <c r="M356" s="205" t="n">
        <f aca="false">IF(ISNUMBER(kinematics!O198),kinematics!N198,MAX($D$6:$D$186))</f>
        <v>85</v>
      </c>
      <c r="N356" s="205" t="n">
        <f aca="false">IF(ISNUMBER(kinematics!O198),kinematics!P198,0)</f>
        <v>0</v>
      </c>
      <c r="O356" s="205" t="n">
        <f aca="false">IF(ISNUMBER(kinematics!O198),kinematics!R198,0)</f>
        <v>0</v>
      </c>
      <c r="P356" s="205" t="n">
        <f aca="false">IF(ISNUMBER(kinematics!O198),kinematics!S198,0)</f>
        <v>0</v>
      </c>
      <c r="R356" s="27" t="n">
        <f aca="false">O356</f>
        <v>0</v>
      </c>
      <c r="S356" s="27" t="n">
        <f aca="false">P356</f>
        <v>0</v>
      </c>
    </row>
    <row r="357" customFormat="false" ht="12.75" hidden="false" customHeight="false" outlineLevel="0" collapsed="false">
      <c r="C357" s="27" t="n">
        <f aca="false">IF(ISNUMBER(kinematics!O199),kinematics!O199,IF(ISNUMBER(kinematics!$O$30),MIN(kinematics!$O$30:$O$210),180))</f>
        <v>177.265</v>
      </c>
      <c r="D357" s="205" t="n">
        <f aca="false">IF(ISNUMBER(kinematics!O199),kinematics!N199,0)</f>
        <v>0</v>
      </c>
      <c r="E357" s="205" t="n">
        <f aca="false">IF(ISNUMBER(kinematics!O199),kinematics!R199,0)</f>
        <v>0</v>
      </c>
      <c r="I357" s="27" t="n">
        <f aca="false">C357</f>
        <v>177.265</v>
      </c>
      <c r="J357" s="205" t="n">
        <f aca="false">IF(ISNUMBER(kinematics!O199),kinematics!P199,0)</f>
        <v>0</v>
      </c>
      <c r="K357" s="205" t="n">
        <f aca="false">IF(ISNUMBER(kinematics!O199),kinematics!S199,0)</f>
        <v>0</v>
      </c>
      <c r="M357" s="205" t="n">
        <f aca="false">IF(ISNUMBER(kinematics!O199),kinematics!N199,MAX($D$6:$D$186))</f>
        <v>85</v>
      </c>
      <c r="N357" s="205" t="n">
        <f aca="false">IF(ISNUMBER(kinematics!O199),kinematics!P199,0)</f>
        <v>0</v>
      </c>
      <c r="O357" s="205" t="n">
        <f aca="false">IF(ISNUMBER(kinematics!O199),kinematics!R199,0)</f>
        <v>0</v>
      </c>
      <c r="P357" s="205" t="n">
        <f aca="false">IF(ISNUMBER(kinematics!O199),kinematics!S199,0)</f>
        <v>0</v>
      </c>
      <c r="R357" s="27" t="n">
        <f aca="false">O357</f>
        <v>0</v>
      </c>
      <c r="S357" s="27" t="n">
        <f aca="false">P357</f>
        <v>0</v>
      </c>
    </row>
    <row r="358" customFormat="false" ht="12.75" hidden="false" customHeight="false" outlineLevel="0" collapsed="false">
      <c r="C358" s="27" t="n">
        <f aca="false">IF(ISNUMBER(kinematics!O200),kinematics!O200,IF(ISNUMBER(kinematics!$O$30),MIN(kinematics!$O$30:$O$210),180))</f>
        <v>177.265</v>
      </c>
      <c r="D358" s="205" t="n">
        <f aca="false">IF(ISNUMBER(kinematics!O200),kinematics!N200,0)</f>
        <v>0</v>
      </c>
      <c r="E358" s="205" t="n">
        <f aca="false">IF(ISNUMBER(kinematics!O200),kinematics!R200,0)</f>
        <v>0</v>
      </c>
      <c r="I358" s="27" t="n">
        <f aca="false">C358</f>
        <v>177.265</v>
      </c>
      <c r="J358" s="205" t="n">
        <f aca="false">IF(ISNUMBER(kinematics!O200),kinematics!P200,0)</f>
        <v>0</v>
      </c>
      <c r="K358" s="205" t="n">
        <f aca="false">IF(ISNUMBER(kinematics!O200),kinematics!S200,0)</f>
        <v>0</v>
      </c>
      <c r="M358" s="205" t="n">
        <f aca="false">IF(ISNUMBER(kinematics!O200),kinematics!N200,MAX($D$6:$D$186))</f>
        <v>85</v>
      </c>
      <c r="N358" s="205" t="n">
        <f aca="false">IF(ISNUMBER(kinematics!O200),kinematics!P200,0)</f>
        <v>0</v>
      </c>
      <c r="O358" s="205" t="n">
        <f aca="false">IF(ISNUMBER(kinematics!O200),kinematics!R200,0)</f>
        <v>0</v>
      </c>
      <c r="P358" s="205" t="n">
        <f aca="false">IF(ISNUMBER(kinematics!O200),kinematics!S200,0)</f>
        <v>0</v>
      </c>
      <c r="R358" s="27" t="n">
        <f aca="false">O358</f>
        <v>0</v>
      </c>
      <c r="S358" s="27" t="n">
        <f aca="false">P358</f>
        <v>0</v>
      </c>
    </row>
    <row r="359" customFormat="false" ht="12.75" hidden="false" customHeight="false" outlineLevel="0" collapsed="false">
      <c r="C359" s="27" t="n">
        <f aca="false">IF(ISNUMBER(kinematics!O201),kinematics!O201,IF(ISNUMBER(kinematics!$O$30),MIN(kinematics!$O$30:$O$210),180))</f>
        <v>177.265</v>
      </c>
      <c r="D359" s="205" t="n">
        <f aca="false">IF(ISNUMBER(kinematics!O201),kinematics!N201,0)</f>
        <v>0</v>
      </c>
      <c r="E359" s="205" t="n">
        <f aca="false">IF(ISNUMBER(kinematics!O201),kinematics!R201,0)</f>
        <v>0</v>
      </c>
      <c r="I359" s="27" t="n">
        <f aca="false">C359</f>
        <v>177.265</v>
      </c>
      <c r="J359" s="205" t="n">
        <f aca="false">IF(ISNUMBER(kinematics!O201),kinematics!P201,0)</f>
        <v>0</v>
      </c>
      <c r="K359" s="205" t="n">
        <f aca="false">IF(ISNUMBER(kinematics!O201),kinematics!S201,0)</f>
        <v>0</v>
      </c>
      <c r="M359" s="205" t="n">
        <f aca="false">IF(ISNUMBER(kinematics!O201),kinematics!N201,MAX($D$6:$D$186))</f>
        <v>85</v>
      </c>
      <c r="N359" s="205" t="n">
        <f aca="false">IF(ISNUMBER(kinematics!O201),kinematics!P201,0)</f>
        <v>0</v>
      </c>
      <c r="O359" s="205" t="n">
        <f aca="false">IF(ISNUMBER(kinematics!O201),kinematics!R201,0)</f>
        <v>0</v>
      </c>
      <c r="P359" s="205" t="n">
        <f aca="false">IF(ISNUMBER(kinematics!O201),kinematics!S201,0)</f>
        <v>0</v>
      </c>
      <c r="R359" s="27" t="n">
        <f aca="false">O359</f>
        <v>0</v>
      </c>
      <c r="S359" s="27" t="n">
        <f aca="false">P359</f>
        <v>0</v>
      </c>
    </row>
    <row r="360" customFormat="false" ht="12.75" hidden="false" customHeight="false" outlineLevel="0" collapsed="false">
      <c r="C360" s="27" t="n">
        <f aca="false">IF(ISNUMBER(kinematics!O202),kinematics!O202,IF(ISNUMBER(kinematics!$O$30),MIN(kinematics!$O$30:$O$210),180))</f>
        <v>177.265</v>
      </c>
      <c r="D360" s="205" t="n">
        <f aca="false">IF(ISNUMBER(kinematics!O202),kinematics!N202,0)</f>
        <v>0</v>
      </c>
      <c r="E360" s="205" t="n">
        <f aca="false">IF(ISNUMBER(kinematics!O202),kinematics!R202,0)</f>
        <v>0</v>
      </c>
      <c r="I360" s="27" t="n">
        <f aca="false">C360</f>
        <v>177.265</v>
      </c>
      <c r="J360" s="205" t="n">
        <f aca="false">IF(ISNUMBER(kinematics!O202),kinematics!P202,0)</f>
        <v>0</v>
      </c>
      <c r="K360" s="205" t="n">
        <f aca="false">IF(ISNUMBER(kinematics!O202),kinematics!S202,0)</f>
        <v>0</v>
      </c>
      <c r="M360" s="205" t="n">
        <f aca="false">IF(ISNUMBER(kinematics!O202),kinematics!N202,MAX($D$6:$D$186))</f>
        <v>85</v>
      </c>
      <c r="N360" s="205" t="n">
        <f aca="false">IF(ISNUMBER(kinematics!O202),kinematics!P202,0)</f>
        <v>0</v>
      </c>
      <c r="O360" s="205" t="n">
        <f aca="false">IF(ISNUMBER(kinematics!O202),kinematics!R202,0)</f>
        <v>0</v>
      </c>
      <c r="P360" s="205" t="n">
        <f aca="false">IF(ISNUMBER(kinematics!O202),kinematics!S202,0)</f>
        <v>0</v>
      </c>
      <c r="R360" s="27" t="n">
        <f aca="false">O360</f>
        <v>0</v>
      </c>
      <c r="S360" s="27" t="n">
        <f aca="false">P360</f>
        <v>0</v>
      </c>
    </row>
    <row r="361" customFormat="false" ht="12.75" hidden="false" customHeight="false" outlineLevel="0" collapsed="false">
      <c r="C361" s="27" t="n">
        <f aca="false">IF(ISNUMBER(kinematics!O203),kinematics!O203,IF(ISNUMBER(kinematics!$O$30),MIN(kinematics!$O$30:$O$210),180))</f>
        <v>177.265</v>
      </c>
      <c r="D361" s="205" t="n">
        <f aca="false">IF(ISNUMBER(kinematics!O203),kinematics!N203,0)</f>
        <v>0</v>
      </c>
      <c r="E361" s="205" t="n">
        <f aca="false">IF(ISNUMBER(kinematics!O203),kinematics!R203,0)</f>
        <v>0</v>
      </c>
      <c r="I361" s="27" t="n">
        <f aca="false">C361</f>
        <v>177.265</v>
      </c>
      <c r="J361" s="205" t="n">
        <f aca="false">IF(ISNUMBER(kinematics!O203),kinematics!P203,0)</f>
        <v>0</v>
      </c>
      <c r="K361" s="205" t="n">
        <f aca="false">IF(ISNUMBER(kinematics!O203),kinematics!S203,0)</f>
        <v>0</v>
      </c>
      <c r="M361" s="205" t="n">
        <f aca="false">IF(ISNUMBER(kinematics!O203),kinematics!N203,MAX($D$6:$D$186))</f>
        <v>85</v>
      </c>
      <c r="N361" s="205" t="n">
        <f aca="false">IF(ISNUMBER(kinematics!O203),kinematics!P203,0)</f>
        <v>0</v>
      </c>
      <c r="O361" s="205" t="n">
        <f aca="false">IF(ISNUMBER(kinematics!O203),kinematics!R203,0)</f>
        <v>0</v>
      </c>
      <c r="P361" s="205" t="n">
        <f aca="false">IF(ISNUMBER(kinematics!O203),kinematics!S203,0)</f>
        <v>0</v>
      </c>
      <c r="R361" s="27" t="n">
        <f aca="false">O361</f>
        <v>0</v>
      </c>
      <c r="S361" s="27" t="n">
        <f aca="false">P361</f>
        <v>0</v>
      </c>
    </row>
    <row r="362" customFormat="false" ht="12.75" hidden="false" customHeight="false" outlineLevel="0" collapsed="false">
      <c r="C362" s="27" t="n">
        <f aca="false">IF(ISNUMBER(kinematics!O204),kinematics!O204,IF(ISNUMBER(kinematics!$O$30),MIN(kinematics!$O$30:$O$210),180))</f>
        <v>177.265</v>
      </c>
      <c r="D362" s="205" t="n">
        <f aca="false">IF(ISNUMBER(kinematics!O204),kinematics!N204,0)</f>
        <v>0</v>
      </c>
      <c r="E362" s="205" t="n">
        <f aca="false">IF(ISNUMBER(kinematics!O204),kinematics!R204,0)</f>
        <v>0</v>
      </c>
      <c r="I362" s="27" t="n">
        <f aca="false">C362</f>
        <v>177.265</v>
      </c>
      <c r="J362" s="205" t="n">
        <f aca="false">IF(ISNUMBER(kinematics!O204),kinematics!P204,0)</f>
        <v>0</v>
      </c>
      <c r="K362" s="205" t="n">
        <f aca="false">IF(ISNUMBER(kinematics!O204),kinematics!S204,0)</f>
        <v>0</v>
      </c>
      <c r="M362" s="205" t="n">
        <f aca="false">IF(ISNUMBER(kinematics!O204),kinematics!N204,MAX($D$6:$D$186))</f>
        <v>85</v>
      </c>
      <c r="N362" s="205" t="n">
        <f aca="false">IF(ISNUMBER(kinematics!O204),kinematics!P204,0)</f>
        <v>0</v>
      </c>
      <c r="O362" s="205" t="n">
        <f aca="false">IF(ISNUMBER(kinematics!O204),kinematics!R204,0)</f>
        <v>0</v>
      </c>
      <c r="P362" s="205" t="n">
        <f aca="false">IF(ISNUMBER(kinematics!O204),kinematics!S204,0)</f>
        <v>0</v>
      </c>
      <c r="R362" s="27" t="n">
        <f aca="false">O362</f>
        <v>0</v>
      </c>
      <c r="S362" s="27" t="n">
        <f aca="false">P362</f>
        <v>0</v>
      </c>
    </row>
    <row r="363" customFormat="false" ht="12.75" hidden="false" customHeight="false" outlineLevel="0" collapsed="false">
      <c r="C363" s="27" t="n">
        <f aca="false">IF(ISNUMBER(kinematics!O205),kinematics!O205,IF(ISNUMBER(kinematics!$O$30),MIN(kinematics!$O$30:$O$210),180))</f>
        <v>177.265</v>
      </c>
      <c r="D363" s="205" t="n">
        <f aca="false">IF(ISNUMBER(kinematics!O205),kinematics!N205,0)</f>
        <v>0</v>
      </c>
      <c r="E363" s="205" t="n">
        <f aca="false">IF(ISNUMBER(kinematics!O205),kinematics!R205,0)</f>
        <v>0</v>
      </c>
      <c r="I363" s="27" t="n">
        <f aca="false">C363</f>
        <v>177.265</v>
      </c>
      <c r="J363" s="205" t="n">
        <f aca="false">IF(ISNUMBER(kinematics!O205),kinematics!P205,0)</f>
        <v>0</v>
      </c>
      <c r="K363" s="205" t="n">
        <f aca="false">IF(ISNUMBER(kinematics!O205),kinematics!S205,0)</f>
        <v>0</v>
      </c>
      <c r="M363" s="205" t="n">
        <f aca="false">IF(ISNUMBER(kinematics!O205),kinematics!N205,MAX($D$6:$D$186))</f>
        <v>85</v>
      </c>
      <c r="N363" s="205" t="n">
        <f aca="false">IF(ISNUMBER(kinematics!O205),kinematics!P205,0)</f>
        <v>0</v>
      </c>
      <c r="O363" s="205" t="n">
        <f aca="false">IF(ISNUMBER(kinematics!O205),kinematics!R205,0)</f>
        <v>0</v>
      </c>
      <c r="P363" s="205" t="n">
        <f aca="false">IF(ISNUMBER(kinematics!O205),kinematics!S205,0)</f>
        <v>0</v>
      </c>
      <c r="R363" s="27" t="n">
        <f aca="false">O363</f>
        <v>0</v>
      </c>
      <c r="S363" s="27" t="n">
        <f aca="false">P363</f>
        <v>0</v>
      </c>
    </row>
    <row r="364" customFormat="false" ht="12.75" hidden="false" customHeight="false" outlineLevel="0" collapsed="false">
      <c r="C364" s="27" t="n">
        <f aca="false">IF(ISNUMBER(kinematics!O206),kinematics!O206,IF(ISNUMBER(kinematics!$O$30),MIN(kinematics!$O$30:$O$210),180))</f>
        <v>177.265</v>
      </c>
      <c r="D364" s="205" t="n">
        <f aca="false">IF(ISNUMBER(kinematics!O206),kinematics!N206,0)</f>
        <v>0</v>
      </c>
      <c r="E364" s="205" t="n">
        <f aca="false">IF(ISNUMBER(kinematics!O206),kinematics!R206,0)</f>
        <v>0</v>
      </c>
      <c r="I364" s="27" t="n">
        <f aca="false">C364</f>
        <v>177.265</v>
      </c>
      <c r="J364" s="205" t="n">
        <f aca="false">IF(ISNUMBER(kinematics!O206),kinematics!P206,0)</f>
        <v>0</v>
      </c>
      <c r="K364" s="205" t="n">
        <f aca="false">IF(ISNUMBER(kinematics!O206),kinematics!S206,0)</f>
        <v>0</v>
      </c>
      <c r="M364" s="205" t="n">
        <f aca="false">IF(ISNUMBER(kinematics!O206),kinematics!N206,MAX($D$6:$D$186))</f>
        <v>85</v>
      </c>
      <c r="N364" s="205" t="n">
        <f aca="false">IF(ISNUMBER(kinematics!O206),kinematics!P206,0)</f>
        <v>0</v>
      </c>
      <c r="O364" s="205" t="n">
        <f aca="false">IF(ISNUMBER(kinematics!O206),kinematics!R206,0)</f>
        <v>0</v>
      </c>
      <c r="P364" s="205" t="n">
        <f aca="false">IF(ISNUMBER(kinematics!O206),kinematics!S206,0)</f>
        <v>0</v>
      </c>
      <c r="R364" s="27" t="n">
        <f aca="false">O364</f>
        <v>0</v>
      </c>
      <c r="S364" s="27" t="n">
        <f aca="false">P364</f>
        <v>0</v>
      </c>
    </row>
    <row r="365" customFormat="false" ht="12.75" hidden="false" customHeight="false" outlineLevel="0" collapsed="false">
      <c r="C365" s="27" t="n">
        <f aca="false">IF(ISNUMBER(kinematics!O207),kinematics!O207,IF(ISNUMBER(kinematics!$O$30),MIN(kinematics!$O$30:$O$210),180))</f>
        <v>177.265</v>
      </c>
      <c r="D365" s="205" t="n">
        <f aca="false">IF(ISNUMBER(kinematics!O207),kinematics!N207,0)</f>
        <v>0</v>
      </c>
      <c r="E365" s="205" t="n">
        <f aca="false">IF(ISNUMBER(kinematics!O207),kinematics!R207,0)</f>
        <v>0</v>
      </c>
      <c r="I365" s="27" t="n">
        <f aca="false">C365</f>
        <v>177.265</v>
      </c>
      <c r="J365" s="205" t="n">
        <f aca="false">IF(ISNUMBER(kinematics!O207),kinematics!P207,0)</f>
        <v>0</v>
      </c>
      <c r="K365" s="205" t="n">
        <f aca="false">IF(ISNUMBER(kinematics!O207),kinematics!S207,0)</f>
        <v>0</v>
      </c>
      <c r="M365" s="205" t="n">
        <f aca="false">IF(ISNUMBER(kinematics!O207),kinematics!N207,MAX($D$6:$D$186))</f>
        <v>85</v>
      </c>
      <c r="N365" s="205" t="n">
        <f aca="false">IF(ISNUMBER(kinematics!O207),kinematics!P207,0)</f>
        <v>0</v>
      </c>
      <c r="O365" s="205" t="n">
        <f aca="false">IF(ISNUMBER(kinematics!O207),kinematics!R207,0)</f>
        <v>0</v>
      </c>
      <c r="P365" s="205" t="n">
        <f aca="false">IF(ISNUMBER(kinematics!O207),kinematics!S207,0)</f>
        <v>0</v>
      </c>
      <c r="R365" s="27" t="n">
        <f aca="false">O365</f>
        <v>0</v>
      </c>
      <c r="S365" s="27" t="n">
        <f aca="false">P365</f>
        <v>0</v>
      </c>
    </row>
    <row r="366" customFormat="false" ht="12.75" hidden="false" customHeight="false" outlineLevel="0" collapsed="false">
      <c r="C366" s="27" t="n">
        <f aca="false">IF(ISNUMBER(kinematics!O208),kinematics!O208,IF(ISNUMBER(kinematics!$O$30),MIN(kinematics!$O$30:$O$210),180))</f>
        <v>177.265</v>
      </c>
      <c r="D366" s="205" t="n">
        <f aca="false">IF(ISNUMBER(kinematics!O208),kinematics!N208,0)</f>
        <v>0</v>
      </c>
      <c r="E366" s="205" t="n">
        <f aca="false">IF(ISNUMBER(kinematics!O208),kinematics!R208,0)</f>
        <v>0</v>
      </c>
      <c r="I366" s="27" t="n">
        <f aca="false">C366</f>
        <v>177.265</v>
      </c>
      <c r="J366" s="205" t="n">
        <f aca="false">IF(ISNUMBER(kinematics!O208),kinematics!P208,0)</f>
        <v>0</v>
      </c>
      <c r="K366" s="205" t="n">
        <f aca="false">IF(ISNUMBER(kinematics!O208),kinematics!S208,0)</f>
        <v>0</v>
      </c>
      <c r="M366" s="205" t="n">
        <f aca="false">IF(ISNUMBER(kinematics!O208),kinematics!N208,MAX($D$6:$D$186))</f>
        <v>85</v>
      </c>
      <c r="N366" s="205" t="n">
        <f aca="false">IF(ISNUMBER(kinematics!O208),kinematics!P208,0)</f>
        <v>0</v>
      </c>
      <c r="O366" s="205" t="n">
        <f aca="false">IF(ISNUMBER(kinematics!O208),kinematics!R208,0)</f>
        <v>0</v>
      </c>
      <c r="P366" s="205" t="n">
        <f aca="false">IF(ISNUMBER(kinematics!O208),kinematics!S208,0)</f>
        <v>0</v>
      </c>
      <c r="R366" s="27" t="n">
        <f aca="false">O366</f>
        <v>0</v>
      </c>
      <c r="S366" s="27" t="n">
        <f aca="false">P366</f>
        <v>0</v>
      </c>
    </row>
    <row r="367" customFormat="false" ht="12.75" hidden="false" customHeight="false" outlineLevel="0" collapsed="false">
      <c r="C367" s="27" t="n">
        <f aca="false">IF(ISNUMBER(kinematics!O209),kinematics!O209,IF(ISNUMBER(kinematics!$O$30),MIN(kinematics!$O$30:$O$210),180))</f>
        <v>177.265</v>
      </c>
      <c r="D367" s="205" t="n">
        <f aca="false">IF(ISNUMBER(kinematics!O209),kinematics!N209,0)</f>
        <v>0</v>
      </c>
      <c r="E367" s="205" t="n">
        <f aca="false">IF(ISNUMBER(kinematics!O209),kinematics!R209,0)</f>
        <v>0</v>
      </c>
      <c r="I367" s="27" t="n">
        <f aca="false">C367</f>
        <v>177.265</v>
      </c>
      <c r="J367" s="205" t="n">
        <f aca="false">IF(ISNUMBER(kinematics!O209),kinematics!P209,0)</f>
        <v>0</v>
      </c>
      <c r="K367" s="205" t="n">
        <f aca="false">IF(ISNUMBER(kinematics!O209),kinematics!S209,0)</f>
        <v>0</v>
      </c>
      <c r="M367" s="205" t="n">
        <f aca="false">IF(ISNUMBER(kinematics!O209),kinematics!N209,MAX($D$6:$D$186))</f>
        <v>85</v>
      </c>
      <c r="N367" s="205" t="n">
        <f aca="false">IF(ISNUMBER(kinematics!O209),kinematics!P209,0)</f>
        <v>0</v>
      </c>
      <c r="O367" s="205" t="n">
        <f aca="false">IF(ISNUMBER(kinematics!O209),kinematics!R209,0)</f>
        <v>0</v>
      </c>
      <c r="P367" s="205" t="n">
        <f aca="false">IF(ISNUMBER(kinematics!O209),kinematics!S209,0)</f>
        <v>0</v>
      </c>
      <c r="R367" s="27" t="n">
        <f aca="false">O367</f>
        <v>0</v>
      </c>
      <c r="S367" s="27" t="n">
        <f aca="false">P367</f>
        <v>0</v>
      </c>
    </row>
    <row r="368" customFormat="false" ht="12.75" hidden="false" customHeight="false" outlineLevel="0" collapsed="false">
      <c r="C368" s="27" t="n">
        <f aca="false">IF(ISNUMBER(kinematics!O210),kinematics!O210,IF(ISNUMBER(kinematics!$O$30),MIN(kinematics!$O$30:$O$210),180))</f>
        <v>177.265</v>
      </c>
      <c r="D368" s="205" t="n">
        <f aca="false">IF(ISNUMBER(kinematics!O210),kinematics!N210,0)</f>
        <v>0</v>
      </c>
      <c r="E368" s="205" t="n">
        <f aca="false">IF(ISNUMBER(kinematics!O210),kinematics!R210,0)</f>
        <v>0</v>
      </c>
      <c r="I368" s="27" t="n">
        <f aca="false">C368</f>
        <v>177.265</v>
      </c>
      <c r="J368" s="205" t="n">
        <f aca="false">IF(ISNUMBER(kinematics!O210),kinematics!P210,0)</f>
        <v>0</v>
      </c>
      <c r="K368" s="205" t="n">
        <f aca="false">IF(ISNUMBER(kinematics!O210),kinematics!S210,0)</f>
        <v>0</v>
      </c>
      <c r="M368" s="205" t="n">
        <f aca="false">IF(ISNUMBER(kinematics!O210),kinematics!N210,MAX($D$6:$D$186))</f>
        <v>85</v>
      </c>
      <c r="N368" s="205" t="n">
        <f aca="false">IF(ISNUMBER(kinematics!O210),kinematics!P210,0)</f>
        <v>0</v>
      </c>
      <c r="O368" s="205" t="n">
        <f aca="false">IF(ISNUMBER(kinematics!O210),kinematics!R210,0)</f>
        <v>0</v>
      </c>
      <c r="P368" s="205" t="n">
        <f aca="false">IF(ISNUMBER(kinematics!O210),kinematics!S210,0)</f>
        <v>0</v>
      </c>
      <c r="R368" s="27" t="n">
        <f aca="false">O368</f>
        <v>0</v>
      </c>
      <c r="S368" s="27" t="n">
        <f aca="false">P368</f>
        <v>0</v>
      </c>
    </row>
  </sheetData>
  <sheetProtection algorithmName="SHA-512" hashValue="dH20MeCzR6g087fLU6WeCY6sbf6ZKONh8+mPb1y/cWe+XNhkUT1MM+ciKTnYEr2paQZmp+gEdEKQRmRLkY9nZw==" saltValue="8mD+0E7V/7ghnzkKzcE8LQ==" spinCount="100000" sheet="true" objects="true" scenarios="true"/>
  <mergeCells count="2">
    <mergeCell ref="A3:E3"/>
    <mergeCell ref="G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4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1" t="s">
        <v>280</v>
      </c>
      <c r="E1" s="2" t="s">
        <v>281</v>
      </c>
      <c r="H1" s="79" t="s">
        <v>12</v>
      </c>
      <c r="I1" s="2"/>
      <c r="J1" s="2"/>
      <c r="K1" s="2"/>
    </row>
    <row r="2" customFormat="false" ht="12.75" hidden="false" customHeight="false" outlineLevel="0" collapsed="false">
      <c r="A2" s="1" t="n">
        <v>931.5016</v>
      </c>
      <c r="D2" s="1" t="s">
        <v>0</v>
      </c>
      <c r="E2" s="1" t="n">
        <f aca="false">F2+H2/$A$2</f>
        <v>157.929894046344</v>
      </c>
      <c r="F2" s="1" t="n">
        <f aca="false">kinematics!D5</f>
        <v>158</v>
      </c>
      <c r="G2" s="1" t="str">
        <f aca="false">INDEX(Symbol_values,MATCH(kinematics!I5,Z_values,0))</f>
        <v>Er</v>
      </c>
      <c r="H2" s="1" t="n">
        <f aca="true">VLOOKUP(kinematics!C5,INDIRECT(ADDRESS(MATCH(kinematics!D5,A_values,0),4,1)):INDIRECT(ADDRESS(MATCH(kinematics!D5+1,A_values,0)-1,7,1)),4,FALSE())/1000</f>
        <v>-65.303808</v>
      </c>
      <c r="J2" s="221" t="s">
        <v>282</v>
      </c>
      <c r="K2" s="221"/>
      <c r="L2" s="221"/>
      <c r="M2" s="221"/>
    </row>
    <row r="3" customFormat="false" ht="12.75" hidden="false" customHeight="false" outlineLevel="0" collapsed="false">
      <c r="D3" s="1" t="s">
        <v>21</v>
      </c>
      <c r="E3" s="1" t="n">
        <f aca="false">F3+H3/$A$2</f>
        <v>57.9353423075172</v>
      </c>
      <c r="F3" s="1" t="n">
        <f aca="false">kinematics!D6</f>
        <v>58</v>
      </c>
      <c r="G3" s="1" t="str">
        <f aca="false">INDEX(Symbol_values,MATCH(kinematics!I6,Z_values,0))</f>
        <v>Ni</v>
      </c>
      <c r="H3" s="1" t="n">
        <f aca="true">VLOOKUP(kinematics!C6,INDIRECT(ADDRESS(MATCH(kinematics!D6,A_values,0),4,1)):INDIRECT(ADDRESS(MATCH(kinematics!D6+1,A_values,0)-1,7,1)),4,FALSE())/1000</f>
        <v>-60.228744</v>
      </c>
      <c r="K3" s="222" t="s">
        <v>283</v>
      </c>
    </row>
    <row r="4" customFormat="false" ht="12.75" hidden="false" customHeight="false" outlineLevel="0" collapsed="false">
      <c r="D4" s="1" t="s">
        <v>27</v>
      </c>
      <c r="E4" s="1" t="n">
        <f aca="false">F4+H4/$A$2</f>
        <v>57.9353423075172</v>
      </c>
      <c r="F4" s="1" t="n">
        <f aca="false">kinematics!D8</f>
        <v>58</v>
      </c>
      <c r="G4" s="1" t="str">
        <f aca="false">INDEX(Symbol_values,MATCH(kinematics!I8,Z_values,0))</f>
        <v>Ni</v>
      </c>
      <c r="H4" s="1" t="n">
        <f aca="true">VLOOKUP(kinematics!C8,INDIRECT(ADDRESS(MATCH(kinematics!D8,A_values,0),4,1)):INDIRECT(ADDRESS(MATCH(kinematics!D8+1,A_values,0)-1,7,1)),4,FALSE())/1000</f>
        <v>-60.228744</v>
      </c>
      <c r="J4" s="223" t="s">
        <v>284</v>
      </c>
      <c r="K4" s="221"/>
      <c r="L4" s="221"/>
      <c r="M4" s="221"/>
    </row>
    <row r="5" customFormat="false" ht="12.75" hidden="false" customHeight="false" outlineLevel="0" collapsed="false">
      <c r="D5" s="1" t="s">
        <v>30</v>
      </c>
      <c r="E5" s="1" t="n">
        <f aca="false">F5+H5/$A$2</f>
        <v>157.929894046344</v>
      </c>
      <c r="F5" s="1" t="n">
        <f aca="false">kinematics!D10</f>
        <v>158</v>
      </c>
      <c r="G5" s="1" t="str">
        <f aca="false">INDEX(Symbol_values,MATCH(kinematics!I10,Z_values,0))</f>
        <v>Er</v>
      </c>
      <c r="H5" s="1" t="n">
        <f aca="true">VLOOKUP(kinematics!C10,INDIRECT(ADDRESS(MATCH(kinematics!D10,A_values,0),4,1)):INDIRECT(ADDRESS(MATCH(kinematics!D10+1,A_values,0)-1,7,1)),4,FALSE())/1000</f>
        <v>-65.303808</v>
      </c>
    </row>
    <row r="6" customFormat="false" ht="12.75" hidden="false" customHeight="false" outlineLevel="0" collapsed="false">
      <c r="J6" s="224" t="s">
        <v>285</v>
      </c>
      <c r="K6" s="116"/>
      <c r="L6" s="116"/>
      <c r="M6" s="225" t="s">
        <v>286</v>
      </c>
    </row>
    <row r="7" customFormat="false" ht="12.75" hidden="false" customHeight="false" outlineLevel="0" collapsed="false">
      <c r="A7" s="2" t="s">
        <v>287</v>
      </c>
      <c r="B7" s="2" t="s">
        <v>238</v>
      </c>
      <c r="C7" s="2" t="s">
        <v>102</v>
      </c>
      <c r="D7" s="2"/>
      <c r="E7" s="79" t="s">
        <v>288</v>
      </c>
      <c r="F7" s="79" t="s">
        <v>289</v>
      </c>
      <c r="G7" s="79" t="s">
        <v>290</v>
      </c>
      <c r="J7" s="226" t="s">
        <v>291</v>
      </c>
      <c r="K7" s="116"/>
      <c r="L7" s="116"/>
      <c r="M7" s="227" t="s">
        <v>292</v>
      </c>
    </row>
    <row r="8" customFormat="false" ht="12.75" hidden="false" customHeight="false" outlineLevel="0" collapsed="false">
      <c r="A8" s="1" t="n">
        <v>1</v>
      </c>
      <c r="B8" s="1" t="n">
        <v>0</v>
      </c>
      <c r="C8" s="1" t="n">
        <v>1</v>
      </c>
      <c r="D8" s="227" t="s">
        <v>99</v>
      </c>
      <c r="E8" s="1" t="n">
        <v>8071.31713</v>
      </c>
      <c r="F8" s="1" t="n">
        <v>0.00046</v>
      </c>
      <c r="G8" s="1" t="n">
        <f aca="false">IF(ISNUMBER(E8),E8,VALUE(SUBSTITUTE(E8,"#",".01")))</f>
        <v>8071.31713</v>
      </c>
    </row>
    <row r="9" customFormat="false" ht="12.75" hidden="false" customHeight="false" outlineLevel="0" collapsed="false">
      <c r="A9" s="1" t="n">
        <v>0</v>
      </c>
      <c r="B9" s="1" t="n">
        <v>1</v>
      </c>
      <c r="C9" s="1" t="n">
        <v>1</v>
      </c>
      <c r="D9" s="1" t="s">
        <v>293</v>
      </c>
      <c r="E9" s="1" t="n">
        <v>7288.97061</v>
      </c>
      <c r="F9" s="1" t="n">
        <v>9E-005</v>
      </c>
      <c r="G9" s="1" t="n">
        <f aca="false">IF(ISNUMBER(E9),E9,VALUE(SUBSTITUTE(E9,"#",".01")))</f>
        <v>7288.97061</v>
      </c>
    </row>
    <row r="10" customFormat="false" ht="12.75" hidden="false" customHeight="false" outlineLevel="0" collapsed="false">
      <c r="A10" s="1" t="n">
        <v>1</v>
      </c>
      <c r="B10" s="1" t="n">
        <v>1</v>
      </c>
      <c r="C10" s="1" t="n">
        <v>2</v>
      </c>
      <c r="D10" s="1" t="s">
        <v>293</v>
      </c>
      <c r="E10" s="1" t="n">
        <v>13135.72176</v>
      </c>
      <c r="F10" s="1" t="n">
        <v>0.00011</v>
      </c>
      <c r="G10" s="1" t="n">
        <f aca="false">IF(ISNUMBER(E10),E10,VALUE(SUBSTITUTE(E10,"#",".01")))</f>
        <v>13135.72176</v>
      </c>
    </row>
    <row r="11" customFormat="false" ht="12.75" hidden="false" customHeight="false" outlineLevel="0" collapsed="false">
      <c r="A11" s="1" t="n">
        <v>2</v>
      </c>
      <c r="B11" s="1" t="n">
        <v>1</v>
      </c>
      <c r="C11" s="1" t="n">
        <v>3</v>
      </c>
      <c r="D11" s="1" t="s">
        <v>293</v>
      </c>
      <c r="E11" s="1" t="n">
        <v>14949.80993</v>
      </c>
      <c r="F11" s="1" t="n">
        <v>0.00022</v>
      </c>
      <c r="G11" s="1" t="n">
        <f aca="false">IF(ISNUMBER(E11),E11,VALUE(SUBSTITUTE(E11,"#",".01")))</f>
        <v>14949.80993</v>
      </c>
    </row>
    <row r="12" customFormat="false" ht="12.75" hidden="false" customHeight="false" outlineLevel="0" collapsed="false">
      <c r="A12" s="1" t="n">
        <v>1</v>
      </c>
      <c r="B12" s="1" t="n">
        <v>2</v>
      </c>
      <c r="C12" s="1" t="n">
        <v>3</v>
      </c>
      <c r="D12" s="1" t="s">
        <v>294</v>
      </c>
      <c r="E12" s="1" t="n">
        <v>14931.21793</v>
      </c>
      <c r="F12" s="1" t="n">
        <v>0.00021</v>
      </c>
      <c r="G12" s="1" t="n">
        <f aca="false">IF(ISNUMBER(E12),E12,VALUE(SUBSTITUTE(E12,"#",".01")))</f>
        <v>14931.21793</v>
      </c>
    </row>
    <row r="13" customFormat="false" ht="12.75" hidden="false" customHeight="false" outlineLevel="0" collapsed="false">
      <c r="A13" s="1" t="n">
        <v>0</v>
      </c>
      <c r="B13" s="1" t="n">
        <v>3</v>
      </c>
      <c r="C13" s="1" t="n">
        <v>3</v>
      </c>
      <c r="D13" s="1" t="s">
        <v>295</v>
      </c>
      <c r="E13" s="1" t="s">
        <v>296</v>
      </c>
      <c r="F13" s="1" t="s">
        <v>297</v>
      </c>
      <c r="G13" s="1" t="n">
        <f aca="false">IF(ISNUMBER(E13),E13,VALUE(SUBSTITUTE(E13,"#",".01")))</f>
        <v>28667.01</v>
      </c>
    </row>
    <row r="14" customFormat="false" ht="12.75" hidden="false" customHeight="false" outlineLevel="0" collapsed="false">
      <c r="A14" s="1" t="n">
        <v>3</v>
      </c>
      <c r="B14" s="1" t="n">
        <v>1</v>
      </c>
      <c r="C14" s="1" t="n">
        <v>4</v>
      </c>
      <c r="D14" s="1" t="s">
        <v>293</v>
      </c>
      <c r="E14" s="1" t="n">
        <v>24621.127</v>
      </c>
      <c r="F14" s="1" t="n">
        <v>100</v>
      </c>
      <c r="G14" s="1" t="n">
        <f aca="false">IF(ISNUMBER(E14),E14,VALUE(SUBSTITUTE(E14,"#",".01")))</f>
        <v>24621.127</v>
      </c>
    </row>
    <row r="15" customFormat="false" ht="12.75" hidden="false" customHeight="false" outlineLevel="0" collapsed="false">
      <c r="A15" s="1" t="n">
        <v>2</v>
      </c>
      <c r="B15" s="1" t="n">
        <v>2</v>
      </c>
      <c r="C15" s="1" t="n">
        <v>4</v>
      </c>
      <c r="D15" s="1" t="s">
        <v>294</v>
      </c>
      <c r="E15" s="1" t="n">
        <v>2424.91561</v>
      </c>
      <c r="F15" s="1" t="n">
        <v>6E-005</v>
      </c>
      <c r="G15" s="1" t="n">
        <f aca="false">IF(ISNUMBER(E15),E15,VALUE(SUBSTITUTE(E15,"#",".01")))</f>
        <v>2424.91561</v>
      </c>
    </row>
    <row r="16" customFormat="false" ht="12.75" hidden="false" customHeight="false" outlineLevel="0" collapsed="false">
      <c r="A16" s="1" t="n">
        <v>1</v>
      </c>
      <c r="B16" s="1" t="n">
        <v>3</v>
      </c>
      <c r="C16" s="1" t="n">
        <v>4</v>
      </c>
      <c r="D16" s="1" t="s">
        <v>295</v>
      </c>
      <c r="E16" s="1" t="n">
        <v>25323.189</v>
      </c>
      <c r="F16" s="1" t="n">
        <v>212.132</v>
      </c>
      <c r="G16" s="1" t="n">
        <f aca="false">IF(ISNUMBER(E16),E16,VALUE(SUBSTITUTE(E16,"#",".01")))</f>
        <v>25323.189</v>
      </c>
    </row>
    <row r="17" customFormat="false" ht="12.75" hidden="false" customHeight="false" outlineLevel="0" collapsed="false">
      <c r="A17" s="1" t="n">
        <v>4</v>
      </c>
      <c r="B17" s="1" t="n">
        <v>1</v>
      </c>
      <c r="C17" s="1" t="n">
        <v>5</v>
      </c>
      <c r="D17" s="1" t="s">
        <v>293</v>
      </c>
      <c r="E17" s="1" t="n">
        <v>32892.444</v>
      </c>
      <c r="F17" s="1" t="n">
        <v>89.443</v>
      </c>
      <c r="G17" s="1" t="n">
        <f aca="false">IF(ISNUMBER(E17),E17,VALUE(SUBSTITUTE(E17,"#",".01")))</f>
        <v>32892.444</v>
      </c>
    </row>
    <row r="18" customFormat="false" ht="12.75" hidden="false" customHeight="false" outlineLevel="0" collapsed="false">
      <c r="A18" s="1" t="n">
        <v>3</v>
      </c>
      <c r="B18" s="1" t="n">
        <v>2</v>
      </c>
      <c r="C18" s="1" t="n">
        <v>5</v>
      </c>
      <c r="D18" s="1" t="s">
        <v>294</v>
      </c>
      <c r="E18" s="1" t="n">
        <v>11231.233</v>
      </c>
      <c r="F18" s="1" t="n">
        <v>20</v>
      </c>
      <c r="G18" s="1" t="n">
        <f aca="false">IF(ISNUMBER(E18),E18,VALUE(SUBSTITUTE(E18,"#",".01")))</f>
        <v>11231.233</v>
      </c>
    </row>
    <row r="19" customFormat="false" ht="12.75" hidden="false" customHeight="false" outlineLevel="0" collapsed="false">
      <c r="A19" s="1" t="n">
        <v>2</v>
      </c>
      <c r="B19" s="1" t="n">
        <v>3</v>
      </c>
      <c r="C19" s="1" t="n">
        <v>5</v>
      </c>
      <c r="D19" s="1" t="s">
        <v>295</v>
      </c>
      <c r="E19" s="1" t="n">
        <v>11678.886</v>
      </c>
      <c r="F19" s="1" t="n">
        <v>50</v>
      </c>
      <c r="G19" s="1" t="n">
        <f aca="false">IF(ISNUMBER(E19),E19,VALUE(SUBSTITUTE(E19,"#",".01")))</f>
        <v>11678.886</v>
      </c>
    </row>
    <row r="20" customFormat="false" ht="12.75" hidden="false" customHeight="false" outlineLevel="0" collapsed="false">
      <c r="A20" s="1" t="n">
        <v>1</v>
      </c>
      <c r="B20" s="1" t="n">
        <v>4</v>
      </c>
      <c r="C20" s="1" t="n">
        <v>5</v>
      </c>
      <c r="D20" s="1" t="s">
        <v>298</v>
      </c>
      <c r="E20" s="1" t="s">
        <v>299</v>
      </c>
      <c r="F20" s="1" t="s">
        <v>300</v>
      </c>
      <c r="G20" s="1" t="n">
        <f aca="false">IF(ISNUMBER(E20),E20,VALUE(SUBSTITUTE(E20,"#",".01")))</f>
        <v>37139.01</v>
      </c>
    </row>
    <row r="21" customFormat="false" ht="12.75" hidden="false" customHeight="false" outlineLevel="0" collapsed="false">
      <c r="A21" s="1" t="n">
        <v>5</v>
      </c>
      <c r="B21" s="1" t="n">
        <v>1</v>
      </c>
      <c r="C21" s="1" t="n">
        <v>6</v>
      </c>
      <c r="D21" s="1" t="s">
        <v>293</v>
      </c>
      <c r="E21" s="1" t="n">
        <v>41875.721</v>
      </c>
      <c r="F21" s="1" t="n">
        <v>254.127</v>
      </c>
      <c r="G21" s="1" t="n">
        <f aca="false">IF(ISNUMBER(E21),E21,VALUE(SUBSTITUTE(E21,"#",".01")))</f>
        <v>41875.721</v>
      </c>
    </row>
    <row r="22" customFormat="false" ht="12.75" hidden="false" customHeight="false" outlineLevel="0" collapsed="false">
      <c r="A22" s="1" t="n">
        <v>4</v>
      </c>
      <c r="B22" s="1" t="n">
        <v>2</v>
      </c>
      <c r="C22" s="1" t="n">
        <v>6</v>
      </c>
      <c r="D22" s="1" t="s">
        <v>294</v>
      </c>
      <c r="E22" s="1" t="n">
        <v>17592.095</v>
      </c>
      <c r="F22" s="1" t="n">
        <v>0.053</v>
      </c>
      <c r="G22" s="1" t="n">
        <f aca="false">IF(ISNUMBER(E22),E22,VALUE(SUBSTITUTE(E22,"#",".01")))</f>
        <v>17592.095</v>
      </c>
    </row>
    <row r="23" customFormat="false" ht="12.75" hidden="false" customHeight="false" outlineLevel="0" collapsed="false">
      <c r="A23" s="1" t="n">
        <v>3</v>
      </c>
      <c r="B23" s="1" t="n">
        <v>3</v>
      </c>
      <c r="C23" s="1" t="n">
        <v>6</v>
      </c>
      <c r="D23" s="1" t="s">
        <v>295</v>
      </c>
      <c r="E23" s="1" t="n">
        <v>14086.87895</v>
      </c>
      <c r="F23" s="1" t="n">
        <v>0.00144</v>
      </c>
      <c r="G23" s="1" t="n">
        <f aca="false">IF(ISNUMBER(E23),E23,VALUE(SUBSTITUTE(E23,"#",".01")))</f>
        <v>14086.87895</v>
      </c>
    </row>
    <row r="24" customFormat="false" ht="12.75" hidden="false" customHeight="false" outlineLevel="0" collapsed="false">
      <c r="A24" s="1" t="n">
        <v>2</v>
      </c>
      <c r="B24" s="1" t="n">
        <v>4</v>
      </c>
      <c r="C24" s="1" t="n">
        <v>6</v>
      </c>
      <c r="D24" s="1" t="s">
        <v>298</v>
      </c>
      <c r="E24" s="1" t="n">
        <v>18375.033</v>
      </c>
      <c r="F24" s="1" t="n">
        <v>5.448</v>
      </c>
      <c r="G24" s="1" t="n">
        <f aca="false">IF(ISNUMBER(E24),E24,VALUE(SUBSTITUTE(E24,"#",".01")))</f>
        <v>18375.033</v>
      </c>
    </row>
    <row r="25" customFormat="false" ht="12.75" hidden="false" customHeight="false" outlineLevel="0" collapsed="false">
      <c r="A25" s="1" t="n">
        <v>1</v>
      </c>
      <c r="B25" s="1" t="n">
        <v>5</v>
      </c>
      <c r="C25" s="1" t="n">
        <v>6</v>
      </c>
      <c r="D25" s="1" t="s">
        <v>301</v>
      </c>
      <c r="E25" s="1" t="s">
        <v>302</v>
      </c>
      <c r="F25" s="1" t="s">
        <v>300</v>
      </c>
      <c r="G25" s="1" t="n">
        <f aca="false">IF(ISNUMBER(E25),E25,VALUE(SUBSTITUTE(E25,"#",".01")))</f>
        <v>47320.01</v>
      </c>
    </row>
    <row r="26" customFormat="false" ht="12.75" hidden="false" customHeight="false" outlineLevel="0" collapsed="false">
      <c r="A26" s="1" t="n">
        <v>6</v>
      </c>
      <c r="B26" s="1" t="n">
        <v>1</v>
      </c>
      <c r="C26" s="1" t="n">
        <v>7</v>
      </c>
      <c r="D26" s="1" t="s">
        <v>293</v>
      </c>
      <c r="E26" s="1" t="s">
        <v>303</v>
      </c>
      <c r="F26" s="1" t="s">
        <v>304</v>
      </c>
      <c r="G26" s="1" t="n">
        <f aca="false">IF(ISNUMBER(E26),E26,VALUE(SUBSTITUTE(E26,"#",".01")))</f>
        <v>49135.01</v>
      </c>
    </row>
    <row r="27" customFormat="false" ht="12.75" hidden="false" customHeight="false" outlineLevel="0" collapsed="false">
      <c r="A27" s="1" t="n">
        <v>5</v>
      </c>
      <c r="B27" s="1" t="n">
        <v>2</v>
      </c>
      <c r="C27" s="1" t="n">
        <v>7</v>
      </c>
      <c r="D27" s="1" t="s">
        <v>294</v>
      </c>
      <c r="E27" s="1" t="n">
        <v>26073.126</v>
      </c>
      <c r="F27" s="1" t="n">
        <v>7.559</v>
      </c>
      <c r="G27" s="1" t="n">
        <f aca="false">IF(ISNUMBER(E27),E27,VALUE(SUBSTITUTE(E27,"#",".01")))</f>
        <v>26073.126</v>
      </c>
    </row>
    <row r="28" customFormat="false" ht="12.75" hidden="false" customHeight="false" outlineLevel="0" collapsed="false">
      <c r="A28" s="1" t="n">
        <v>4</v>
      </c>
      <c r="B28" s="1" t="n">
        <v>3</v>
      </c>
      <c r="C28" s="1" t="n">
        <v>7</v>
      </c>
      <c r="D28" s="1" t="s">
        <v>295</v>
      </c>
      <c r="E28" s="1" t="n">
        <v>14907.10529</v>
      </c>
      <c r="F28" s="1" t="n">
        <v>0.00423</v>
      </c>
      <c r="G28" s="1" t="n">
        <f aca="false">IF(ISNUMBER(E28),E28,VALUE(SUBSTITUTE(E28,"#",".01")))</f>
        <v>14907.10529</v>
      </c>
    </row>
    <row r="29" customFormat="false" ht="12.75" hidden="false" customHeight="false" outlineLevel="0" collapsed="false">
      <c r="A29" s="1" t="n">
        <v>3</v>
      </c>
      <c r="B29" s="1" t="n">
        <v>4</v>
      </c>
      <c r="C29" s="1" t="n">
        <v>7</v>
      </c>
      <c r="D29" s="1" t="s">
        <v>298</v>
      </c>
      <c r="E29" s="1" t="n">
        <v>15768.999</v>
      </c>
      <c r="F29" s="1" t="n">
        <v>0.071</v>
      </c>
      <c r="G29" s="1" t="n">
        <f aca="false">IF(ISNUMBER(E29),E29,VALUE(SUBSTITUTE(E29,"#",".01")))</f>
        <v>15768.999</v>
      </c>
    </row>
    <row r="30" customFormat="false" ht="12.75" hidden="false" customHeight="false" outlineLevel="0" collapsed="false">
      <c r="A30" s="1" t="n">
        <v>2</v>
      </c>
      <c r="B30" s="1" t="n">
        <v>5</v>
      </c>
      <c r="C30" s="1" t="n">
        <v>7</v>
      </c>
      <c r="D30" s="1" t="s">
        <v>301</v>
      </c>
      <c r="E30" s="1" t="n">
        <v>27676.55</v>
      </c>
      <c r="F30" s="1" t="n">
        <v>25.15</v>
      </c>
      <c r="G30" s="1" t="n">
        <f aca="false">IF(ISNUMBER(E30),E30,VALUE(SUBSTITUTE(E30,"#",".01")))</f>
        <v>27676.55</v>
      </c>
    </row>
    <row r="31" customFormat="false" ht="12.75" hidden="false" customHeight="false" outlineLevel="0" collapsed="false">
      <c r="A31" s="1" t="n">
        <v>6</v>
      </c>
      <c r="B31" s="1" t="n">
        <v>2</v>
      </c>
      <c r="C31" s="1" t="n">
        <v>8</v>
      </c>
      <c r="D31" s="1" t="s">
        <v>294</v>
      </c>
      <c r="E31" s="1" t="n">
        <v>31609.681</v>
      </c>
      <c r="F31" s="1" t="n">
        <v>0.089</v>
      </c>
      <c r="G31" s="1" t="n">
        <f aca="false">IF(ISNUMBER(E31),E31,VALUE(SUBSTITUTE(E31,"#",".01")))</f>
        <v>31609.681</v>
      </c>
    </row>
    <row r="32" customFormat="false" ht="12.75" hidden="false" customHeight="false" outlineLevel="0" collapsed="false">
      <c r="A32" s="1" t="n">
        <v>5</v>
      </c>
      <c r="B32" s="1" t="n">
        <v>3</v>
      </c>
      <c r="C32" s="1" t="n">
        <v>8</v>
      </c>
      <c r="D32" s="1" t="s">
        <v>295</v>
      </c>
      <c r="E32" s="1" t="n">
        <v>20945.804</v>
      </c>
      <c r="F32" s="1" t="n">
        <v>0.047</v>
      </c>
      <c r="G32" s="1" t="n">
        <f aca="false">IF(ISNUMBER(E32),E32,VALUE(SUBSTITUTE(E32,"#",".01")))</f>
        <v>20945.804</v>
      </c>
    </row>
    <row r="33" customFormat="false" ht="12.75" hidden="false" customHeight="false" outlineLevel="0" collapsed="false">
      <c r="A33" s="1" t="n">
        <v>4</v>
      </c>
      <c r="B33" s="1" t="n">
        <v>4</v>
      </c>
      <c r="C33" s="1" t="n">
        <v>8</v>
      </c>
      <c r="D33" s="1" t="s">
        <v>298</v>
      </c>
      <c r="E33" s="1" t="n">
        <v>4941.671</v>
      </c>
      <c r="F33" s="1" t="n">
        <v>0.035</v>
      </c>
      <c r="G33" s="1" t="n">
        <f aca="false">IF(ISNUMBER(E33),E33,VALUE(SUBSTITUTE(E33,"#",".01")))</f>
        <v>4941.671</v>
      </c>
    </row>
    <row r="34" customFormat="false" ht="12.75" hidden="false" customHeight="false" outlineLevel="0" collapsed="false">
      <c r="A34" s="1" t="n">
        <v>3</v>
      </c>
      <c r="B34" s="1" t="n">
        <v>5</v>
      </c>
      <c r="C34" s="1" t="n">
        <v>8</v>
      </c>
      <c r="D34" s="1" t="s">
        <v>301</v>
      </c>
      <c r="E34" s="1" t="n">
        <v>22921.567</v>
      </c>
      <c r="F34" s="1" t="n">
        <v>1</v>
      </c>
      <c r="G34" s="1" t="n">
        <f aca="false">IF(ISNUMBER(E34),E34,VALUE(SUBSTITUTE(E34,"#",".01")))</f>
        <v>22921.567</v>
      </c>
    </row>
    <row r="35" customFormat="false" ht="12.75" hidden="false" customHeight="false" outlineLevel="0" collapsed="false">
      <c r="A35" s="1" t="n">
        <v>2</v>
      </c>
      <c r="B35" s="1" t="n">
        <v>6</v>
      </c>
      <c r="C35" s="1" t="n">
        <v>8</v>
      </c>
      <c r="D35" s="1" t="s">
        <v>305</v>
      </c>
      <c r="E35" s="1" t="n">
        <v>35064.268</v>
      </c>
      <c r="F35" s="1" t="n">
        <v>18.243</v>
      </c>
      <c r="G35" s="1" t="n">
        <f aca="false">IF(ISNUMBER(E35),E35,VALUE(SUBSTITUTE(E35,"#",".01")))</f>
        <v>35064.268</v>
      </c>
    </row>
    <row r="36" customFormat="false" ht="12.75" hidden="false" customHeight="false" outlineLevel="0" collapsed="false">
      <c r="A36" s="1" t="n">
        <v>7</v>
      </c>
      <c r="B36" s="1" t="n">
        <v>2</v>
      </c>
      <c r="C36" s="1" t="n">
        <v>9</v>
      </c>
      <c r="D36" s="1" t="s">
        <v>294</v>
      </c>
      <c r="E36" s="1" t="n">
        <v>40935.826</v>
      </c>
      <c r="F36" s="1" t="n">
        <v>46.816</v>
      </c>
      <c r="G36" s="1" t="n">
        <f aca="false">IF(ISNUMBER(E36),E36,VALUE(SUBSTITUTE(E36,"#",".01")))</f>
        <v>40935.826</v>
      </c>
    </row>
    <row r="37" customFormat="false" ht="12.75" hidden="false" customHeight="false" outlineLevel="0" collapsed="false">
      <c r="A37" s="1" t="n">
        <v>6</v>
      </c>
      <c r="B37" s="1" t="n">
        <v>3</v>
      </c>
      <c r="C37" s="1" t="n">
        <v>9</v>
      </c>
      <c r="D37" s="1" t="s">
        <v>295</v>
      </c>
      <c r="E37" s="1" t="n">
        <v>24954.902</v>
      </c>
      <c r="F37" s="1" t="n">
        <v>0.186</v>
      </c>
      <c r="G37" s="1" t="n">
        <f aca="false">IF(ISNUMBER(E37),E37,VALUE(SUBSTITUTE(E37,"#",".01")))</f>
        <v>24954.902</v>
      </c>
    </row>
    <row r="38" customFormat="false" ht="12.75" hidden="false" customHeight="false" outlineLevel="0" collapsed="false">
      <c r="A38" s="1" t="n">
        <v>5</v>
      </c>
      <c r="B38" s="1" t="n">
        <v>4</v>
      </c>
      <c r="C38" s="1" t="n">
        <v>9</v>
      </c>
      <c r="D38" s="1" t="s">
        <v>298</v>
      </c>
      <c r="E38" s="1" t="n">
        <v>11348.453</v>
      </c>
      <c r="F38" s="1" t="n">
        <v>0.077</v>
      </c>
      <c r="G38" s="1" t="n">
        <f aca="false">IF(ISNUMBER(E38),E38,VALUE(SUBSTITUTE(E38,"#",".01")))</f>
        <v>11348.453</v>
      </c>
    </row>
    <row r="39" customFormat="false" ht="12.75" hidden="false" customHeight="false" outlineLevel="0" collapsed="false">
      <c r="A39" s="1" t="n">
        <v>4</v>
      </c>
      <c r="B39" s="1" t="n">
        <v>5</v>
      </c>
      <c r="C39" s="1" t="n">
        <v>9</v>
      </c>
      <c r="D39" s="1" t="s">
        <v>301</v>
      </c>
      <c r="E39" s="1" t="n">
        <v>12416.488</v>
      </c>
      <c r="F39" s="1" t="n">
        <v>0.903</v>
      </c>
      <c r="G39" s="1" t="n">
        <f aca="false">IF(ISNUMBER(E39),E39,VALUE(SUBSTITUTE(E39,"#",".01")))</f>
        <v>12416.488</v>
      </c>
    </row>
    <row r="40" customFormat="false" ht="12.75" hidden="false" customHeight="false" outlineLevel="0" collapsed="false">
      <c r="A40" s="1" t="n">
        <v>3</v>
      </c>
      <c r="B40" s="1" t="n">
        <v>6</v>
      </c>
      <c r="C40" s="1" t="n">
        <v>9</v>
      </c>
      <c r="D40" s="1" t="s">
        <v>305</v>
      </c>
      <c r="E40" s="1" t="n">
        <v>28910.972</v>
      </c>
      <c r="F40" s="1" t="n">
        <v>2.137</v>
      </c>
      <c r="G40" s="1" t="n">
        <f aca="false">IF(ISNUMBER(E40),E40,VALUE(SUBSTITUTE(E40,"#",".01")))</f>
        <v>28910.972</v>
      </c>
    </row>
    <row r="41" customFormat="false" ht="12.75" hidden="false" customHeight="false" outlineLevel="0" collapsed="false">
      <c r="A41" s="1" t="n">
        <v>8</v>
      </c>
      <c r="B41" s="1" t="n">
        <v>2</v>
      </c>
      <c r="C41" s="1" t="n">
        <v>10</v>
      </c>
      <c r="D41" s="1" t="s">
        <v>294</v>
      </c>
      <c r="E41" s="1" t="n">
        <v>49197.143</v>
      </c>
      <c r="F41" s="1" t="n">
        <v>92.848</v>
      </c>
      <c r="G41" s="1" t="n">
        <f aca="false">IF(ISNUMBER(E41),E41,VALUE(SUBSTITUTE(E41,"#",".01")))</f>
        <v>49197.143</v>
      </c>
    </row>
    <row r="42" customFormat="false" ht="12.75" hidden="false" customHeight="false" outlineLevel="0" collapsed="false">
      <c r="A42" s="1" t="n">
        <v>7</v>
      </c>
      <c r="B42" s="1" t="n">
        <v>3</v>
      </c>
      <c r="C42" s="1" t="n">
        <v>10</v>
      </c>
      <c r="D42" s="1" t="s">
        <v>295</v>
      </c>
      <c r="E42" s="1" t="n">
        <v>33052.624</v>
      </c>
      <c r="F42" s="1" t="n">
        <v>12.721</v>
      </c>
      <c r="G42" s="1" t="n">
        <f aca="false">IF(ISNUMBER(E42),E42,VALUE(SUBSTITUTE(E42,"#",".01")))</f>
        <v>33052.624</v>
      </c>
    </row>
    <row r="43" customFormat="false" ht="12.75" hidden="false" customHeight="false" outlineLevel="0" collapsed="false">
      <c r="A43" s="1" t="n">
        <v>6</v>
      </c>
      <c r="B43" s="1" t="n">
        <v>4</v>
      </c>
      <c r="C43" s="1" t="n">
        <v>10</v>
      </c>
      <c r="D43" s="1" t="s">
        <v>298</v>
      </c>
      <c r="E43" s="1" t="n">
        <v>12607.488</v>
      </c>
      <c r="F43" s="1" t="n">
        <v>0.081</v>
      </c>
      <c r="G43" s="1" t="n">
        <f aca="false">IF(ISNUMBER(E43),E43,VALUE(SUBSTITUTE(E43,"#",".01")))</f>
        <v>12607.488</v>
      </c>
    </row>
    <row r="44" customFormat="false" ht="12.75" hidden="false" customHeight="false" outlineLevel="0" collapsed="false">
      <c r="A44" s="1" t="n">
        <v>5</v>
      </c>
      <c r="B44" s="1" t="n">
        <v>5</v>
      </c>
      <c r="C44" s="1" t="n">
        <v>10</v>
      </c>
      <c r="D44" s="1" t="s">
        <v>301</v>
      </c>
      <c r="E44" s="1" t="n">
        <v>12050.609</v>
      </c>
      <c r="F44" s="1" t="n">
        <v>0.015</v>
      </c>
      <c r="G44" s="1" t="n">
        <f aca="false">IF(ISNUMBER(E44),E44,VALUE(SUBSTITUTE(E44,"#",".01")))</f>
        <v>12050.609</v>
      </c>
    </row>
    <row r="45" customFormat="false" ht="12.75" hidden="false" customHeight="false" outlineLevel="0" collapsed="false">
      <c r="A45" s="1" t="n">
        <v>4</v>
      </c>
      <c r="B45" s="1" t="n">
        <v>6</v>
      </c>
      <c r="C45" s="1" t="n">
        <v>10</v>
      </c>
      <c r="D45" s="1" t="s">
        <v>305</v>
      </c>
      <c r="E45" s="1" t="n">
        <v>15698.672</v>
      </c>
      <c r="F45" s="1" t="n">
        <v>0.07</v>
      </c>
      <c r="G45" s="1" t="n">
        <f aca="false">IF(ISNUMBER(E45),E45,VALUE(SUBSTITUTE(E45,"#",".01")))</f>
        <v>15698.672</v>
      </c>
    </row>
    <row r="46" customFormat="false" ht="12.75" hidden="false" customHeight="false" outlineLevel="0" collapsed="false">
      <c r="A46" s="1" t="n">
        <v>3</v>
      </c>
      <c r="B46" s="1" t="n">
        <v>7</v>
      </c>
      <c r="C46" s="1" t="n">
        <v>10</v>
      </c>
      <c r="D46" s="1" t="s">
        <v>287</v>
      </c>
      <c r="E46" s="1" t="n">
        <v>38800.026</v>
      </c>
      <c r="F46" s="1" t="n">
        <v>400</v>
      </c>
      <c r="G46" s="1" t="n">
        <f aca="false">IF(ISNUMBER(E46),E46,VALUE(SUBSTITUTE(E46,"#",".01")))</f>
        <v>38800.026</v>
      </c>
    </row>
    <row r="47" customFormat="false" ht="12.75" hidden="false" customHeight="false" outlineLevel="0" collapsed="false">
      <c r="A47" s="1" t="n">
        <v>8</v>
      </c>
      <c r="B47" s="1" t="n">
        <v>3</v>
      </c>
      <c r="C47" s="1" t="n">
        <v>11</v>
      </c>
      <c r="D47" s="1" t="s">
        <v>295</v>
      </c>
      <c r="E47" s="1" t="n">
        <v>40728.254</v>
      </c>
      <c r="F47" s="1" t="n">
        <v>0.615</v>
      </c>
      <c r="G47" s="1" t="n">
        <f aca="false">IF(ISNUMBER(E47),E47,VALUE(SUBSTITUTE(E47,"#",".01")))</f>
        <v>40728.254</v>
      </c>
    </row>
    <row r="48" customFormat="false" ht="12.75" hidden="false" customHeight="false" outlineLevel="0" collapsed="false">
      <c r="A48" s="1" t="n">
        <v>7</v>
      </c>
      <c r="B48" s="1" t="n">
        <v>4</v>
      </c>
      <c r="C48" s="1" t="n">
        <v>11</v>
      </c>
      <c r="D48" s="1" t="s">
        <v>298</v>
      </c>
      <c r="E48" s="1" t="n">
        <v>20177.167</v>
      </c>
      <c r="F48" s="1" t="n">
        <v>0.238</v>
      </c>
      <c r="G48" s="1" t="n">
        <f aca="false">IF(ISNUMBER(E48),E48,VALUE(SUBSTITUTE(E48,"#",".01")))</f>
        <v>20177.167</v>
      </c>
    </row>
    <row r="49" customFormat="false" ht="12.75" hidden="false" customHeight="false" outlineLevel="0" collapsed="false">
      <c r="A49" s="1" t="n">
        <v>6</v>
      </c>
      <c r="B49" s="1" t="n">
        <v>5</v>
      </c>
      <c r="C49" s="1" t="n">
        <v>11</v>
      </c>
      <c r="D49" s="1" t="s">
        <v>301</v>
      </c>
      <c r="E49" s="1" t="n">
        <v>8667.707</v>
      </c>
      <c r="F49" s="1" t="n">
        <v>0.012</v>
      </c>
      <c r="G49" s="1" t="n">
        <f aca="false">IF(ISNUMBER(E49),E49,VALUE(SUBSTITUTE(E49,"#",".01")))</f>
        <v>8667.707</v>
      </c>
    </row>
    <row r="50" customFormat="false" ht="12.75" hidden="false" customHeight="false" outlineLevel="0" collapsed="false">
      <c r="A50" s="1" t="n">
        <v>5</v>
      </c>
      <c r="B50" s="1" t="n">
        <v>6</v>
      </c>
      <c r="C50" s="1" t="n">
        <v>11</v>
      </c>
      <c r="D50" s="1" t="s">
        <v>305</v>
      </c>
      <c r="E50" s="1" t="n">
        <v>10649.396</v>
      </c>
      <c r="F50" s="1" t="n">
        <v>0.06</v>
      </c>
      <c r="G50" s="1" t="n">
        <f aca="false">IF(ISNUMBER(E50),E50,VALUE(SUBSTITUTE(E50,"#",".01")))</f>
        <v>10649.396</v>
      </c>
    </row>
    <row r="51" customFormat="false" ht="12.75" hidden="false" customHeight="false" outlineLevel="0" collapsed="false">
      <c r="A51" s="1" t="n">
        <v>4</v>
      </c>
      <c r="B51" s="1" t="n">
        <v>7</v>
      </c>
      <c r="C51" s="1" t="n">
        <v>11</v>
      </c>
      <c r="D51" s="1" t="s">
        <v>287</v>
      </c>
      <c r="E51" s="1" t="n">
        <v>24303.559</v>
      </c>
      <c r="F51" s="1" t="n">
        <v>46.154</v>
      </c>
      <c r="G51" s="1" t="n">
        <f aca="false">IF(ISNUMBER(E51),E51,VALUE(SUBSTITUTE(E51,"#",".01")))</f>
        <v>24303.559</v>
      </c>
    </row>
    <row r="52" customFormat="false" ht="12.75" hidden="false" customHeight="false" outlineLevel="0" collapsed="false">
      <c r="A52" s="1" t="n">
        <v>9</v>
      </c>
      <c r="B52" s="1" t="n">
        <v>3</v>
      </c>
      <c r="C52" s="1" t="n">
        <v>12</v>
      </c>
      <c r="D52" s="1" t="s">
        <v>295</v>
      </c>
      <c r="E52" s="1" t="n">
        <v>49009.571</v>
      </c>
      <c r="F52" s="1" t="n">
        <v>30.006</v>
      </c>
      <c r="G52" s="1" t="n">
        <f aca="false">IF(ISNUMBER(E52),E52,VALUE(SUBSTITUTE(E52,"#",".01")))</f>
        <v>49009.571</v>
      </c>
    </row>
    <row r="53" customFormat="false" ht="12.75" hidden="false" customHeight="false" outlineLevel="0" collapsed="false">
      <c r="A53" s="1" t="n">
        <v>8</v>
      </c>
      <c r="B53" s="1" t="n">
        <v>4</v>
      </c>
      <c r="C53" s="1" t="n">
        <v>12</v>
      </c>
      <c r="D53" s="1" t="s">
        <v>298</v>
      </c>
      <c r="E53" s="1" t="n">
        <v>25077.76</v>
      </c>
      <c r="F53" s="1" t="n">
        <v>1.909</v>
      </c>
      <c r="G53" s="1" t="n">
        <f aca="false">IF(ISNUMBER(E53),E53,VALUE(SUBSTITUTE(E53,"#",".01")))</f>
        <v>25077.76</v>
      </c>
    </row>
    <row r="54" customFormat="false" ht="12.75" hidden="false" customHeight="false" outlineLevel="0" collapsed="false">
      <c r="A54" s="1" t="n">
        <v>7</v>
      </c>
      <c r="B54" s="1" t="n">
        <v>5</v>
      </c>
      <c r="C54" s="1" t="n">
        <v>12</v>
      </c>
      <c r="D54" s="1" t="s">
        <v>301</v>
      </c>
      <c r="E54" s="1" t="n">
        <v>13369.397</v>
      </c>
      <c r="F54" s="1" t="n">
        <v>1.321</v>
      </c>
      <c r="G54" s="1" t="n">
        <f aca="false">IF(ISNUMBER(E54),E54,VALUE(SUBSTITUTE(E54,"#",".01")))</f>
        <v>13369.397</v>
      </c>
    </row>
    <row r="55" customFormat="false" ht="12.75" hidden="false" customHeight="false" outlineLevel="0" collapsed="false">
      <c r="A55" s="1" t="n">
        <v>6</v>
      </c>
      <c r="B55" s="1" t="n">
        <v>6</v>
      </c>
      <c r="C55" s="1" t="n">
        <v>12</v>
      </c>
      <c r="D55" s="1" t="s">
        <v>305</v>
      </c>
      <c r="E55" s="1" t="n">
        <v>0</v>
      </c>
      <c r="F55" s="1" t="n">
        <v>0</v>
      </c>
      <c r="G55" s="1" t="n">
        <f aca="false">IF(ISNUMBER(E55),E55,VALUE(SUBSTITUTE(E55,"#",".01")))</f>
        <v>0</v>
      </c>
    </row>
    <row r="56" customFormat="false" ht="12.75" hidden="false" customHeight="false" outlineLevel="0" collapsed="false">
      <c r="A56" s="1" t="n">
        <v>5</v>
      </c>
      <c r="B56" s="1" t="n">
        <v>7</v>
      </c>
      <c r="C56" s="1" t="n">
        <v>12</v>
      </c>
      <c r="D56" s="1" t="s">
        <v>287</v>
      </c>
      <c r="E56" s="1" t="n">
        <v>17338.068</v>
      </c>
      <c r="F56" s="1" t="n">
        <v>1</v>
      </c>
      <c r="G56" s="1" t="n">
        <f aca="false">IF(ISNUMBER(E56),E56,VALUE(SUBSTITUTE(E56,"#",".01")))</f>
        <v>17338.068</v>
      </c>
    </row>
    <row r="57" customFormat="false" ht="12.75" hidden="false" customHeight="false" outlineLevel="0" collapsed="false">
      <c r="A57" s="1" t="n">
        <v>4</v>
      </c>
      <c r="B57" s="1" t="n">
        <v>8</v>
      </c>
      <c r="C57" s="1" t="n">
        <v>12</v>
      </c>
      <c r="D57" s="1" t="s">
        <v>306</v>
      </c>
      <c r="E57" s="1" t="n">
        <v>31914.613</v>
      </c>
      <c r="F57" s="1" t="n">
        <v>24</v>
      </c>
      <c r="G57" s="1" t="n">
        <f aca="false">IF(ISNUMBER(E57),E57,VALUE(SUBSTITUTE(E57,"#",".01")))</f>
        <v>31914.613</v>
      </c>
    </row>
    <row r="58" customFormat="false" ht="12.75" hidden="false" customHeight="false" outlineLevel="0" collapsed="false">
      <c r="A58" s="1" t="n">
        <v>10</v>
      </c>
      <c r="B58" s="1" t="n">
        <v>3</v>
      </c>
      <c r="C58" s="1" t="n">
        <v>13</v>
      </c>
      <c r="D58" s="1" t="s">
        <v>295</v>
      </c>
      <c r="E58" s="1" t="n">
        <v>56980.888</v>
      </c>
      <c r="F58" s="1" t="n">
        <v>70.003</v>
      </c>
      <c r="G58" s="1" t="n">
        <f aca="false">IF(ISNUMBER(E58),E58,VALUE(SUBSTITUTE(E58,"#",".01")))</f>
        <v>56980.888</v>
      </c>
    </row>
    <row r="59" customFormat="false" ht="12.75" hidden="false" customHeight="false" outlineLevel="0" collapsed="false">
      <c r="A59" s="1" t="n">
        <v>9</v>
      </c>
      <c r="B59" s="1" t="n">
        <v>4</v>
      </c>
      <c r="C59" s="1" t="n">
        <v>13</v>
      </c>
      <c r="D59" s="1" t="s">
        <v>298</v>
      </c>
      <c r="E59" s="1" t="n">
        <v>33659.077</v>
      </c>
      <c r="F59" s="1" t="n">
        <v>10.18</v>
      </c>
      <c r="G59" s="1" t="n">
        <f aca="false">IF(ISNUMBER(E59),E59,VALUE(SUBSTITUTE(E59,"#",".01")))</f>
        <v>33659.077</v>
      </c>
    </row>
    <row r="60" customFormat="false" ht="12.75" hidden="false" customHeight="false" outlineLevel="0" collapsed="false">
      <c r="A60" s="1" t="n">
        <v>8</v>
      </c>
      <c r="B60" s="1" t="n">
        <v>5</v>
      </c>
      <c r="C60" s="1" t="n">
        <v>13</v>
      </c>
      <c r="D60" s="1" t="s">
        <v>301</v>
      </c>
      <c r="E60" s="1" t="n">
        <v>16561.947</v>
      </c>
      <c r="F60" s="1" t="n">
        <v>1</v>
      </c>
      <c r="G60" s="1" t="n">
        <f aca="false">IF(ISNUMBER(E60),E60,VALUE(SUBSTITUTE(E60,"#",".01")))</f>
        <v>16561.947</v>
      </c>
    </row>
    <row r="61" customFormat="false" ht="12.75" hidden="false" customHeight="false" outlineLevel="0" collapsed="false">
      <c r="A61" s="1" t="n">
        <v>7</v>
      </c>
      <c r="B61" s="1" t="n">
        <v>6</v>
      </c>
      <c r="C61" s="1" t="n">
        <v>13</v>
      </c>
      <c r="D61" s="1" t="s">
        <v>305</v>
      </c>
      <c r="E61" s="1" t="n">
        <v>3125.00888</v>
      </c>
      <c r="F61" s="1" t="n">
        <v>0.00021</v>
      </c>
      <c r="G61" s="1" t="n">
        <f aca="false">IF(ISNUMBER(E61),E61,VALUE(SUBSTITUTE(E61,"#",".01")))</f>
        <v>3125.00888</v>
      </c>
    </row>
    <row r="62" customFormat="false" ht="12.75" hidden="false" customHeight="false" outlineLevel="0" collapsed="false">
      <c r="A62" s="1" t="n">
        <v>6</v>
      </c>
      <c r="B62" s="1" t="n">
        <v>7</v>
      </c>
      <c r="C62" s="1" t="n">
        <v>13</v>
      </c>
      <c r="D62" s="1" t="s">
        <v>287</v>
      </c>
      <c r="E62" s="1" t="n">
        <v>5345.481</v>
      </c>
      <c r="F62" s="1" t="n">
        <v>0.27</v>
      </c>
      <c r="G62" s="1" t="n">
        <f aca="false">IF(ISNUMBER(E62),E62,VALUE(SUBSTITUTE(E62,"#",".01")))</f>
        <v>5345.481</v>
      </c>
    </row>
    <row r="63" customFormat="false" ht="12.75" hidden="false" customHeight="false" outlineLevel="0" collapsed="false">
      <c r="A63" s="1" t="n">
        <v>5</v>
      </c>
      <c r="B63" s="1" t="n">
        <v>8</v>
      </c>
      <c r="C63" s="1" t="n">
        <v>13</v>
      </c>
      <c r="D63" s="1" t="s">
        <v>306</v>
      </c>
      <c r="E63" s="1" t="n">
        <v>23115.432</v>
      </c>
      <c r="F63" s="1" t="n">
        <v>9.526</v>
      </c>
      <c r="G63" s="1" t="n">
        <f aca="false">IF(ISNUMBER(E63),E63,VALUE(SUBSTITUTE(E63,"#",".01")))</f>
        <v>23115.432</v>
      </c>
    </row>
    <row r="64" customFormat="false" ht="12.75" hidden="false" customHeight="false" outlineLevel="0" collapsed="false">
      <c r="A64" s="1" t="n">
        <v>10</v>
      </c>
      <c r="B64" s="1" t="n">
        <v>4</v>
      </c>
      <c r="C64" s="1" t="n">
        <v>14</v>
      </c>
      <c r="D64" s="1" t="s">
        <v>298</v>
      </c>
      <c r="E64" s="1" t="n">
        <v>39954.498</v>
      </c>
      <c r="F64" s="1" t="n">
        <v>132.245</v>
      </c>
      <c r="G64" s="1" t="n">
        <f aca="false">IF(ISNUMBER(E64),E64,VALUE(SUBSTITUTE(E64,"#",".01")))</f>
        <v>39954.498</v>
      </c>
    </row>
    <row r="65" customFormat="false" ht="12.75" hidden="false" customHeight="false" outlineLevel="0" collapsed="false">
      <c r="A65" s="1" t="n">
        <v>9</v>
      </c>
      <c r="B65" s="1" t="n">
        <v>5</v>
      </c>
      <c r="C65" s="1" t="n">
        <v>14</v>
      </c>
      <c r="D65" s="1" t="s">
        <v>301</v>
      </c>
      <c r="E65" s="1" t="n">
        <v>23663.685</v>
      </c>
      <c r="F65" s="1" t="n">
        <v>21.213</v>
      </c>
      <c r="G65" s="1" t="n">
        <f aca="false">IF(ISNUMBER(E65),E65,VALUE(SUBSTITUTE(E65,"#",".01")))</f>
        <v>23663.685</v>
      </c>
    </row>
    <row r="66" customFormat="false" ht="12.75" hidden="false" customHeight="false" outlineLevel="0" collapsed="false">
      <c r="A66" s="1" t="n">
        <v>8</v>
      </c>
      <c r="B66" s="1" t="n">
        <v>6</v>
      </c>
      <c r="C66" s="1" t="n">
        <v>14</v>
      </c>
      <c r="D66" s="1" t="s">
        <v>305</v>
      </c>
      <c r="E66" s="1" t="n">
        <v>3019.89278</v>
      </c>
      <c r="F66" s="1" t="n">
        <v>0.00376</v>
      </c>
      <c r="G66" s="1" t="n">
        <f aca="false">IF(ISNUMBER(E66),E66,VALUE(SUBSTITUTE(E66,"#",".01")))</f>
        <v>3019.89278</v>
      </c>
    </row>
    <row r="67" customFormat="false" ht="12.75" hidden="false" customHeight="false" outlineLevel="0" collapsed="false">
      <c r="A67" s="1" t="n">
        <v>7</v>
      </c>
      <c r="B67" s="1" t="n">
        <v>7</v>
      </c>
      <c r="C67" s="1" t="n">
        <v>14</v>
      </c>
      <c r="D67" s="1" t="s">
        <v>287</v>
      </c>
      <c r="E67" s="1" t="n">
        <v>2863.41672</v>
      </c>
      <c r="F67" s="1" t="n">
        <v>0.00019</v>
      </c>
      <c r="G67" s="1" t="n">
        <f aca="false">IF(ISNUMBER(E67),E67,VALUE(SUBSTITUTE(E67,"#",".01")))</f>
        <v>2863.41672</v>
      </c>
    </row>
    <row r="68" customFormat="false" ht="12.75" hidden="false" customHeight="false" outlineLevel="0" collapsed="false">
      <c r="A68" s="1" t="n">
        <v>6</v>
      </c>
      <c r="B68" s="1" t="n">
        <v>8</v>
      </c>
      <c r="C68" s="1" t="n">
        <v>14</v>
      </c>
      <c r="D68" s="1" t="s">
        <v>306</v>
      </c>
      <c r="E68" s="1" t="n">
        <v>8007.781</v>
      </c>
      <c r="F68" s="1" t="n">
        <v>0.025</v>
      </c>
      <c r="G68" s="1" t="n">
        <f aca="false">IF(ISNUMBER(E68),E68,VALUE(SUBSTITUTE(E68,"#",".01")))</f>
        <v>8007.781</v>
      </c>
    </row>
    <row r="69" customFormat="false" ht="12.75" hidden="false" customHeight="false" outlineLevel="0" collapsed="false">
      <c r="A69" s="1" t="n">
        <v>5</v>
      </c>
      <c r="B69" s="1" t="n">
        <v>9</v>
      </c>
      <c r="C69" s="1" t="n">
        <v>14</v>
      </c>
      <c r="D69" s="1" t="s">
        <v>307</v>
      </c>
      <c r="E69" s="1" t="n">
        <v>31964.402</v>
      </c>
      <c r="F69" s="1" t="n">
        <v>41.119</v>
      </c>
      <c r="G69" s="1" t="n">
        <f aca="false">IF(ISNUMBER(E69),E69,VALUE(SUBSTITUTE(E69,"#",".01")))</f>
        <v>31964.402</v>
      </c>
    </row>
    <row r="70" customFormat="false" ht="12.75" hidden="false" customHeight="false" outlineLevel="0" collapsed="false">
      <c r="A70" s="1" t="n">
        <v>11</v>
      </c>
      <c r="B70" s="1" t="n">
        <v>4</v>
      </c>
      <c r="C70" s="1" t="n">
        <v>15</v>
      </c>
      <c r="D70" s="1" t="s">
        <v>298</v>
      </c>
      <c r="E70" s="1" t="n">
        <v>49825.815</v>
      </c>
      <c r="F70" s="1" t="n">
        <v>165.797</v>
      </c>
      <c r="G70" s="1" t="n">
        <f aca="false">IF(ISNUMBER(E70),E70,VALUE(SUBSTITUTE(E70,"#",".01")))</f>
        <v>49825.815</v>
      </c>
    </row>
    <row r="71" customFormat="false" ht="12.75" hidden="false" customHeight="false" outlineLevel="0" collapsed="false">
      <c r="A71" s="1" t="n">
        <v>10</v>
      </c>
      <c r="B71" s="1" t="n">
        <v>5</v>
      </c>
      <c r="C71" s="1" t="n">
        <v>15</v>
      </c>
      <c r="D71" s="1" t="s">
        <v>301</v>
      </c>
      <c r="E71" s="1" t="n">
        <v>28958.242</v>
      </c>
      <c r="F71" s="1" t="n">
        <v>21.032</v>
      </c>
      <c r="G71" s="1" t="n">
        <f aca="false">IF(ISNUMBER(E71),E71,VALUE(SUBSTITUTE(E71,"#",".01")))</f>
        <v>28958.242</v>
      </c>
    </row>
    <row r="72" customFormat="false" ht="12.75" hidden="false" customHeight="false" outlineLevel="0" collapsed="false">
      <c r="A72" s="1" t="n">
        <v>9</v>
      </c>
      <c r="B72" s="1" t="n">
        <v>6</v>
      </c>
      <c r="C72" s="1" t="n">
        <v>15</v>
      </c>
      <c r="D72" s="1" t="s">
        <v>305</v>
      </c>
      <c r="E72" s="1" t="n">
        <v>9873.144</v>
      </c>
      <c r="F72" s="1" t="n">
        <v>0.8</v>
      </c>
      <c r="G72" s="1" t="n">
        <f aca="false">IF(ISNUMBER(E72),E72,VALUE(SUBSTITUTE(E72,"#",".01")))</f>
        <v>9873.144</v>
      </c>
    </row>
    <row r="73" customFormat="false" ht="12.75" hidden="false" customHeight="false" outlineLevel="0" collapsed="false">
      <c r="A73" s="1" t="n">
        <v>8</v>
      </c>
      <c r="B73" s="1" t="n">
        <v>7</v>
      </c>
      <c r="C73" s="1" t="n">
        <v>15</v>
      </c>
      <c r="D73" s="1" t="s">
        <v>287</v>
      </c>
      <c r="E73" s="1" t="n">
        <v>101.43871</v>
      </c>
      <c r="F73" s="1" t="n">
        <v>0.0006</v>
      </c>
      <c r="G73" s="1" t="n">
        <f aca="false">IF(ISNUMBER(E73),E73,VALUE(SUBSTITUTE(E73,"#",".01")))</f>
        <v>101.43871</v>
      </c>
    </row>
    <row r="74" customFormat="false" ht="12.75" hidden="false" customHeight="false" outlineLevel="0" collapsed="false">
      <c r="A74" s="1" t="n">
        <v>7</v>
      </c>
      <c r="B74" s="1" t="n">
        <v>8</v>
      </c>
      <c r="C74" s="1" t="n">
        <v>15</v>
      </c>
      <c r="D74" s="1" t="s">
        <v>306</v>
      </c>
      <c r="E74" s="1" t="n">
        <v>2855.605</v>
      </c>
      <c r="F74" s="1" t="n">
        <v>0.491</v>
      </c>
      <c r="G74" s="1" t="n">
        <f aca="false">IF(ISNUMBER(E74),E74,VALUE(SUBSTITUTE(E74,"#",".01")))</f>
        <v>2855.605</v>
      </c>
    </row>
    <row r="75" customFormat="false" ht="12.75" hidden="false" customHeight="false" outlineLevel="0" collapsed="false">
      <c r="A75" s="1" t="n">
        <v>6</v>
      </c>
      <c r="B75" s="1" t="n">
        <v>9</v>
      </c>
      <c r="C75" s="1" t="n">
        <v>15</v>
      </c>
      <c r="D75" s="1" t="s">
        <v>307</v>
      </c>
      <c r="E75" s="1" t="n">
        <v>16566.751</v>
      </c>
      <c r="F75" s="1" t="n">
        <v>14</v>
      </c>
      <c r="G75" s="1" t="n">
        <f aca="false">IF(ISNUMBER(E75),E75,VALUE(SUBSTITUTE(E75,"#",".01")))</f>
        <v>16566.751</v>
      </c>
    </row>
    <row r="76" customFormat="false" ht="12.75" hidden="false" customHeight="false" outlineLevel="0" collapsed="false">
      <c r="A76" s="1" t="n">
        <v>5</v>
      </c>
      <c r="B76" s="1" t="n">
        <v>10</v>
      </c>
      <c r="C76" s="1" t="n">
        <v>15</v>
      </c>
      <c r="D76" s="1" t="s">
        <v>308</v>
      </c>
      <c r="E76" s="1" t="n">
        <v>40215.373</v>
      </c>
      <c r="F76" s="1" t="n">
        <v>66.684</v>
      </c>
      <c r="G76" s="1" t="n">
        <f aca="false">IF(ISNUMBER(E76),E76,VALUE(SUBSTITUTE(E76,"#",".01")))</f>
        <v>40215.373</v>
      </c>
    </row>
    <row r="77" customFormat="false" ht="12.75" hidden="false" customHeight="false" outlineLevel="0" collapsed="false">
      <c r="A77" s="1" t="n">
        <v>12</v>
      </c>
      <c r="B77" s="1" t="n">
        <v>4</v>
      </c>
      <c r="C77" s="1" t="n">
        <v>16</v>
      </c>
      <c r="D77" s="1" t="s">
        <v>298</v>
      </c>
      <c r="E77" s="1" t="n">
        <v>57447.132</v>
      </c>
      <c r="F77" s="1" t="n">
        <v>165.797</v>
      </c>
      <c r="G77" s="1" t="n">
        <f aca="false">IF(ISNUMBER(E77),E77,VALUE(SUBSTITUTE(E77,"#",".01")))</f>
        <v>57447.132</v>
      </c>
    </row>
    <row r="78" customFormat="false" ht="12.75" hidden="false" customHeight="false" outlineLevel="0" collapsed="false">
      <c r="A78" s="1" t="n">
        <v>11</v>
      </c>
      <c r="B78" s="1" t="n">
        <v>5</v>
      </c>
      <c r="C78" s="1" t="n">
        <v>16</v>
      </c>
      <c r="D78" s="1" t="s">
        <v>301</v>
      </c>
      <c r="E78" s="1" t="n">
        <v>37112.51</v>
      </c>
      <c r="F78" s="1" t="n">
        <v>24.569</v>
      </c>
      <c r="G78" s="1" t="n">
        <f aca="false">IF(ISNUMBER(E78),E78,VALUE(SUBSTITUTE(E78,"#",".01")))</f>
        <v>37112.51</v>
      </c>
    </row>
    <row r="79" customFormat="false" ht="12.75" hidden="false" customHeight="false" outlineLevel="0" collapsed="false">
      <c r="A79" s="1" t="n">
        <v>10</v>
      </c>
      <c r="B79" s="1" t="n">
        <v>6</v>
      </c>
      <c r="C79" s="1" t="n">
        <v>16</v>
      </c>
      <c r="D79" s="1" t="s">
        <v>305</v>
      </c>
      <c r="E79" s="1" t="n">
        <v>13694.132</v>
      </c>
      <c r="F79" s="1" t="n">
        <v>3.578</v>
      </c>
      <c r="G79" s="1" t="n">
        <f aca="false">IF(ISNUMBER(E79),E79,VALUE(SUBSTITUTE(E79,"#",".01")))</f>
        <v>13694.132</v>
      </c>
    </row>
    <row r="80" customFormat="false" ht="12.75" hidden="false" customHeight="false" outlineLevel="0" collapsed="false">
      <c r="A80" s="1" t="n">
        <v>9</v>
      </c>
      <c r="B80" s="1" t="n">
        <v>7</v>
      </c>
      <c r="C80" s="1" t="n">
        <v>16</v>
      </c>
      <c r="D80" s="1" t="s">
        <v>287</v>
      </c>
      <c r="E80" s="1" t="n">
        <v>5683.907</v>
      </c>
      <c r="F80" s="1" t="n">
        <v>2.301</v>
      </c>
      <c r="G80" s="1" t="n">
        <f aca="false">IF(ISNUMBER(E80),E80,VALUE(SUBSTITUTE(E80,"#",".01")))</f>
        <v>5683.907</v>
      </c>
    </row>
    <row r="81" customFormat="false" ht="12.75" hidden="false" customHeight="false" outlineLevel="0" collapsed="false">
      <c r="A81" s="1" t="n">
        <v>8</v>
      </c>
      <c r="B81" s="1" t="n">
        <v>8</v>
      </c>
      <c r="C81" s="1" t="n">
        <v>16</v>
      </c>
      <c r="D81" s="1" t="s">
        <v>306</v>
      </c>
      <c r="E81" s="1" t="n">
        <v>-4737.00135</v>
      </c>
      <c r="F81" s="1" t="n">
        <v>0.00016</v>
      </c>
      <c r="G81" s="1" t="n">
        <f aca="false">IF(ISNUMBER(E81),E81,VALUE(SUBSTITUTE(E81,"#",".01")))</f>
        <v>-4737.00135</v>
      </c>
    </row>
    <row r="82" customFormat="false" ht="12.75" hidden="false" customHeight="false" outlineLevel="0" collapsed="false">
      <c r="A82" s="1" t="n">
        <v>7</v>
      </c>
      <c r="B82" s="1" t="n">
        <v>9</v>
      </c>
      <c r="C82" s="1" t="n">
        <v>16</v>
      </c>
      <c r="D82" s="1" t="s">
        <v>307</v>
      </c>
      <c r="E82" s="1" t="n">
        <v>10680.253</v>
      </c>
      <c r="F82" s="1" t="n">
        <v>8.321</v>
      </c>
      <c r="G82" s="1" t="n">
        <f aca="false">IF(ISNUMBER(E82),E82,VALUE(SUBSTITUTE(E82,"#",".01")))</f>
        <v>10680.253</v>
      </c>
    </row>
    <row r="83" customFormat="false" ht="12.75" hidden="false" customHeight="false" outlineLevel="0" collapsed="false">
      <c r="A83" s="1" t="n">
        <v>6</v>
      </c>
      <c r="B83" s="1" t="n">
        <v>10</v>
      </c>
      <c r="C83" s="1" t="n">
        <v>16</v>
      </c>
      <c r="D83" s="1" t="s">
        <v>308</v>
      </c>
      <c r="E83" s="1" t="n">
        <v>23986.776</v>
      </c>
      <c r="F83" s="1" t="n">
        <v>20.48</v>
      </c>
      <c r="G83" s="1" t="n">
        <f aca="false">IF(ISNUMBER(E83),E83,VALUE(SUBSTITUTE(E83,"#",".01")))</f>
        <v>23986.776</v>
      </c>
    </row>
    <row r="84" customFormat="false" ht="12.75" hidden="false" customHeight="false" outlineLevel="0" collapsed="false">
      <c r="A84" s="1" t="n">
        <v>12</v>
      </c>
      <c r="B84" s="1" t="n">
        <v>5</v>
      </c>
      <c r="C84" s="1" t="n">
        <v>17</v>
      </c>
      <c r="D84" s="1" t="s">
        <v>301</v>
      </c>
      <c r="E84" s="1" t="n">
        <v>43716.317</v>
      </c>
      <c r="F84" s="1" t="n">
        <v>204.104</v>
      </c>
      <c r="G84" s="1" t="n">
        <f aca="false">IF(ISNUMBER(E84),E84,VALUE(SUBSTITUTE(E84,"#",".01")))</f>
        <v>43716.317</v>
      </c>
    </row>
    <row r="85" customFormat="false" ht="12.75" hidden="false" customHeight="false" outlineLevel="0" collapsed="false">
      <c r="A85" s="1" t="n">
        <v>11</v>
      </c>
      <c r="B85" s="1" t="n">
        <v>6</v>
      </c>
      <c r="C85" s="1" t="n">
        <v>17</v>
      </c>
      <c r="D85" s="1" t="s">
        <v>305</v>
      </c>
      <c r="E85" s="1" t="n">
        <v>21031.898</v>
      </c>
      <c r="F85" s="1" t="n">
        <v>17.365</v>
      </c>
      <c r="G85" s="1" t="n">
        <f aca="false">IF(ISNUMBER(E85),E85,VALUE(SUBSTITUTE(E85,"#",".01")))</f>
        <v>21031.898</v>
      </c>
    </row>
    <row r="86" customFormat="false" ht="12.75" hidden="false" customHeight="false" outlineLevel="0" collapsed="false">
      <c r="A86" s="1" t="n">
        <v>10</v>
      </c>
      <c r="B86" s="1" t="n">
        <v>7</v>
      </c>
      <c r="C86" s="1" t="n">
        <v>17</v>
      </c>
      <c r="D86" s="1" t="s">
        <v>287</v>
      </c>
      <c r="E86" s="1" t="n">
        <v>7870.079</v>
      </c>
      <c r="F86" s="1" t="n">
        <v>15</v>
      </c>
      <c r="G86" s="1" t="n">
        <f aca="false">IF(ISNUMBER(E86),E86,VALUE(SUBSTITUTE(E86,"#",".01")))</f>
        <v>7870.079</v>
      </c>
    </row>
    <row r="87" customFormat="false" ht="12.75" hidden="false" customHeight="false" outlineLevel="0" collapsed="false">
      <c r="A87" s="1" t="n">
        <v>9</v>
      </c>
      <c r="B87" s="1" t="n">
        <v>8</v>
      </c>
      <c r="C87" s="1" t="n">
        <v>17</v>
      </c>
      <c r="D87" s="1" t="s">
        <v>306</v>
      </c>
      <c r="E87" s="1" t="n">
        <v>-808.76348</v>
      </c>
      <c r="F87" s="1" t="n">
        <v>0.00066</v>
      </c>
      <c r="G87" s="1" t="n">
        <f aca="false">IF(ISNUMBER(E87),E87,VALUE(SUBSTITUTE(E87,"#",".01")))</f>
        <v>-808.76348</v>
      </c>
    </row>
    <row r="88" customFormat="false" ht="12.75" hidden="false" customHeight="false" outlineLevel="0" collapsed="false">
      <c r="A88" s="1" t="n">
        <v>8</v>
      </c>
      <c r="B88" s="1" t="n">
        <v>9</v>
      </c>
      <c r="C88" s="1" t="n">
        <v>17</v>
      </c>
      <c r="D88" s="1" t="s">
        <v>307</v>
      </c>
      <c r="E88" s="1" t="n">
        <v>1951.702</v>
      </c>
      <c r="F88" s="1" t="n">
        <v>0.248</v>
      </c>
      <c r="G88" s="1" t="n">
        <f aca="false">IF(ISNUMBER(E88),E88,VALUE(SUBSTITUTE(E88,"#",".01")))</f>
        <v>1951.702</v>
      </c>
    </row>
    <row r="89" customFormat="false" ht="12.75" hidden="false" customHeight="false" outlineLevel="0" collapsed="false">
      <c r="A89" s="1" t="n">
        <v>7</v>
      </c>
      <c r="B89" s="1" t="n">
        <v>10</v>
      </c>
      <c r="C89" s="1" t="n">
        <v>17</v>
      </c>
      <c r="D89" s="1" t="s">
        <v>308</v>
      </c>
      <c r="E89" s="1" t="n">
        <v>16500.447</v>
      </c>
      <c r="F89" s="1" t="n">
        <v>0.354</v>
      </c>
      <c r="G89" s="1" t="n">
        <f aca="false">IF(ISNUMBER(E89),E89,VALUE(SUBSTITUTE(E89,"#",".01")))</f>
        <v>16500.447</v>
      </c>
    </row>
    <row r="90" customFormat="false" ht="12.75" hidden="false" customHeight="false" outlineLevel="0" collapsed="false">
      <c r="A90" s="1" t="n">
        <v>6</v>
      </c>
      <c r="B90" s="1" t="n">
        <v>11</v>
      </c>
      <c r="C90" s="1" t="n">
        <v>17</v>
      </c>
      <c r="D90" s="1" t="s">
        <v>309</v>
      </c>
      <c r="E90" s="1" t="n">
        <v>35173.214</v>
      </c>
      <c r="F90" s="1" t="n">
        <v>1001.356</v>
      </c>
      <c r="G90" s="1" t="n">
        <f aca="false">IF(ISNUMBER(E90),E90,VALUE(SUBSTITUTE(E90,"#",".01")))</f>
        <v>35173.214</v>
      </c>
    </row>
    <row r="91" customFormat="false" ht="12.75" hidden="false" customHeight="false" outlineLevel="0" collapsed="false">
      <c r="A91" s="1" t="n">
        <v>13</v>
      </c>
      <c r="B91" s="1" t="n">
        <v>5</v>
      </c>
      <c r="C91" s="1" t="n">
        <v>18</v>
      </c>
      <c r="D91" s="1" t="s">
        <v>301</v>
      </c>
      <c r="E91" s="1" t="n">
        <v>51792.634</v>
      </c>
      <c r="F91" s="1" t="n">
        <v>204.165</v>
      </c>
      <c r="G91" s="1" t="n">
        <f aca="false">IF(ISNUMBER(E91),E91,VALUE(SUBSTITUTE(E91,"#",".01")))</f>
        <v>51792.634</v>
      </c>
    </row>
    <row r="92" customFormat="false" ht="12.75" hidden="false" customHeight="false" outlineLevel="0" collapsed="false">
      <c r="A92" s="1" t="n">
        <v>12</v>
      </c>
      <c r="B92" s="1" t="n">
        <v>6</v>
      </c>
      <c r="C92" s="1" t="n">
        <v>18</v>
      </c>
      <c r="D92" s="1" t="s">
        <v>305</v>
      </c>
      <c r="E92" s="1" t="n">
        <v>24919.264</v>
      </c>
      <c r="F92" s="1" t="n">
        <v>30</v>
      </c>
      <c r="G92" s="1" t="n">
        <f aca="false">IF(ISNUMBER(E92),E92,VALUE(SUBSTITUTE(E92,"#",".01")))</f>
        <v>24919.264</v>
      </c>
    </row>
    <row r="93" customFormat="false" ht="12.75" hidden="false" customHeight="false" outlineLevel="0" collapsed="false">
      <c r="A93" s="1" t="n">
        <v>11</v>
      </c>
      <c r="B93" s="1" t="n">
        <v>7</v>
      </c>
      <c r="C93" s="1" t="n">
        <v>18</v>
      </c>
      <c r="D93" s="1" t="s">
        <v>287</v>
      </c>
      <c r="E93" s="1" t="n">
        <v>13113.168</v>
      </c>
      <c r="F93" s="1" t="n">
        <v>18.57</v>
      </c>
      <c r="G93" s="1" t="n">
        <f aca="false">IF(ISNUMBER(E93),E93,VALUE(SUBSTITUTE(E93,"#",".01")))</f>
        <v>13113.168</v>
      </c>
    </row>
    <row r="94" customFormat="false" ht="12.75" hidden="false" customHeight="false" outlineLevel="0" collapsed="false">
      <c r="A94" s="1" t="n">
        <v>10</v>
      </c>
      <c r="B94" s="1" t="n">
        <v>8</v>
      </c>
      <c r="C94" s="1" t="n">
        <v>18</v>
      </c>
      <c r="D94" s="1" t="s">
        <v>306</v>
      </c>
      <c r="E94" s="1" t="n">
        <v>-782.8156</v>
      </c>
      <c r="F94" s="1" t="n">
        <v>0.00071</v>
      </c>
      <c r="G94" s="1" t="n">
        <f aca="false">IF(ISNUMBER(E94),E94,VALUE(SUBSTITUTE(E94,"#",".01")))</f>
        <v>-782.8156</v>
      </c>
    </row>
    <row r="95" customFormat="false" ht="12.75" hidden="false" customHeight="false" outlineLevel="0" collapsed="false">
      <c r="A95" s="1" t="n">
        <v>9</v>
      </c>
      <c r="B95" s="1" t="n">
        <v>9</v>
      </c>
      <c r="C95" s="1" t="n">
        <v>18</v>
      </c>
      <c r="D95" s="1" t="s">
        <v>307</v>
      </c>
      <c r="E95" s="1" t="n">
        <v>873.113</v>
      </c>
      <c r="F95" s="1" t="n">
        <v>0.463</v>
      </c>
      <c r="G95" s="1" t="n">
        <f aca="false">IF(ISNUMBER(E95),E95,VALUE(SUBSTITUTE(E95,"#",".01")))</f>
        <v>873.113</v>
      </c>
    </row>
    <row r="96" customFormat="false" ht="12.75" hidden="false" customHeight="false" outlineLevel="0" collapsed="false">
      <c r="A96" s="1" t="n">
        <v>8</v>
      </c>
      <c r="B96" s="1" t="n">
        <v>10</v>
      </c>
      <c r="C96" s="1" t="n">
        <v>18</v>
      </c>
      <c r="D96" s="1" t="s">
        <v>308</v>
      </c>
      <c r="E96" s="1" t="n">
        <v>5317.614</v>
      </c>
      <c r="F96" s="1" t="n">
        <v>0.363</v>
      </c>
      <c r="G96" s="1" t="n">
        <f aca="false">IF(ISNUMBER(E96),E96,VALUE(SUBSTITUTE(E96,"#",".01")))</f>
        <v>5317.614</v>
      </c>
    </row>
    <row r="97" customFormat="false" ht="12.75" hidden="false" customHeight="false" outlineLevel="0" collapsed="false">
      <c r="A97" s="1" t="n">
        <v>7</v>
      </c>
      <c r="B97" s="1" t="n">
        <v>11</v>
      </c>
      <c r="C97" s="1" t="n">
        <v>18</v>
      </c>
      <c r="D97" s="1" t="s">
        <v>309</v>
      </c>
      <c r="E97" s="1" t="n">
        <v>25037.988</v>
      </c>
      <c r="F97" s="1" t="n">
        <v>93.881</v>
      </c>
      <c r="G97" s="1" t="n">
        <f aca="false">IF(ISNUMBER(E97),E97,VALUE(SUBSTITUTE(E97,"#",".01")))</f>
        <v>25037.988</v>
      </c>
    </row>
    <row r="98" customFormat="false" ht="12.75" hidden="false" customHeight="false" outlineLevel="0" collapsed="false">
      <c r="A98" s="1" t="n">
        <v>14</v>
      </c>
      <c r="B98" s="1" t="n">
        <v>5</v>
      </c>
      <c r="C98" s="1" t="n">
        <v>19</v>
      </c>
      <c r="D98" s="1" t="s">
        <v>301</v>
      </c>
      <c r="E98" s="1" t="n">
        <v>59770.244</v>
      </c>
      <c r="F98" s="1" t="n">
        <v>525.363</v>
      </c>
      <c r="G98" s="1" t="n">
        <f aca="false">IF(ISNUMBER(E98),E98,VALUE(SUBSTITUTE(E98,"#",".01")))</f>
        <v>59770.244</v>
      </c>
    </row>
    <row r="99" customFormat="false" ht="12.75" hidden="false" customHeight="false" outlineLevel="0" collapsed="false">
      <c r="A99" s="1" t="n">
        <v>13</v>
      </c>
      <c r="B99" s="1" t="n">
        <v>6</v>
      </c>
      <c r="C99" s="1" t="n">
        <v>19</v>
      </c>
      <c r="D99" s="1" t="s">
        <v>305</v>
      </c>
      <c r="E99" s="1" t="n">
        <v>32413.752</v>
      </c>
      <c r="F99" s="1" t="n">
        <v>98.389</v>
      </c>
      <c r="G99" s="1" t="n">
        <f aca="false">IF(ISNUMBER(E99),E99,VALUE(SUBSTITUTE(E99,"#",".01")))</f>
        <v>32413.752</v>
      </c>
    </row>
    <row r="100" customFormat="false" ht="12.75" hidden="false" customHeight="false" outlineLevel="0" collapsed="false">
      <c r="A100" s="1" t="n">
        <v>12</v>
      </c>
      <c r="B100" s="1" t="n">
        <v>7</v>
      </c>
      <c r="C100" s="1" t="n">
        <v>19</v>
      </c>
      <c r="D100" s="1" t="s">
        <v>287</v>
      </c>
      <c r="E100" s="1" t="n">
        <v>15856.282</v>
      </c>
      <c r="F100" s="1" t="n">
        <v>16.404</v>
      </c>
      <c r="G100" s="1" t="n">
        <f aca="false">IF(ISNUMBER(E100),E100,VALUE(SUBSTITUTE(E100,"#",".01")))</f>
        <v>15856.282</v>
      </c>
    </row>
    <row r="101" customFormat="false" ht="12.75" hidden="false" customHeight="false" outlineLevel="0" collapsed="false">
      <c r="A101" s="1" t="n">
        <v>11</v>
      </c>
      <c r="B101" s="1" t="n">
        <v>8</v>
      </c>
      <c r="C101" s="1" t="n">
        <v>19</v>
      </c>
      <c r="D101" s="1" t="s">
        <v>306</v>
      </c>
      <c r="E101" s="1" t="n">
        <v>3332.858</v>
      </c>
      <c r="F101" s="1" t="n">
        <v>2.637</v>
      </c>
      <c r="G101" s="1" t="n">
        <f aca="false">IF(ISNUMBER(E101),E101,VALUE(SUBSTITUTE(E101,"#",".01")))</f>
        <v>3332.858</v>
      </c>
    </row>
    <row r="102" customFormat="false" ht="12.75" hidden="false" customHeight="false" outlineLevel="0" collapsed="false">
      <c r="A102" s="1" t="n">
        <v>10</v>
      </c>
      <c r="B102" s="1" t="n">
        <v>9</v>
      </c>
      <c r="C102" s="1" t="n">
        <v>19</v>
      </c>
      <c r="D102" s="1" t="s">
        <v>307</v>
      </c>
      <c r="E102" s="1" t="n">
        <v>-1487.4442</v>
      </c>
      <c r="F102" s="1" t="n">
        <v>0.00086</v>
      </c>
      <c r="G102" s="1" t="n">
        <f aca="false">IF(ISNUMBER(E102),E102,VALUE(SUBSTITUTE(E102,"#",".01")))</f>
        <v>-1487.4442</v>
      </c>
    </row>
    <row r="103" customFormat="false" ht="12.75" hidden="false" customHeight="false" outlineLevel="0" collapsed="false">
      <c r="A103" s="1" t="n">
        <v>9</v>
      </c>
      <c r="B103" s="1" t="n">
        <v>10</v>
      </c>
      <c r="C103" s="1" t="n">
        <v>19</v>
      </c>
      <c r="D103" s="1" t="s">
        <v>308</v>
      </c>
      <c r="E103" s="1" t="n">
        <v>1752.05</v>
      </c>
      <c r="F103" s="1" t="n">
        <v>0.16</v>
      </c>
      <c r="G103" s="1" t="n">
        <f aca="false">IF(ISNUMBER(E103),E103,VALUE(SUBSTITUTE(E103,"#",".01")))</f>
        <v>1752.05</v>
      </c>
    </row>
    <row r="104" customFormat="false" ht="12.75" hidden="false" customHeight="false" outlineLevel="0" collapsed="false">
      <c r="A104" s="1" t="n">
        <v>8</v>
      </c>
      <c r="B104" s="1" t="n">
        <v>11</v>
      </c>
      <c r="C104" s="1" t="n">
        <v>19</v>
      </c>
      <c r="D104" s="1" t="s">
        <v>309</v>
      </c>
      <c r="E104" s="1" t="n">
        <v>12929.39</v>
      </c>
      <c r="F104" s="1" t="n">
        <v>10.535</v>
      </c>
      <c r="G104" s="1" t="n">
        <f aca="false">IF(ISNUMBER(E104),E104,VALUE(SUBSTITUTE(E104,"#",".01")))</f>
        <v>12929.39</v>
      </c>
    </row>
    <row r="105" customFormat="false" ht="12.75" hidden="false" customHeight="false" outlineLevel="0" collapsed="false">
      <c r="A105" s="1" t="n">
        <v>7</v>
      </c>
      <c r="B105" s="1" t="n">
        <v>12</v>
      </c>
      <c r="C105" s="1" t="n">
        <v>19</v>
      </c>
      <c r="D105" s="1" t="s">
        <v>310</v>
      </c>
      <c r="E105" s="1" t="n">
        <v>31828.389</v>
      </c>
      <c r="F105" s="1" t="n">
        <v>50.001</v>
      </c>
      <c r="G105" s="1" t="n">
        <f aca="false">IF(ISNUMBER(E105),E105,VALUE(SUBSTITUTE(E105,"#",".01")))</f>
        <v>31828.389</v>
      </c>
    </row>
    <row r="106" customFormat="false" ht="12.75" hidden="false" customHeight="false" outlineLevel="0" collapsed="false">
      <c r="A106" s="1" t="n">
        <v>15</v>
      </c>
      <c r="B106" s="1" t="n">
        <v>5</v>
      </c>
      <c r="C106" s="1" t="n">
        <v>20</v>
      </c>
      <c r="D106" s="1" t="s">
        <v>301</v>
      </c>
      <c r="E106" s="1" t="s">
        <v>311</v>
      </c>
      <c r="F106" s="1" t="s">
        <v>312</v>
      </c>
      <c r="G106" s="1" t="n">
        <f aca="false">IF(ISNUMBER(E106),E106,VALUE(SUBSTITUTE(E106,"#",".01")))</f>
        <v>68450.01</v>
      </c>
    </row>
    <row r="107" customFormat="false" ht="12.75" hidden="false" customHeight="false" outlineLevel="0" collapsed="false">
      <c r="A107" s="1" t="n">
        <v>14</v>
      </c>
      <c r="B107" s="1" t="n">
        <v>6</v>
      </c>
      <c r="C107" s="1" t="n">
        <v>20</v>
      </c>
      <c r="D107" s="1" t="s">
        <v>305</v>
      </c>
      <c r="E107" s="1" t="n">
        <v>37503.563</v>
      </c>
      <c r="F107" s="1" t="n">
        <v>230.625</v>
      </c>
      <c r="G107" s="1" t="n">
        <f aca="false">IF(ISNUMBER(E107),E107,VALUE(SUBSTITUTE(E107,"#",".01")))</f>
        <v>37503.563</v>
      </c>
    </row>
    <row r="108" customFormat="false" ht="12.75" hidden="false" customHeight="false" outlineLevel="0" collapsed="false">
      <c r="A108" s="1" t="n">
        <v>13</v>
      </c>
      <c r="B108" s="1" t="n">
        <v>7</v>
      </c>
      <c r="C108" s="1" t="n">
        <v>20</v>
      </c>
      <c r="D108" s="1" t="s">
        <v>287</v>
      </c>
      <c r="E108" s="1" t="n">
        <v>21766.496</v>
      </c>
      <c r="F108" s="1" t="n">
        <v>78.894</v>
      </c>
      <c r="G108" s="1" t="n">
        <f aca="false">IF(ISNUMBER(E108),E108,VALUE(SUBSTITUTE(E108,"#",".01")))</f>
        <v>21766.496</v>
      </c>
    </row>
    <row r="109" customFormat="false" ht="12.75" hidden="false" customHeight="false" outlineLevel="0" collapsed="false">
      <c r="A109" s="1" t="n">
        <v>12</v>
      </c>
      <c r="B109" s="1" t="n">
        <v>8</v>
      </c>
      <c r="C109" s="1" t="n">
        <v>20</v>
      </c>
      <c r="D109" s="1" t="s">
        <v>306</v>
      </c>
      <c r="E109" s="1" t="n">
        <v>3796.172</v>
      </c>
      <c r="F109" s="1" t="n">
        <v>0.885</v>
      </c>
      <c r="G109" s="1" t="n">
        <f aca="false">IF(ISNUMBER(E109),E109,VALUE(SUBSTITUTE(E109,"#",".01")))</f>
        <v>3796.172</v>
      </c>
    </row>
    <row r="110" customFormat="false" ht="12.75" hidden="false" customHeight="false" outlineLevel="0" collapsed="false">
      <c r="A110" s="1" t="n">
        <v>11</v>
      </c>
      <c r="B110" s="1" t="n">
        <v>9</v>
      </c>
      <c r="C110" s="1" t="n">
        <v>20</v>
      </c>
      <c r="D110" s="1" t="s">
        <v>307</v>
      </c>
      <c r="E110" s="1" t="n">
        <v>-17.463</v>
      </c>
      <c r="F110" s="1" t="n">
        <v>0.03</v>
      </c>
      <c r="G110" s="1" t="n">
        <f aca="false">IF(ISNUMBER(E110),E110,VALUE(SUBSTITUTE(E110,"#",".01")))</f>
        <v>-17.463</v>
      </c>
    </row>
    <row r="111" customFormat="false" ht="12.75" hidden="false" customHeight="false" outlineLevel="0" collapsed="false">
      <c r="A111" s="1" t="n">
        <v>10</v>
      </c>
      <c r="B111" s="1" t="n">
        <v>10</v>
      </c>
      <c r="C111" s="1" t="n">
        <v>20</v>
      </c>
      <c r="D111" s="1" t="s">
        <v>308</v>
      </c>
      <c r="E111" s="1" t="n">
        <v>-7041.93055</v>
      </c>
      <c r="F111" s="1" t="n">
        <v>0.00157</v>
      </c>
      <c r="G111" s="1" t="n">
        <f aca="false">IF(ISNUMBER(E111),E111,VALUE(SUBSTITUTE(E111,"#",".01")))</f>
        <v>-7041.93055</v>
      </c>
    </row>
    <row r="112" customFormat="false" ht="12.75" hidden="false" customHeight="false" outlineLevel="0" collapsed="false">
      <c r="A112" s="1" t="n">
        <v>9</v>
      </c>
      <c r="B112" s="1" t="n">
        <v>11</v>
      </c>
      <c r="C112" s="1" t="n">
        <v>20</v>
      </c>
      <c r="D112" s="1" t="s">
        <v>309</v>
      </c>
      <c r="E112" s="1" t="n">
        <v>6850.604</v>
      </c>
      <c r="F112" s="1" t="n">
        <v>1.114</v>
      </c>
      <c r="G112" s="1" t="n">
        <f aca="false">IF(ISNUMBER(E112),E112,VALUE(SUBSTITUTE(E112,"#",".01")))</f>
        <v>6850.604</v>
      </c>
    </row>
    <row r="113" customFormat="false" ht="12.75" hidden="false" customHeight="false" outlineLevel="0" collapsed="false">
      <c r="A113" s="1" t="n">
        <v>8</v>
      </c>
      <c r="B113" s="1" t="n">
        <v>12</v>
      </c>
      <c r="C113" s="1" t="n">
        <v>20</v>
      </c>
      <c r="D113" s="1" t="s">
        <v>310</v>
      </c>
      <c r="E113" s="1" t="n">
        <v>17477.692</v>
      </c>
      <c r="F113" s="1" t="n">
        <v>1.863</v>
      </c>
      <c r="G113" s="1" t="n">
        <f aca="false">IF(ISNUMBER(E113),E113,VALUE(SUBSTITUTE(E113,"#",".01")))</f>
        <v>17477.692</v>
      </c>
    </row>
    <row r="114" customFormat="false" ht="12.75" hidden="false" customHeight="false" outlineLevel="0" collapsed="false">
      <c r="A114" s="1" t="n">
        <v>16</v>
      </c>
      <c r="B114" s="1" t="n">
        <v>5</v>
      </c>
      <c r="C114" s="1" t="n">
        <v>21</v>
      </c>
      <c r="D114" s="1" t="s">
        <v>301</v>
      </c>
      <c r="E114" s="1" t="s">
        <v>313</v>
      </c>
      <c r="F114" s="1" t="s">
        <v>314</v>
      </c>
      <c r="G114" s="1" t="n">
        <f aca="false">IF(ISNUMBER(E114),E114,VALUE(SUBSTITUTE(E114,"#",".01")))</f>
        <v>77330.01</v>
      </c>
    </row>
    <row r="115" customFormat="false" ht="12.75" hidden="false" customHeight="false" outlineLevel="0" collapsed="false">
      <c r="A115" s="1" t="n">
        <v>15</v>
      </c>
      <c r="B115" s="1" t="n">
        <v>6</v>
      </c>
      <c r="C115" s="1" t="n">
        <v>21</v>
      </c>
      <c r="D115" s="1" t="s">
        <v>305</v>
      </c>
      <c r="E115" s="1" t="s">
        <v>315</v>
      </c>
      <c r="F115" s="1" t="s">
        <v>316</v>
      </c>
      <c r="G115" s="1" t="n">
        <f aca="false">IF(ISNUMBER(E115),E115,VALUE(SUBSTITUTE(E115,"#",".01")))</f>
        <v>45643.01</v>
      </c>
    </row>
    <row r="116" customFormat="false" ht="12.75" hidden="false" customHeight="false" outlineLevel="0" collapsed="false">
      <c r="A116" s="1" t="n">
        <v>14</v>
      </c>
      <c r="B116" s="1" t="n">
        <v>7</v>
      </c>
      <c r="C116" s="1" t="n">
        <v>21</v>
      </c>
      <c r="D116" s="1" t="s">
        <v>287</v>
      </c>
      <c r="E116" s="1" t="n">
        <v>25231.913</v>
      </c>
      <c r="F116" s="1" t="n">
        <v>134.048</v>
      </c>
      <c r="G116" s="1" t="n">
        <f aca="false">IF(ISNUMBER(E116),E116,VALUE(SUBSTITUTE(E116,"#",".01")))</f>
        <v>25231.913</v>
      </c>
    </row>
    <row r="117" customFormat="false" ht="12.75" hidden="false" customHeight="false" outlineLevel="0" collapsed="false">
      <c r="A117" s="1" t="n">
        <v>13</v>
      </c>
      <c r="B117" s="1" t="n">
        <v>8</v>
      </c>
      <c r="C117" s="1" t="n">
        <v>21</v>
      </c>
      <c r="D117" s="1" t="s">
        <v>306</v>
      </c>
      <c r="E117" s="1" t="n">
        <v>8062.035</v>
      </c>
      <c r="F117" s="1" t="n">
        <v>12</v>
      </c>
      <c r="G117" s="1" t="n">
        <f aca="false">IF(ISNUMBER(E117),E117,VALUE(SUBSTITUTE(E117,"#",".01")))</f>
        <v>8062.035</v>
      </c>
    </row>
    <row r="118" customFormat="false" ht="12.75" hidden="false" customHeight="false" outlineLevel="0" collapsed="false">
      <c r="A118" s="1" t="n">
        <v>12</v>
      </c>
      <c r="B118" s="1" t="n">
        <v>9</v>
      </c>
      <c r="C118" s="1" t="n">
        <v>21</v>
      </c>
      <c r="D118" s="1" t="s">
        <v>307</v>
      </c>
      <c r="E118" s="1" t="n">
        <v>-47.605</v>
      </c>
      <c r="F118" s="1" t="n">
        <v>1.8</v>
      </c>
      <c r="G118" s="1" t="n">
        <f aca="false">IF(ISNUMBER(E118),E118,VALUE(SUBSTITUTE(E118,"#",".01")))</f>
        <v>-47.605</v>
      </c>
    </row>
    <row r="119" customFormat="false" ht="12.75" hidden="false" customHeight="false" outlineLevel="0" collapsed="false">
      <c r="A119" s="1" t="n">
        <v>11</v>
      </c>
      <c r="B119" s="1" t="n">
        <v>10</v>
      </c>
      <c r="C119" s="1" t="n">
        <v>21</v>
      </c>
      <c r="D119" s="1" t="s">
        <v>308</v>
      </c>
      <c r="E119" s="1" t="n">
        <v>-5731.776</v>
      </c>
      <c r="F119" s="1" t="n">
        <v>0.038</v>
      </c>
      <c r="G119" s="1" t="n">
        <f aca="false">IF(ISNUMBER(E119),E119,VALUE(SUBSTITUTE(E119,"#",".01")))</f>
        <v>-5731.776</v>
      </c>
    </row>
    <row r="120" customFormat="false" ht="12.75" hidden="false" customHeight="false" outlineLevel="0" collapsed="false">
      <c r="A120" s="1" t="n">
        <v>10</v>
      </c>
      <c r="B120" s="1" t="n">
        <v>11</v>
      </c>
      <c r="C120" s="1" t="n">
        <v>21</v>
      </c>
      <c r="D120" s="1" t="s">
        <v>309</v>
      </c>
      <c r="E120" s="1" t="n">
        <v>-2184.631</v>
      </c>
      <c r="F120" s="1" t="n">
        <v>0.098</v>
      </c>
      <c r="G120" s="1" t="n">
        <f aca="false">IF(ISNUMBER(E120),E120,VALUE(SUBSTITUTE(E120,"#",".01")))</f>
        <v>-2184.631</v>
      </c>
    </row>
    <row r="121" customFormat="false" ht="12.75" hidden="false" customHeight="false" outlineLevel="0" collapsed="false">
      <c r="A121" s="1" t="n">
        <v>9</v>
      </c>
      <c r="B121" s="1" t="n">
        <v>12</v>
      </c>
      <c r="C121" s="1" t="n">
        <v>21</v>
      </c>
      <c r="D121" s="1" t="s">
        <v>310</v>
      </c>
      <c r="E121" s="1" t="n">
        <v>10903.85</v>
      </c>
      <c r="F121" s="1" t="n">
        <v>0.755</v>
      </c>
      <c r="G121" s="1" t="n">
        <f aca="false">IF(ISNUMBER(E121),E121,VALUE(SUBSTITUTE(E121,"#",".01")))</f>
        <v>10903.85</v>
      </c>
    </row>
    <row r="122" customFormat="false" ht="12.75" hidden="false" customHeight="false" outlineLevel="0" collapsed="false">
      <c r="A122" s="1" t="n">
        <v>8</v>
      </c>
      <c r="B122" s="1" t="n">
        <v>13</v>
      </c>
      <c r="C122" s="1" t="n">
        <v>21</v>
      </c>
      <c r="D122" s="1" t="s">
        <v>317</v>
      </c>
      <c r="E122" s="1" t="s">
        <v>318</v>
      </c>
      <c r="F122" s="1" t="s">
        <v>316</v>
      </c>
      <c r="G122" s="1" t="n">
        <f aca="false">IF(ISNUMBER(E122),E122,VALUE(SUBSTITUTE(E122,"#",".01")))</f>
        <v>26990.01</v>
      </c>
    </row>
    <row r="123" customFormat="false" ht="12.75" hidden="false" customHeight="false" outlineLevel="0" collapsed="false">
      <c r="A123" s="1" t="n">
        <v>16</v>
      </c>
      <c r="B123" s="1" t="n">
        <v>6</v>
      </c>
      <c r="C123" s="1" t="n">
        <v>22</v>
      </c>
      <c r="D123" s="1" t="s">
        <v>305</v>
      </c>
      <c r="E123" s="1" t="n">
        <v>53611.197</v>
      </c>
      <c r="F123" s="1" t="n">
        <v>231.49</v>
      </c>
      <c r="G123" s="1" t="n">
        <f aca="false">IF(ISNUMBER(E123),E123,VALUE(SUBSTITUTE(E123,"#",".01")))</f>
        <v>53611.197</v>
      </c>
    </row>
    <row r="124" customFormat="false" ht="12.75" hidden="false" customHeight="false" outlineLevel="0" collapsed="false">
      <c r="A124" s="1" t="n">
        <v>15</v>
      </c>
      <c r="B124" s="1" t="n">
        <v>7</v>
      </c>
      <c r="C124" s="1" t="n">
        <v>22</v>
      </c>
      <c r="D124" s="1" t="s">
        <v>287</v>
      </c>
      <c r="E124" s="1" t="n">
        <v>31764.801</v>
      </c>
      <c r="F124" s="1" t="n">
        <v>207.779</v>
      </c>
      <c r="G124" s="1" t="n">
        <f aca="false">IF(ISNUMBER(E124),E124,VALUE(SUBSTITUTE(E124,"#",".01")))</f>
        <v>31764.801</v>
      </c>
    </row>
    <row r="125" customFormat="false" ht="12.75" hidden="false" customHeight="false" outlineLevel="0" collapsed="false">
      <c r="A125" s="1" t="n">
        <v>14</v>
      </c>
      <c r="B125" s="1" t="n">
        <v>8</v>
      </c>
      <c r="C125" s="1" t="n">
        <v>22</v>
      </c>
      <c r="D125" s="1" t="s">
        <v>306</v>
      </c>
      <c r="E125" s="1" t="n">
        <v>9283.033</v>
      </c>
      <c r="F125" s="1" t="n">
        <v>56.921</v>
      </c>
      <c r="G125" s="1" t="n">
        <f aca="false">IF(ISNUMBER(E125),E125,VALUE(SUBSTITUTE(E125,"#",".01")))</f>
        <v>9283.033</v>
      </c>
    </row>
    <row r="126" customFormat="false" ht="12.75" hidden="false" customHeight="false" outlineLevel="0" collapsed="false">
      <c r="A126" s="1" t="n">
        <v>13</v>
      </c>
      <c r="B126" s="1" t="n">
        <v>9</v>
      </c>
      <c r="C126" s="1" t="n">
        <v>22</v>
      </c>
      <c r="D126" s="1" t="s">
        <v>307</v>
      </c>
      <c r="E126" s="1" t="n">
        <v>2793.373</v>
      </c>
      <c r="F126" s="1" t="n">
        <v>12.399</v>
      </c>
      <c r="G126" s="1" t="n">
        <f aca="false">IF(ISNUMBER(E126),E126,VALUE(SUBSTITUTE(E126,"#",".01")))</f>
        <v>2793.373</v>
      </c>
    </row>
    <row r="127" customFormat="false" ht="12.75" hidden="false" customHeight="false" outlineLevel="0" collapsed="false">
      <c r="A127" s="1" t="n">
        <v>12</v>
      </c>
      <c r="B127" s="1" t="n">
        <v>10</v>
      </c>
      <c r="C127" s="1" t="n">
        <v>22</v>
      </c>
      <c r="D127" s="1" t="s">
        <v>308</v>
      </c>
      <c r="E127" s="1" t="n">
        <v>-8024.719</v>
      </c>
      <c r="F127" s="1" t="n">
        <v>0.018</v>
      </c>
      <c r="G127" s="1" t="n">
        <f aca="false">IF(ISNUMBER(E127),E127,VALUE(SUBSTITUTE(E127,"#",".01")))</f>
        <v>-8024.719</v>
      </c>
    </row>
    <row r="128" customFormat="false" ht="12.75" hidden="false" customHeight="false" outlineLevel="0" collapsed="false">
      <c r="A128" s="1" t="n">
        <v>11</v>
      </c>
      <c r="B128" s="1" t="n">
        <v>11</v>
      </c>
      <c r="C128" s="1" t="n">
        <v>22</v>
      </c>
      <c r="D128" s="1" t="s">
        <v>309</v>
      </c>
      <c r="E128" s="1" t="n">
        <v>-5181.511</v>
      </c>
      <c r="F128" s="1" t="n">
        <v>0.171</v>
      </c>
      <c r="G128" s="1" t="n">
        <f aca="false">IF(ISNUMBER(E128),E128,VALUE(SUBSTITUTE(E128,"#",".01")))</f>
        <v>-5181.511</v>
      </c>
    </row>
    <row r="129" customFormat="false" ht="12.75" hidden="false" customHeight="false" outlineLevel="0" collapsed="false">
      <c r="A129" s="1" t="n">
        <v>10</v>
      </c>
      <c r="B129" s="1" t="n">
        <v>12</v>
      </c>
      <c r="C129" s="1" t="n">
        <v>22</v>
      </c>
      <c r="D129" s="1" t="s">
        <v>310</v>
      </c>
      <c r="E129" s="1" t="n">
        <v>-399.933</v>
      </c>
      <c r="F129" s="1" t="n">
        <v>0.313</v>
      </c>
      <c r="G129" s="1" t="n">
        <f aca="false">IF(ISNUMBER(E129),E129,VALUE(SUBSTITUTE(E129,"#",".01")))</f>
        <v>-399.933</v>
      </c>
    </row>
    <row r="130" customFormat="false" ht="12.75" hidden="false" customHeight="false" outlineLevel="0" collapsed="false">
      <c r="A130" s="1" t="n">
        <v>9</v>
      </c>
      <c r="B130" s="1" t="n">
        <v>13</v>
      </c>
      <c r="C130" s="1" t="n">
        <v>22</v>
      </c>
      <c r="D130" s="1" t="s">
        <v>317</v>
      </c>
      <c r="E130" s="1" t="s">
        <v>319</v>
      </c>
      <c r="F130" s="1" t="s">
        <v>320</v>
      </c>
      <c r="G130" s="1" t="n">
        <f aca="false">IF(ISNUMBER(E130),E130,VALUE(SUBSTITUTE(E130,"#",".01")))</f>
        <v>18201.01</v>
      </c>
    </row>
    <row r="131" customFormat="false" ht="12.75" hidden="false" customHeight="false" outlineLevel="0" collapsed="false">
      <c r="A131" s="1" t="n">
        <v>8</v>
      </c>
      <c r="B131" s="1" t="n">
        <v>14</v>
      </c>
      <c r="C131" s="1" t="n">
        <v>22</v>
      </c>
      <c r="D131" s="1" t="s">
        <v>321</v>
      </c>
      <c r="E131" s="1" t="s">
        <v>322</v>
      </c>
      <c r="F131" s="1" t="s">
        <v>323</v>
      </c>
      <c r="G131" s="1" t="n">
        <f aca="false">IF(ISNUMBER(E131),E131,VALUE(SUBSTITUTE(E131,"#",".01")))</f>
        <v>33338.01</v>
      </c>
    </row>
    <row r="132" customFormat="false" ht="12.75" hidden="false" customHeight="false" outlineLevel="0" collapsed="false">
      <c r="A132" s="1" t="n">
        <v>17</v>
      </c>
      <c r="B132" s="1" t="n">
        <v>6</v>
      </c>
      <c r="C132" s="1" t="n">
        <v>23</v>
      </c>
      <c r="D132" s="1" t="s">
        <v>305</v>
      </c>
      <c r="E132" s="1" t="s">
        <v>324</v>
      </c>
      <c r="F132" s="1" t="s">
        <v>325</v>
      </c>
      <c r="G132" s="1" t="n">
        <f aca="false">IF(ISNUMBER(E132),E132,VALUE(SUBSTITUTE(E132,"#",".01")))</f>
        <v>64171.01</v>
      </c>
    </row>
    <row r="133" customFormat="false" ht="12.75" hidden="false" customHeight="false" outlineLevel="0" collapsed="false">
      <c r="A133" s="1" t="n">
        <v>16</v>
      </c>
      <c r="B133" s="1" t="n">
        <v>7</v>
      </c>
      <c r="C133" s="1" t="n">
        <v>23</v>
      </c>
      <c r="D133" s="1" t="s">
        <v>287</v>
      </c>
      <c r="E133" s="1" t="n">
        <v>36720.425</v>
      </c>
      <c r="F133" s="1" t="n">
        <v>420.57</v>
      </c>
      <c r="G133" s="1" t="n">
        <f aca="false">IF(ISNUMBER(E133),E133,VALUE(SUBSTITUTE(E133,"#",".01")))</f>
        <v>36720.425</v>
      </c>
    </row>
    <row r="134" customFormat="false" ht="12.75" hidden="false" customHeight="false" outlineLevel="0" collapsed="false">
      <c r="A134" s="1" t="n">
        <v>15</v>
      </c>
      <c r="B134" s="1" t="n">
        <v>8</v>
      </c>
      <c r="C134" s="1" t="n">
        <v>23</v>
      </c>
      <c r="D134" s="1" t="s">
        <v>306</v>
      </c>
      <c r="E134" s="1" t="n">
        <v>14621.369</v>
      </c>
      <c r="F134" s="1" t="n">
        <v>121.712</v>
      </c>
      <c r="G134" s="1" t="n">
        <f aca="false">IF(ISNUMBER(E134),E134,VALUE(SUBSTITUTE(E134,"#",".01")))</f>
        <v>14621.369</v>
      </c>
    </row>
    <row r="135" customFormat="false" ht="12.75" hidden="false" customHeight="false" outlineLevel="0" collapsed="false">
      <c r="A135" s="1" t="n">
        <v>14</v>
      </c>
      <c r="B135" s="1" t="n">
        <v>9</v>
      </c>
      <c r="C135" s="1" t="n">
        <v>23</v>
      </c>
      <c r="D135" s="1" t="s">
        <v>307</v>
      </c>
      <c r="E135" s="1" t="n">
        <v>3285.263</v>
      </c>
      <c r="F135" s="1" t="n">
        <v>33.32</v>
      </c>
      <c r="G135" s="1" t="n">
        <f aca="false">IF(ISNUMBER(E135),E135,VALUE(SUBSTITUTE(E135,"#",".01")))</f>
        <v>3285.263</v>
      </c>
    </row>
    <row r="136" customFormat="false" ht="12.75" hidden="false" customHeight="false" outlineLevel="0" collapsed="false">
      <c r="A136" s="1" t="n">
        <v>13</v>
      </c>
      <c r="B136" s="1" t="n">
        <v>10</v>
      </c>
      <c r="C136" s="1" t="n">
        <v>23</v>
      </c>
      <c r="D136" s="1" t="s">
        <v>308</v>
      </c>
      <c r="E136" s="1" t="n">
        <v>-5154.049</v>
      </c>
      <c r="F136" s="1" t="n">
        <v>0.104</v>
      </c>
      <c r="G136" s="1" t="n">
        <f aca="false">IF(ISNUMBER(E136),E136,VALUE(SUBSTITUTE(E136,"#",".01")))</f>
        <v>-5154.049</v>
      </c>
    </row>
    <row r="137" customFormat="false" ht="12.75" hidden="false" customHeight="false" outlineLevel="0" collapsed="false">
      <c r="A137" s="1" t="n">
        <v>12</v>
      </c>
      <c r="B137" s="1" t="n">
        <v>11</v>
      </c>
      <c r="C137" s="1" t="n">
        <v>23</v>
      </c>
      <c r="D137" s="1" t="s">
        <v>309</v>
      </c>
      <c r="E137" s="1" t="n">
        <v>-9529.85248</v>
      </c>
      <c r="F137" s="1" t="n">
        <v>0.00181</v>
      </c>
      <c r="G137" s="1" t="n">
        <f aca="false">IF(ISNUMBER(E137),E137,VALUE(SUBSTITUTE(E137,"#",".01")))</f>
        <v>-9529.85248</v>
      </c>
    </row>
    <row r="138" customFormat="false" ht="12.75" hidden="false" customHeight="false" outlineLevel="0" collapsed="false">
      <c r="A138" s="1" t="n">
        <v>11</v>
      </c>
      <c r="B138" s="1" t="n">
        <v>12</v>
      </c>
      <c r="C138" s="1" t="n">
        <v>23</v>
      </c>
      <c r="D138" s="1" t="s">
        <v>310</v>
      </c>
      <c r="E138" s="1" t="n">
        <v>-5473.513</v>
      </c>
      <c r="F138" s="1" t="n">
        <v>0.158</v>
      </c>
      <c r="G138" s="1" t="n">
        <f aca="false">IF(ISNUMBER(E138),E138,VALUE(SUBSTITUTE(E138,"#",".01")))</f>
        <v>-5473.513</v>
      </c>
    </row>
    <row r="139" customFormat="false" ht="12.75" hidden="false" customHeight="false" outlineLevel="0" collapsed="false">
      <c r="A139" s="1" t="n">
        <v>10</v>
      </c>
      <c r="B139" s="1" t="n">
        <v>13</v>
      </c>
      <c r="C139" s="1" t="n">
        <v>23</v>
      </c>
      <c r="D139" s="1" t="s">
        <v>317</v>
      </c>
      <c r="E139" s="1" t="n">
        <v>6748.07</v>
      </c>
      <c r="F139" s="1" t="n">
        <v>0.345</v>
      </c>
      <c r="G139" s="1" t="n">
        <f aca="false">IF(ISNUMBER(E139),E139,VALUE(SUBSTITUTE(E139,"#",".01")))</f>
        <v>6748.07</v>
      </c>
    </row>
    <row r="140" customFormat="false" ht="12.75" hidden="false" customHeight="false" outlineLevel="0" collapsed="false">
      <c r="A140" s="1" t="n">
        <v>9</v>
      </c>
      <c r="B140" s="1" t="n">
        <v>14</v>
      </c>
      <c r="C140" s="1" t="n">
        <v>23</v>
      </c>
      <c r="D140" s="1" t="s">
        <v>321</v>
      </c>
      <c r="E140" s="1" t="s">
        <v>326</v>
      </c>
      <c r="F140" s="1" t="s">
        <v>323</v>
      </c>
      <c r="G140" s="1" t="n">
        <f aca="false">IF(ISNUMBER(E140),E140,VALUE(SUBSTITUTE(E140,"#",".01")))</f>
        <v>23697.01</v>
      </c>
    </row>
    <row r="141" customFormat="false" ht="12.75" hidden="false" customHeight="false" outlineLevel="0" collapsed="false">
      <c r="A141" s="1" t="n">
        <v>17</v>
      </c>
      <c r="B141" s="1" t="n">
        <v>7</v>
      </c>
      <c r="C141" s="1" t="n">
        <v>24</v>
      </c>
      <c r="D141" s="1" t="s">
        <v>287</v>
      </c>
      <c r="E141" s="1" t="s">
        <v>327</v>
      </c>
      <c r="F141" s="1" t="s">
        <v>320</v>
      </c>
      <c r="G141" s="1" t="n">
        <f aca="false">IF(ISNUMBER(E141),E141,VALUE(SUBSTITUTE(E141,"#",".01")))</f>
        <v>46938.01</v>
      </c>
    </row>
    <row r="142" customFormat="false" ht="12.75" hidden="false" customHeight="false" outlineLevel="0" collapsed="false">
      <c r="A142" s="1" t="n">
        <v>16</v>
      </c>
      <c r="B142" s="1" t="n">
        <v>8</v>
      </c>
      <c r="C142" s="1" t="n">
        <v>24</v>
      </c>
      <c r="D142" s="1" t="s">
        <v>306</v>
      </c>
      <c r="E142" s="1" t="n">
        <v>18500.402</v>
      </c>
      <c r="F142" s="1" t="n">
        <v>164.874</v>
      </c>
      <c r="G142" s="1" t="n">
        <f aca="false">IF(ISNUMBER(E142),E142,VALUE(SUBSTITUTE(E142,"#",".01")))</f>
        <v>18500.402</v>
      </c>
    </row>
    <row r="143" customFormat="false" ht="12.75" hidden="false" customHeight="false" outlineLevel="0" collapsed="false">
      <c r="A143" s="1" t="n">
        <v>15</v>
      </c>
      <c r="B143" s="1" t="n">
        <v>9</v>
      </c>
      <c r="C143" s="1" t="n">
        <v>24</v>
      </c>
      <c r="D143" s="1" t="s">
        <v>307</v>
      </c>
      <c r="E143" s="1" t="n">
        <v>7544.515</v>
      </c>
      <c r="F143" s="1" t="n">
        <v>97.67</v>
      </c>
      <c r="G143" s="1" t="n">
        <f aca="false">IF(ISNUMBER(E143),E143,VALUE(SUBSTITUTE(E143,"#",".01")))</f>
        <v>7544.515</v>
      </c>
    </row>
    <row r="144" customFormat="false" ht="12.75" hidden="false" customHeight="false" outlineLevel="0" collapsed="false">
      <c r="A144" s="1" t="n">
        <v>14</v>
      </c>
      <c r="B144" s="1" t="n">
        <v>10</v>
      </c>
      <c r="C144" s="1" t="n">
        <v>24</v>
      </c>
      <c r="D144" s="1" t="s">
        <v>308</v>
      </c>
      <c r="E144" s="1" t="n">
        <v>-5951.646</v>
      </c>
      <c r="F144" s="1" t="n">
        <v>0.513</v>
      </c>
      <c r="G144" s="1" t="n">
        <f aca="false">IF(ISNUMBER(E144),E144,VALUE(SUBSTITUTE(E144,"#",".01")))</f>
        <v>-5951.646</v>
      </c>
    </row>
    <row r="145" customFormat="false" ht="12.75" hidden="false" customHeight="false" outlineLevel="0" collapsed="false">
      <c r="A145" s="1" t="n">
        <v>13</v>
      </c>
      <c r="B145" s="1" t="n">
        <v>11</v>
      </c>
      <c r="C145" s="1" t="n">
        <v>24</v>
      </c>
      <c r="D145" s="1" t="s">
        <v>309</v>
      </c>
      <c r="E145" s="1" t="n">
        <v>-8417.901</v>
      </c>
      <c r="F145" s="1" t="n">
        <v>0.017</v>
      </c>
      <c r="G145" s="1" t="n">
        <f aca="false">IF(ISNUMBER(E145),E145,VALUE(SUBSTITUTE(E145,"#",".01")))</f>
        <v>-8417.901</v>
      </c>
    </row>
    <row r="146" customFormat="false" ht="12.75" hidden="false" customHeight="false" outlineLevel="0" collapsed="false">
      <c r="A146" s="1" t="n">
        <v>12</v>
      </c>
      <c r="B146" s="1" t="n">
        <v>12</v>
      </c>
      <c r="C146" s="1" t="n">
        <v>24</v>
      </c>
      <c r="D146" s="1" t="s">
        <v>310</v>
      </c>
      <c r="E146" s="1" t="n">
        <v>-13933.569</v>
      </c>
      <c r="F146" s="1" t="n">
        <v>0.013</v>
      </c>
      <c r="G146" s="1" t="n">
        <f aca="false">IF(ISNUMBER(E146),E146,VALUE(SUBSTITUTE(E146,"#",".01")))</f>
        <v>-13933.569</v>
      </c>
    </row>
    <row r="147" customFormat="false" ht="12.75" hidden="false" customHeight="false" outlineLevel="0" collapsed="false">
      <c r="A147" s="1" t="n">
        <v>11</v>
      </c>
      <c r="B147" s="1" t="n">
        <v>13</v>
      </c>
      <c r="C147" s="1" t="n">
        <v>24</v>
      </c>
      <c r="D147" s="1" t="s">
        <v>317</v>
      </c>
      <c r="E147" s="1" t="n">
        <v>-48.865</v>
      </c>
      <c r="F147" s="1" t="n">
        <v>0.233</v>
      </c>
      <c r="G147" s="1" t="n">
        <f aca="false">IF(ISNUMBER(E147),E147,VALUE(SUBSTITUTE(E147,"#",".01")))</f>
        <v>-48.865</v>
      </c>
    </row>
    <row r="148" customFormat="false" ht="12.75" hidden="false" customHeight="false" outlineLevel="0" collapsed="false">
      <c r="A148" s="1" t="n">
        <v>10</v>
      </c>
      <c r="B148" s="1" t="n">
        <v>14</v>
      </c>
      <c r="C148" s="1" t="n">
        <v>24</v>
      </c>
      <c r="D148" s="1" t="s">
        <v>321</v>
      </c>
      <c r="E148" s="1" t="n">
        <v>10745.195</v>
      </c>
      <c r="F148" s="1" t="n">
        <v>19.472</v>
      </c>
      <c r="G148" s="1" t="n">
        <f aca="false">IF(ISNUMBER(E148),E148,VALUE(SUBSTITUTE(E148,"#",".01")))</f>
        <v>10745.195</v>
      </c>
    </row>
    <row r="149" customFormat="false" ht="12.75" hidden="false" customHeight="false" outlineLevel="0" collapsed="false">
      <c r="A149" s="1" t="n">
        <v>9</v>
      </c>
      <c r="B149" s="1" t="n">
        <v>15</v>
      </c>
      <c r="C149" s="1" t="n">
        <v>24</v>
      </c>
      <c r="D149" s="1" t="s">
        <v>328</v>
      </c>
      <c r="E149" s="1" t="s">
        <v>329</v>
      </c>
      <c r="F149" s="1" t="s">
        <v>323</v>
      </c>
      <c r="G149" s="1" t="n">
        <f aca="false">IF(ISNUMBER(E149),E149,VALUE(SUBSTITUTE(E149,"#",".01")))</f>
        <v>33320.01</v>
      </c>
    </row>
    <row r="150" customFormat="false" ht="12.75" hidden="false" customHeight="false" outlineLevel="0" collapsed="false">
      <c r="A150" s="1" t="n">
        <v>18</v>
      </c>
      <c r="B150" s="1" t="n">
        <v>7</v>
      </c>
      <c r="C150" s="1" t="n">
        <v>25</v>
      </c>
      <c r="D150" s="1" t="s">
        <v>287</v>
      </c>
      <c r="E150" s="1" t="s">
        <v>330</v>
      </c>
      <c r="F150" s="1" t="s">
        <v>323</v>
      </c>
      <c r="G150" s="1" t="n">
        <f aca="false">IF(ISNUMBER(E150),E150,VALUE(SUBSTITUTE(E150,"#",".01")))</f>
        <v>55983.01</v>
      </c>
    </row>
    <row r="151" customFormat="false" ht="12.75" hidden="false" customHeight="false" outlineLevel="0" collapsed="false">
      <c r="A151" s="1" t="n">
        <v>17</v>
      </c>
      <c r="B151" s="1" t="n">
        <v>8</v>
      </c>
      <c r="C151" s="1" t="n">
        <v>25</v>
      </c>
      <c r="D151" s="1" t="s">
        <v>306</v>
      </c>
      <c r="E151" s="1" t="n">
        <v>27329.027</v>
      </c>
      <c r="F151" s="1" t="n">
        <v>165.084</v>
      </c>
      <c r="G151" s="1" t="n">
        <f aca="false">IF(ISNUMBER(E151),E151,VALUE(SUBSTITUTE(E151,"#",".01")))</f>
        <v>27329.027</v>
      </c>
    </row>
    <row r="152" customFormat="false" ht="12.75" hidden="false" customHeight="false" outlineLevel="0" collapsed="false">
      <c r="A152" s="1" t="n">
        <v>16</v>
      </c>
      <c r="B152" s="1" t="n">
        <v>9</v>
      </c>
      <c r="C152" s="1" t="n">
        <v>25</v>
      </c>
      <c r="D152" s="1" t="s">
        <v>307</v>
      </c>
      <c r="E152" s="1" t="n">
        <v>11334.166</v>
      </c>
      <c r="F152" s="1" t="n">
        <v>96.442</v>
      </c>
      <c r="G152" s="1" t="n">
        <f aca="false">IF(ISNUMBER(E152),E152,VALUE(SUBSTITUTE(E152,"#",".01")))</f>
        <v>11334.166</v>
      </c>
    </row>
    <row r="153" customFormat="false" ht="12.75" hidden="false" customHeight="false" outlineLevel="0" collapsed="false">
      <c r="A153" s="1" t="n">
        <v>15</v>
      </c>
      <c r="B153" s="1" t="n">
        <v>10</v>
      </c>
      <c r="C153" s="1" t="n">
        <v>25</v>
      </c>
      <c r="D153" s="1" t="s">
        <v>308</v>
      </c>
      <c r="E153" s="1" t="n">
        <v>-2035.502</v>
      </c>
      <c r="F153" s="1" t="n">
        <v>29.045</v>
      </c>
      <c r="G153" s="1" t="n">
        <f aca="false">IF(ISNUMBER(E153),E153,VALUE(SUBSTITUTE(E153,"#",".01")))</f>
        <v>-2035.502</v>
      </c>
    </row>
    <row r="154" customFormat="false" ht="12.75" hidden="false" customHeight="false" outlineLevel="0" collapsed="false">
      <c r="A154" s="1" t="n">
        <v>14</v>
      </c>
      <c r="B154" s="1" t="n">
        <v>11</v>
      </c>
      <c r="C154" s="1" t="n">
        <v>25</v>
      </c>
      <c r="D154" s="1" t="s">
        <v>309</v>
      </c>
      <c r="E154" s="1" t="n">
        <v>-9357.813</v>
      </c>
      <c r="F154" s="1" t="n">
        <v>1.2</v>
      </c>
      <c r="G154" s="1" t="n">
        <f aca="false">IF(ISNUMBER(E154),E154,VALUE(SUBSTITUTE(E154,"#",".01")))</f>
        <v>-9357.813</v>
      </c>
    </row>
    <row r="155" customFormat="false" ht="12.75" hidden="false" customHeight="false" outlineLevel="0" collapsed="false">
      <c r="A155" s="1" t="n">
        <v>13</v>
      </c>
      <c r="B155" s="1" t="n">
        <v>12</v>
      </c>
      <c r="C155" s="1" t="n">
        <v>25</v>
      </c>
      <c r="D155" s="1" t="s">
        <v>310</v>
      </c>
      <c r="E155" s="1" t="n">
        <v>-13192.783</v>
      </c>
      <c r="F155" s="1" t="n">
        <v>0.047</v>
      </c>
      <c r="G155" s="1" t="n">
        <f aca="false">IF(ISNUMBER(E155),E155,VALUE(SUBSTITUTE(E155,"#",".01")))</f>
        <v>-13192.783</v>
      </c>
    </row>
    <row r="156" customFormat="false" ht="12.75" hidden="false" customHeight="false" outlineLevel="0" collapsed="false">
      <c r="A156" s="1" t="n">
        <v>12</v>
      </c>
      <c r="B156" s="1" t="n">
        <v>13</v>
      </c>
      <c r="C156" s="1" t="n">
        <v>25</v>
      </c>
      <c r="D156" s="1" t="s">
        <v>317</v>
      </c>
      <c r="E156" s="1" t="n">
        <v>-8915.975</v>
      </c>
      <c r="F156" s="1" t="n">
        <v>0.065</v>
      </c>
      <c r="G156" s="1" t="n">
        <f aca="false">IF(ISNUMBER(E156),E156,VALUE(SUBSTITUTE(E156,"#",".01")))</f>
        <v>-8915.975</v>
      </c>
    </row>
    <row r="157" customFormat="false" ht="12.75" hidden="false" customHeight="false" outlineLevel="0" collapsed="false">
      <c r="A157" s="1" t="n">
        <v>11</v>
      </c>
      <c r="B157" s="1" t="n">
        <v>14</v>
      </c>
      <c r="C157" s="1" t="n">
        <v>25</v>
      </c>
      <c r="D157" s="1" t="s">
        <v>321</v>
      </c>
      <c r="E157" s="1" t="n">
        <v>3827.324</v>
      </c>
      <c r="F157" s="1" t="n">
        <v>10</v>
      </c>
      <c r="G157" s="1" t="n">
        <f aca="false">IF(ISNUMBER(E157),E157,VALUE(SUBSTITUTE(E157,"#",".01")))</f>
        <v>3827.324</v>
      </c>
    </row>
    <row r="158" customFormat="false" ht="12.75" hidden="false" customHeight="false" outlineLevel="0" collapsed="false">
      <c r="A158" s="1" t="n">
        <v>10</v>
      </c>
      <c r="B158" s="1" t="n">
        <v>15</v>
      </c>
      <c r="C158" s="1" t="n">
        <v>25</v>
      </c>
      <c r="D158" s="1" t="s">
        <v>328</v>
      </c>
      <c r="E158" s="1" t="s">
        <v>331</v>
      </c>
      <c r="F158" s="1" t="s">
        <v>320</v>
      </c>
      <c r="G158" s="1" t="n">
        <f aca="false">IF(ISNUMBER(E158),E158,VALUE(SUBSTITUTE(E158,"#",".01")))</f>
        <v>19738.01</v>
      </c>
    </row>
    <row r="159" customFormat="false" ht="12.75" hidden="false" customHeight="false" outlineLevel="0" collapsed="false">
      <c r="A159" s="1" t="n">
        <v>18</v>
      </c>
      <c r="B159" s="1" t="n">
        <v>8</v>
      </c>
      <c r="C159" s="1" t="n">
        <v>26</v>
      </c>
      <c r="D159" s="1" t="s">
        <v>306</v>
      </c>
      <c r="E159" s="1" t="n">
        <v>34661.037</v>
      </c>
      <c r="F159" s="1" t="n">
        <v>164.95</v>
      </c>
      <c r="G159" s="1" t="n">
        <f aca="false">IF(ISNUMBER(E159),E159,VALUE(SUBSTITUTE(E159,"#",".01")))</f>
        <v>34661.037</v>
      </c>
    </row>
    <row r="160" customFormat="false" ht="12.75" hidden="false" customHeight="false" outlineLevel="0" collapsed="false">
      <c r="A160" s="1" t="n">
        <v>17</v>
      </c>
      <c r="B160" s="1" t="n">
        <v>9</v>
      </c>
      <c r="C160" s="1" t="n">
        <v>26</v>
      </c>
      <c r="D160" s="1" t="s">
        <v>307</v>
      </c>
      <c r="E160" s="1" t="n">
        <v>18648.875</v>
      </c>
      <c r="F160" s="1" t="n">
        <v>111.199</v>
      </c>
      <c r="G160" s="1" t="n">
        <f aca="false">IF(ISNUMBER(E160),E160,VALUE(SUBSTITUTE(E160,"#",".01")))</f>
        <v>18648.875</v>
      </c>
    </row>
    <row r="161" customFormat="false" ht="12.75" hidden="false" customHeight="false" outlineLevel="0" collapsed="false">
      <c r="A161" s="1" t="n">
        <v>16</v>
      </c>
      <c r="B161" s="1" t="n">
        <v>10</v>
      </c>
      <c r="C161" s="1" t="n">
        <v>26</v>
      </c>
      <c r="D161" s="1" t="s">
        <v>308</v>
      </c>
      <c r="E161" s="1" t="n">
        <v>481.114</v>
      </c>
      <c r="F161" s="1" t="n">
        <v>18.429</v>
      </c>
      <c r="G161" s="1" t="n">
        <f aca="false">IF(ISNUMBER(E161),E161,VALUE(SUBSTITUTE(E161,"#",".01")))</f>
        <v>481.114</v>
      </c>
    </row>
    <row r="162" customFormat="false" ht="12.75" hidden="false" customHeight="false" outlineLevel="0" collapsed="false">
      <c r="A162" s="1" t="n">
        <v>15</v>
      </c>
      <c r="B162" s="1" t="n">
        <v>11</v>
      </c>
      <c r="C162" s="1" t="n">
        <v>26</v>
      </c>
      <c r="D162" s="1" t="s">
        <v>309</v>
      </c>
      <c r="E162" s="1" t="n">
        <v>-6860.78</v>
      </c>
      <c r="F162" s="1" t="n">
        <v>3.502</v>
      </c>
      <c r="G162" s="1" t="n">
        <f aca="false">IF(ISNUMBER(E162),E162,VALUE(SUBSTITUTE(E162,"#",".01")))</f>
        <v>-6860.78</v>
      </c>
    </row>
    <row r="163" customFormat="false" ht="12.75" hidden="false" customHeight="false" outlineLevel="0" collapsed="false">
      <c r="A163" s="1" t="n">
        <v>14</v>
      </c>
      <c r="B163" s="1" t="n">
        <v>12</v>
      </c>
      <c r="C163" s="1" t="n">
        <v>26</v>
      </c>
      <c r="D163" s="1" t="s">
        <v>310</v>
      </c>
      <c r="E163" s="1" t="n">
        <v>-16214.542</v>
      </c>
      <c r="F163" s="1" t="n">
        <v>0.03</v>
      </c>
      <c r="G163" s="1" t="n">
        <f aca="false">IF(ISNUMBER(E163),E163,VALUE(SUBSTITUTE(E163,"#",".01")))</f>
        <v>-16214.542</v>
      </c>
    </row>
    <row r="164" customFormat="false" ht="12.75" hidden="false" customHeight="false" outlineLevel="0" collapsed="false">
      <c r="A164" s="1" t="n">
        <v>13</v>
      </c>
      <c r="B164" s="1" t="n">
        <v>13</v>
      </c>
      <c r="C164" s="1" t="n">
        <v>26</v>
      </c>
      <c r="D164" s="1" t="s">
        <v>317</v>
      </c>
      <c r="E164" s="1" t="n">
        <v>-12210.151</v>
      </c>
      <c r="F164" s="1" t="n">
        <v>0.067</v>
      </c>
      <c r="G164" s="1" t="n">
        <f aca="false">IF(ISNUMBER(E164),E164,VALUE(SUBSTITUTE(E164,"#",".01")))</f>
        <v>-12210.151</v>
      </c>
    </row>
    <row r="165" customFormat="false" ht="12.75" hidden="false" customHeight="false" outlineLevel="0" collapsed="false">
      <c r="A165" s="1" t="n">
        <v>12</v>
      </c>
      <c r="B165" s="1" t="n">
        <v>14</v>
      </c>
      <c r="C165" s="1" t="n">
        <v>26</v>
      </c>
      <c r="D165" s="1" t="s">
        <v>321</v>
      </c>
      <c r="E165" s="1" t="n">
        <v>-7141.015</v>
      </c>
      <c r="F165" s="1" t="n">
        <v>0.108</v>
      </c>
      <c r="G165" s="1" t="n">
        <f aca="false">IF(ISNUMBER(E165),E165,VALUE(SUBSTITUTE(E165,"#",".01")))</f>
        <v>-7141.015</v>
      </c>
    </row>
    <row r="166" customFormat="false" ht="12.75" hidden="false" customHeight="false" outlineLevel="0" collapsed="false">
      <c r="A166" s="1" t="n">
        <v>11</v>
      </c>
      <c r="B166" s="1" t="n">
        <v>15</v>
      </c>
      <c r="C166" s="1" t="n">
        <v>26</v>
      </c>
      <c r="D166" s="1" t="s">
        <v>328</v>
      </c>
      <c r="E166" s="1" t="s">
        <v>332</v>
      </c>
      <c r="F166" s="1" t="s">
        <v>333</v>
      </c>
      <c r="G166" s="1" t="n">
        <f aca="false">IF(ISNUMBER(E166),E166,VALUE(SUBSTITUTE(E166,"#",".01")))</f>
        <v>10973.01</v>
      </c>
    </row>
    <row r="167" customFormat="false" ht="12.75" hidden="false" customHeight="false" outlineLevel="0" collapsed="false">
      <c r="A167" s="1" t="n">
        <v>10</v>
      </c>
      <c r="B167" s="1" t="n">
        <v>16</v>
      </c>
      <c r="C167" s="1" t="n">
        <v>26</v>
      </c>
      <c r="D167" s="1" t="s">
        <v>334</v>
      </c>
      <c r="E167" s="1" t="s">
        <v>335</v>
      </c>
      <c r="F167" s="1" t="s">
        <v>316</v>
      </c>
      <c r="G167" s="1" t="n">
        <f aca="false">IF(ISNUMBER(E167),E167,VALUE(SUBSTITUTE(E167,"#",".01")))</f>
        <v>27079.01</v>
      </c>
    </row>
    <row r="168" customFormat="false" ht="12.75" hidden="false" customHeight="false" outlineLevel="0" collapsed="false">
      <c r="A168" s="1" t="n">
        <v>19</v>
      </c>
      <c r="B168" s="1" t="n">
        <v>8</v>
      </c>
      <c r="C168" s="1" t="n">
        <v>27</v>
      </c>
      <c r="D168" s="1" t="s">
        <v>306</v>
      </c>
      <c r="E168" s="1" t="s">
        <v>336</v>
      </c>
      <c r="F168" s="1" t="s">
        <v>337</v>
      </c>
      <c r="G168" s="1" t="n">
        <f aca="false">IF(ISNUMBER(E168),E168,VALUE(SUBSTITUTE(E168,"#",".01")))</f>
        <v>44670.01</v>
      </c>
    </row>
    <row r="169" customFormat="false" ht="12.75" hidden="false" customHeight="false" outlineLevel="0" collapsed="false">
      <c r="A169" s="1" t="n">
        <v>18</v>
      </c>
      <c r="B169" s="1" t="n">
        <v>9</v>
      </c>
      <c r="C169" s="1" t="n">
        <v>27</v>
      </c>
      <c r="D169" s="1" t="s">
        <v>307</v>
      </c>
      <c r="E169" s="1" t="n">
        <v>25450.279</v>
      </c>
      <c r="F169" s="1" t="n">
        <v>389.83</v>
      </c>
      <c r="G169" s="1" t="n">
        <f aca="false">IF(ISNUMBER(E169),E169,VALUE(SUBSTITUTE(E169,"#",".01")))</f>
        <v>25450.279</v>
      </c>
    </row>
    <row r="170" customFormat="false" ht="12.75" hidden="false" customHeight="false" outlineLevel="0" collapsed="false">
      <c r="A170" s="1" t="n">
        <v>17</v>
      </c>
      <c r="B170" s="1" t="n">
        <v>10</v>
      </c>
      <c r="C170" s="1" t="n">
        <v>27</v>
      </c>
      <c r="D170" s="1" t="s">
        <v>308</v>
      </c>
      <c r="E170" s="1" t="n">
        <v>7050.909</v>
      </c>
      <c r="F170" s="1" t="n">
        <v>90.77</v>
      </c>
      <c r="G170" s="1" t="n">
        <f aca="false">IF(ISNUMBER(E170),E170,VALUE(SUBSTITUTE(E170,"#",".01")))</f>
        <v>7050.909</v>
      </c>
    </row>
    <row r="171" customFormat="false" ht="12.75" hidden="false" customHeight="false" outlineLevel="0" collapsed="false">
      <c r="A171" s="1" t="n">
        <v>16</v>
      </c>
      <c r="B171" s="1" t="n">
        <v>11</v>
      </c>
      <c r="C171" s="1" t="n">
        <v>27</v>
      </c>
      <c r="D171" s="1" t="s">
        <v>309</v>
      </c>
      <c r="E171" s="1" t="n">
        <v>-5517.79</v>
      </c>
      <c r="F171" s="1" t="n">
        <v>3.726</v>
      </c>
      <c r="G171" s="1" t="n">
        <f aca="false">IF(ISNUMBER(E171),E171,VALUE(SUBSTITUTE(E171,"#",".01")))</f>
        <v>-5517.79</v>
      </c>
    </row>
    <row r="172" customFormat="false" ht="12.75" hidden="false" customHeight="false" outlineLevel="0" collapsed="false">
      <c r="A172" s="1" t="n">
        <v>15</v>
      </c>
      <c r="B172" s="1" t="n">
        <v>12</v>
      </c>
      <c r="C172" s="1" t="n">
        <v>27</v>
      </c>
      <c r="D172" s="1" t="s">
        <v>310</v>
      </c>
      <c r="E172" s="1" t="n">
        <v>-14586.611</v>
      </c>
      <c r="F172" s="1" t="n">
        <v>0.05</v>
      </c>
      <c r="G172" s="1" t="n">
        <f aca="false">IF(ISNUMBER(E172),E172,VALUE(SUBSTITUTE(E172,"#",".01")))</f>
        <v>-14586.611</v>
      </c>
    </row>
    <row r="173" customFormat="false" ht="12.75" hidden="false" customHeight="false" outlineLevel="0" collapsed="false">
      <c r="A173" s="1" t="n">
        <v>14</v>
      </c>
      <c r="B173" s="1" t="n">
        <v>13</v>
      </c>
      <c r="C173" s="1" t="n">
        <v>27</v>
      </c>
      <c r="D173" s="1" t="s">
        <v>317</v>
      </c>
      <c r="E173" s="1" t="n">
        <v>-17196.861</v>
      </c>
      <c r="F173" s="1" t="n">
        <v>0.047</v>
      </c>
      <c r="G173" s="1" t="n">
        <f aca="false">IF(ISNUMBER(E173),E173,VALUE(SUBSTITUTE(E173,"#",".01")))</f>
        <v>-17196.861</v>
      </c>
    </row>
    <row r="174" customFormat="false" ht="12.75" hidden="false" customHeight="false" outlineLevel="0" collapsed="false">
      <c r="A174" s="1" t="n">
        <v>13</v>
      </c>
      <c r="B174" s="1" t="n">
        <v>14</v>
      </c>
      <c r="C174" s="1" t="n">
        <v>27</v>
      </c>
      <c r="D174" s="1" t="s">
        <v>321</v>
      </c>
      <c r="E174" s="1" t="n">
        <v>-12384.503</v>
      </c>
      <c r="F174" s="1" t="n">
        <v>0.107</v>
      </c>
      <c r="G174" s="1" t="n">
        <f aca="false">IF(ISNUMBER(E174),E174,VALUE(SUBSTITUTE(E174,"#",".01")))</f>
        <v>-12384.503</v>
      </c>
    </row>
    <row r="175" customFormat="false" ht="12.75" hidden="false" customHeight="false" outlineLevel="0" collapsed="false">
      <c r="A175" s="1" t="n">
        <v>12</v>
      </c>
      <c r="B175" s="1" t="n">
        <v>15</v>
      </c>
      <c r="C175" s="1" t="n">
        <v>27</v>
      </c>
      <c r="D175" s="1" t="s">
        <v>328</v>
      </c>
      <c r="E175" s="1" t="n">
        <v>-722.458</v>
      </c>
      <c r="F175" s="1" t="n">
        <v>26.34</v>
      </c>
      <c r="G175" s="1" t="n">
        <f aca="false">IF(ISNUMBER(E175),E175,VALUE(SUBSTITUTE(E175,"#",".01")))</f>
        <v>-722.458</v>
      </c>
    </row>
    <row r="176" customFormat="false" ht="12.75" hidden="false" customHeight="false" outlineLevel="0" collapsed="false">
      <c r="A176" s="1" t="n">
        <v>11</v>
      </c>
      <c r="B176" s="1" t="n">
        <v>16</v>
      </c>
      <c r="C176" s="1" t="n">
        <v>27</v>
      </c>
      <c r="D176" s="1" t="s">
        <v>334</v>
      </c>
      <c r="E176" s="1" t="s">
        <v>338</v>
      </c>
      <c r="F176" s="1" t="s">
        <v>320</v>
      </c>
      <c r="G176" s="1" t="n">
        <f aca="false">IF(ISNUMBER(E176),E176,VALUE(SUBSTITUTE(E176,"#",".01")))</f>
        <v>17028.01</v>
      </c>
    </row>
    <row r="177" customFormat="false" ht="12.75" hidden="false" customHeight="false" outlineLevel="0" collapsed="false">
      <c r="A177" s="1" t="n">
        <v>20</v>
      </c>
      <c r="B177" s="1" t="n">
        <v>8</v>
      </c>
      <c r="C177" s="1" t="n">
        <v>28</v>
      </c>
      <c r="D177" s="1" t="s">
        <v>306</v>
      </c>
      <c r="E177" s="1" t="s">
        <v>339</v>
      </c>
      <c r="F177" s="1" t="s">
        <v>340</v>
      </c>
      <c r="G177" s="1" t="n">
        <f aca="false">IF(ISNUMBER(E177),E177,VALUE(SUBSTITUTE(E177,"#",".01")))</f>
        <v>52080.01</v>
      </c>
    </row>
    <row r="178" customFormat="false" ht="12.75" hidden="false" customHeight="false" outlineLevel="0" collapsed="false">
      <c r="A178" s="1" t="n">
        <v>19</v>
      </c>
      <c r="B178" s="1" t="n">
        <v>9</v>
      </c>
      <c r="C178" s="1" t="n">
        <v>28</v>
      </c>
      <c r="D178" s="1" t="s">
        <v>307</v>
      </c>
      <c r="E178" s="1" t="n">
        <v>33741.596</v>
      </c>
      <c r="F178" s="1" t="n">
        <v>393.024</v>
      </c>
      <c r="G178" s="1" t="n">
        <f aca="false">IF(ISNUMBER(E178),E178,VALUE(SUBSTITUTE(E178,"#",".01")))</f>
        <v>33741.596</v>
      </c>
    </row>
    <row r="179" customFormat="false" ht="12.75" hidden="false" customHeight="false" outlineLevel="0" collapsed="false">
      <c r="A179" s="1" t="n">
        <v>18</v>
      </c>
      <c r="B179" s="1" t="n">
        <v>10</v>
      </c>
      <c r="C179" s="1" t="n">
        <v>28</v>
      </c>
      <c r="D179" s="1" t="s">
        <v>308</v>
      </c>
      <c r="E179" s="1" t="n">
        <v>11299.737</v>
      </c>
      <c r="F179" s="1" t="n">
        <v>126.068</v>
      </c>
      <c r="G179" s="1" t="n">
        <f aca="false">IF(ISNUMBER(E179),E179,VALUE(SUBSTITUTE(E179,"#",".01")))</f>
        <v>11299.737</v>
      </c>
    </row>
    <row r="180" customFormat="false" ht="12.75" hidden="false" customHeight="false" outlineLevel="0" collapsed="false">
      <c r="A180" s="1" t="n">
        <v>17</v>
      </c>
      <c r="B180" s="1" t="n">
        <v>11</v>
      </c>
      <c r="C180" s="1" t="n">
        <v>28</v>
      </c>
      <c r="D180" s="1" t="s">
        <v>309</v>
      </c>
      <c r="E180" s="1" t="n">
        <v>-988.315</v>
      </c>
      <c r="F180" s="1" t="n">
        <v>10.246</v>
      </c>
      <c r="G180" s="1" t="n">
        <f aca="false">IF(ISNUMBER(E180),E180,VALUE(SUBSTITUTE(E180,"#",".01")))</f>
        <v>-988.315</v>
      </c>
    </row>
    <row r="181" customFormat="false" ht="12.75" hidden="false" customHeight="false" outlineLevel="0" collapsed="false">
      <c r="A181" s="1" t="n">
        <v>16</v>
      </c>
      <c r="B181" s="1" t="n">
        <v>12</v>
      </c>
      <c r="C181" s="1" t="n">
        <v>28</v>
      </c>
      <c r="D181" s="1" t="s">
        <v>310</v>
      </c>
      <c r="E181" s="1" t="n">
        <v>-15018.845</v>
      </c>
      <c r="F181" s="1" t="n">
        <v>2.001</v>
      </c>
      <c r="G181" s="1" t="n">
        <f aca="false">IF(ISNUMBER(E181),E181,VALUE(SUBSTITUTE(E181,"#",".01")))</f>
        <v>-15018.845</v>
      </c>
    </row>
    <row r="182" customFormat="false" ht="12.75" hidden="false" customHeight="false" outlineLevel="0" collapsed="false">
      <c r="A182" s="1" t="n">
        <v>15</v>
      </c>
      <c r="B182" s="1" t="n">
        <v>13</v>
      </c>
      <c r="C182" s="1" t="n">
        <v>28</v>
      </c>
      <c r="D182" s="1" t="s">
        <v>317</v>
      </c>
      <c r="E182" s="1" t="n">
        <v>-16850.645</v>
      </c>
      <c r="F182" s="1" t="n">
        <v>0.077</v>
      </c>
      <c r="G182" s="1" t="n">
        <f aca="false">IF(ISNUMBER(E182),E182,VALUE(SUBSTITUTE(E182,"#",".01")))</f>
        <v>-16850.645</v>
      </c>
    </row>
    <row r="183" customFormat="false" ht="12.75" hidden="false" customHeight="false" outlineLevel="0" collapsed="false">
      <c r="A183" s="1" t="n">
        <v>14</v>
      </c>
      <c r="B183" s="1" t="n">
        <v>14</v>
      </c>
      <c r="C183" s="1" t="n">
        <v>28</v>
      </c>
      <c r="D183" s="1" t="s">
        <v>321</v>
      </c>
      <c r="E183" s="1" t="n">
        <v>-21492.7943</v>
      </c>
      <c r="F183" s="1" t="n">
        <v>0.00049</v>
      </c>
      <c r="G183" s="1" t="n">
        <f aca="false">IF(ISNUMBER(E183),E183,VALUE(SUBSTITUTE(E183,"#",".01")))</f>
        <v>-21492.7943</v>
      </c>
    </row>
    <row r="184" customFormat="false" ht="12.75" hidden="false" customHeight="false" outlineLevel="0" collapsed="false">
      <c r="A184" s="1" t="n">
        <v>13</v>
      </c>
      <c r="B184" s="1" t="n">
        <v>15</v>
      </c>
      <c r="C184" s="1" t="n">
        <v>28</v>
      </c>
      <c r="D184" s="1" t="s">
        <v>328</v>
      </c>
      <c r="E184" s="1" t="n">
        <v>-7147.74</v>
      </c>
      <c r="F184" s="1" t="n">
        <v>1.152</v>
      </c>
      <c r="G184" s="1" t="n">
        <f aca="false">IF(ISNUMBER(E184),E184,VALUE(SUBSTITUTE(E184,"#",".01")))</f>
        <v>-7147.74</v>
      </c>
    </row>
    <row r="185" customFormat="false" ht="12.75" hidden="false" customHeight="false" outlineLevel="0" collapsed="false">
      <c r="A185" s="1" t="n">
        <v>12</v>
      </c>
      <c r="B185" s="1" t="n">
        <v>16</v>
      </c>
      <c r="C185" s="1" t="n">
        <v>28</v>
      </c>
      <c r="D185" s="1" t="s">
        <v>334</v>
      </c>
      <c r="E185" s="1" t="n">
        <v>4073.206</v>
      </c>
      <c r="F185" s="1" t="n">
        <v>160</v>
      </c>
      <c r="G185" s="1" t="n">
        <f aca="false">IF(ISNUMBER(E185),E185,VALUE(SUBSTITUTE(E185,"#",".01")))</f>
        <v>4073.206</v>
      </c>
    </row>
    <row r="186" customFormat="false" ht="12.75" hidden="false" customHeight="false" outlineLevel="0" collapsed="false">
      <c r="A186" s="1" t="n">
        <v>11</v>
      </c>
      <c r="B186" s="1" t="n">
        <v>17</v>
      </c>
      <c r="C186" s="1" t="n">
        <v>28</v>
      </c>
      <c r="D186" s="1" t="s">
        <v>341</v>
      </c>
      <c r="E186" s="1" t="s">
        <v>342</v>
      </c>
      <c r="F186" s="1" t="s">
        <v>316</v>
      </c>
      <c r="G186" s="1" t="n">
        <f aca="false">IF(ISNUMBER(E186),E186,VALUE(SUBSTITUTE(E186,"#",".01")))</f>
        <v>27516.01</v>
      </c>
    </row>
    <row r="187" customFormat="false" ht="12.75" hidden="false" customHeight="false" outlineLevel="0" collapsed="false">
      <c r="A187" s="1" t="n">
        <v>20</v>
      </c>
      <c r="B187" s="1" t="n">
        <v>9</v>
      </c>
      <c r="C187" s="1" t="n">
        <v>29</v>
      </c>
      <c r="D187" s="1" t="s">
        <v>307</v>
      </c>
      <c r="E187" s="1" t="n">
        <v>40150.186</v>
      </c>
      <c r="F187" s="1" t="n">
        <v>525.363</v>
      </c>
      <c r="G187" s="1" t="n">
        <f aca="false">IF(ISNUMBER(E187),E187,VALUE(SUBSTITUTE(E187,"#",".01")))</f>
        <v>40150.186</v>
      </c>
    </row>
    <row r="188" customFormat="false" ht="12.75" hidden="false" customHeight="false" outlineLevel="0" collapsed="false">
      <c r="A188" s="1" t="n">
        <v>19</v>
      </c>
      <c r="B188" s="1" t="n">
        <v>10</v>
      </c>
      <c r="C188" s="1" t="n">
        <v>29</v>
      </c>
      <c r="D188" s="1" t="s">
        <v>308</v>
      </c>
      <c r="E188" s="1" t="n">
        <v>18399.801</v>
      </c>
      <c r="F188" s="1" t="n">
        <v>149.505</v>
      </c>
      <c r="G188" s="1" t="n">
        <f aca="false">IF(ISNUMBER(E188),E188,VALUE(SUBSTITUTE(E188,"#",".01")))</f>
        <v>18399.801</v>
      </c>
    </row>
    <row r="189" customFormat="false" ht="12.75" hidden="false" customHeight="false" outlineLevel="0" collapsed="false">
      <c r="A189" s="1" t="n">
        <v>18</v>
      </c>
      <c r="B189" s="1" t="n">
        <v>11</v>
      </c>
      <c r="C189" s="1" t="n">
        <v>29</v>
      </c>
      <c r="D189" s="1" t="s">
        <v>309</v>
      </c>
      <c r="E189" s="1" t="n">
        <v>2679.994</v>
      </c>
      <c r="F189" s="1" t="n">
        <v>7.337</v>
      </c>
      <c r="G189" s="1" t="n">
        <f aca="false">IF(ISNUMBER(E189),E189,VALUE(SUBSTITUTE(E189,"#",".01")))</f>
        <v>2679.994</v>
      </c>
    </row>
    <row r="190" customFormat="false" ht="12.75" hidden="false" customHeight="false" outlineLevel="0" collapsed="false">
      <c r="A190" s="1" t="n">
        <v>17</v>
      </c>
      <c r="B190" s="1" t="n">
        <v>12</v>
      </c>
      <c r="C190" s="1" t="n">
        <v>29</v>
      </c>
      <c r="D190" s="1" t="s">
        <v>310</v>
      </c>
      <c r="E190" s="1" t="n">
        <v>-10602.829</v>
      </c>
      <c r="F190" s="1" t="n">
        <v>11.4</v>
      </c>
      <c r="G190" s="1" t="n">
        <f aca="false">IF(ISNUMBER(E190),E190,VALUE(SUBSTITUTE(E190,"#",".01")))</f>
        <v>-10602.829</v>
      </c>
    </row>
    <row r="191" customFormat="false" ht="12.75" hidden="false" customHeight="false" outlineLevel="0" collapsed="false">
      <c r="A191" s="1" t="n">
        <v>16</v>
      </c>
      <c r="B191" s="1" t="n">
        <v>13</v>
      </c>
      <c r="C191" s="1" t="n">
        <v>29</v>
      </c>
      <c r="D191" s="1" t="s">
        <v>317</v>
      </c>
      <c r="E191" s="1" t="n">
        <v>-18207.76</v>
      </c>
      <c r="F191" s="1" t="n">
        <v>0.345</v>
      </c>
      <c r="G191" s="1" t="n">
        <f aca="false">IF(ISNUMBER(E191),E191,VALUE(SUBSTITUTE(E191,"#",".01")))</f>
        <v>-18207.76</v>
      </c>
    </row>
    <row r="192" customFormat="false" ht="12.75" hidden="false" customHeight="false" outlineLevel="0" collapsed="false">
      <c r="A192" s="1" t="n">
        <v>15</v>
      </c>
      <c r="B192" s="1" t="n">
        <v>14</v>
      </c>
      <c r="C192" s="1" t="n">
        <v>29</v>
      </c>
      <c r="D192" s="1" t="s">
        <v>321</v>
      </c>
      <c r="E192" s="1" t="n">
        <v>-21895.07838</v>
      </c>
      <c r="F192" s="1" t="n">
        <v>0.00056</v>
      </c>
      <c r="G192" s="1" t="n">
        <f aca="false">IF(ISNUMBER(E192),E192,VALUE(SUBSTITUTE(E192,"#",".01")))</f>
        <v>-21895.07838</v>
      </c>
    </row>
    <row r="193" customFormat="false" ht="12.75" hidden="false" customHeight="false" outlineLevel="0" collapsed="false">
      <c r="A193" s="1" t="n">
        <v>14</v>
      </c>
      <c r="B193" s="1" t="n">
        <v>15</v>
      </c>
      <c r="C193" s="1" t="n">
        <v>29</v>
      </c>
      <c r="D193" s="1" t="s">
        <v>328</v>
      </c>
      <c r="E193" s="1" t="n">
        <v>-16952.848</v>
      </c>
      <c r="F193" s="1" t="n">
        <v>0.359</v>
      </c>
      <c r="G193" s="1" t="n">
        <f aca="false">IF(ISNUMBER(E193),E193,VALUE(SUBSTITUTE(E193,"#",".01")))</f>
        <v>-16952.848</v>
      </c>
    </row>
    <row r="194" customFormat="false" ht="12.75" hidden="false" customHeight="false" outlineLevel="0" collapsed="false">
      <c r="A194" s="1" t="n">
        <v>13</v>
      </c>
      <c r="B194" s="1" t="n">
        <v>16</v>
      </c>
      <c r="C194" s="1" t="n">
        <v>29</v>
      </c>
      <c r="D194" s="1" t="s">
        <v>334</v>
      </c>
      <c r="E194" s="1" t="n">
        <v>-3156.416</v>
      </c>
      <c r="F194" s="1" t="n">
        <v>50</v>
      </c>
      <c r="G194" s="1" t="n">
        <f aca="false">IF(ISNUMBER(E194),E194,VALUE(SUBSTITUTE(E194,"#",".01")))</f>
        <v>-3156.416</v>
      </c>
    </row>
    <row r="195" customFormat="false" ht="12.75" hidden="false" customHeight="false" outlineLevel="0" collapsed="false">
      <c r="A195" s="1" t="n">
        <v>12</v>
      </c>
      <c r="B195" s="1" t="n">
        <v>17</v>
      </c>
      <c r="C195" s="1" t="n">
        <v>29</v>
      </c>
      <c r="D195" s="1" t="s">
        <v>341</v>
      </c>
      <c r="E195" s="1" t="n">
        <v>13162.176</v>
      </c>
      <c r="F195" s="1" t="n">
        <v>188.68</v>
      </c>
      <c r="G195" s="1" t="n">
        <f aca="false">IF(ISNUMBER(E195),E195,VALUE(SUBSTITUTE(E195,"#",".01")))</f>
        <v>13162.176</v>
      </c>
    </row>
    <row r="196" customFormat="false" ht="12.75" hidden="false" customHeight="false" outlineLevel="0" collapsed="false">
      <c r="A196" s="1" t="n">
        <v>21</v>
      </c>
      <c r="B196" s="1" t="n">
        <v>9</v>
      </c>
      <c r="C196" s="1" t="n">
        <v>30</v>
      </c>
      <c r="D196" s="1" t="s">
        <v>307</v>
      </c>
      <c r="E196" s="1" t="s">
        <v>343</v>
      </c>
      <c r="F196" s="1" t="s">
        <v>316</v>
      </c>
      <c r="G196" s="1" t="n">
        <f aca="false">IF(ISNUMBER(E196),E196,VALUE(SUBSTITUTE(E196,"#",".01")))</f>
        <v>48112.01</v>
      </c>
    </row>
    <row r="197" customFormat="false" ht="12.75" hidden="false" customHeight="false" outlineLevel="0" collapsed="false">
      <c r="A197" s="1" t="n">
        <v>20</v>
      </c>
      <c r="B197" s="1" t="n">
        <v>10</v>
      </c>
      <c r="C197" s="1" t="n">
        <v>30</v>
      </c>
      <c r="D197" s="1" t="s">
        <v>308</v>
      </c>
      <c r="E197" s="1" t="n">
        <v>23280.117</v>
      </c>
      <c r="F197" s="1" t="n">
        <v>253.25</v>
      </c>
      <c r="G197" s="1" t="n">
        <f aca="false">IF(ISNUMBER(E197),E197,VALUE(SUBSTITUTE(E197,"#",".01")))</f>
        <v>23280.117</v>
      </c>
    </row>
    <row r="198" customFormat="false" ht="12.75" hidden="false" customHeight="false" outlineLevel="0" collapsed="false">
      <c r="A198" s="1" t="n">
        <v>19</v>
      </c>
      <c r="B198" s="1" t="n">
        <v>11</v>
      </c>
      <c r="C198" s="1" t="n">
        <v>30</v>
      </c>
      <c r="D198" s="1" t="s">
        <v>309</v>
      </c>
      <c r="E198" s="1" t="n">
        <v>8474.67</v>
      </c>
      <c r="F198" s="1" t="n">
        <v>4.727</v>
      </c>
      <c r="G198" s="1" t="n">
        <f aca="false">IF(ISNUMBER(E198),E198,VALUE(SUBSTITUTE(E198,"#",".01")))</f>
        <v>8474.67</v>
      </c>
    </row>
    <row r="199" customFormat="false" ht="12.75" hidden="false" customHeight="false" outlineLevel="0" collapsed="false">
      <c r="A199" s="1" t="n">
        <v>18</v>
      </c>
      <c r="B199" s="1" t="n">
        <v>12</v>
      </c>
      <c r="C199" s="1" t="n">
        <v>30</v>
      </c>
      <c r="D199" s="1" t="s">
        <v>310</v>
      </c>
      <c r="E199" s="1" t="n">
        <v>-8883.82</v>
      </c>
      <c r="F199" s="1" t="n">
        <v>3.447</v>
      </c>
      <c r="G199" s="1" t="n">
        <f aca="false">IF(ISNUMBER(E199),E199,VALUE(SUBSTITUTE(E199,"#",".01")))</f>
        <v>-8883.82</v>
      </c>
    </row>
    <row r="200" customFormat="false" ht="12.75" hidden="false" customHeight="false" outlineLevel="0" collapsed="false">
      <c r="A200" s="1" t="n">
        <v>17</v>
      </c>
      <c r="B200" s="1" t="n">
        <v>13</v>
      </c>
      <c r="C200" s="1" t="n">
        <v>30</v>
      </c>
      <c r="D200" s="1" t="s">
        <v>317</v>
      </c>
      <c r="E200" s="1" t="n">
        <v>-15864.844</v>
      </c>
      <c r="F200" s="1" t="n">
        <v>2.888</v>
      </c>
      <c r="G200" s="1" t="n">
        <f aca="false">IF(ISNUMBER(E200),E200,VALUE(SUBSTITUTE(E200,"#",".01")))</f>
        <v>-15864.844</v>
      </c>
    </row>
    <row r="201" customFormat="false" ht="12.75" hidden="false" customHeight="false" outlineLevel="0" collapsed="false">
      <c r="A201" s="1" t="n">
        <v>16</v>
      </c>
      <c r="B201" s="1" t="n">
        <v>14</v>
      </c>
      <c r="C201" s="1" t="n">
        <v>30</v>
      </c>
      <c r="D201" s="1" t="s">
        <v>321</v>
      </c>
      <c r="E201" s="1" t="n">
        <v>-24432.96</v>
      </c>
      <c r="F201" s="1" t="n">
        <v>0.022</v>
      </c>
      <c r="G201" s="1" t="n">
        <f aca="false">IF(ISNUMBER(E201),E201,VALUE(SUBSTITUTE(E201,"#",".01")))</f>
        <v>-24432.96</v>
      </c>
    </row>
    <row r="202" customFormat="false" ht="12.75" hidden="false" customHeight="false" outlineLevel="0" collapsed="false">
      <c r="A202" s="1" t="n">
        <v>15</v>
      </c>
      <c r="B202" s="1" t="n">
        <v>15</v>
      </c>
      <c r="C202" s="1" t="n">
        <v>30</v>
      </c>
      <c r="D202" s="1" t="s">
        <v>328</v>
      </c>
      <c r="E202" s="1" t="n">
        <v>-20200.854</v>
      </c>
      <c r="F202" s="1" t="n">
        <v>0.065</v>
      </c>
      <c r="G202" s="1" t="n">
        <f aca="false">IF(ISNUMBER(E202),E202,VALUE(SUBSTITUTE(E202,"#",".01")))</f>
        <v>-20200.854</v>
      </c>
    </row>
    <row r="203" customFormat="false" ht="12.75" hidden="false" customHeight="false" outlineLevel="0" collapsed="false">
      <c r="A203" s="1" t="n">
        <v>14</v>
      </c>
      <c r="B203" s="1" t="n">
        <v>16</v>
      </c>
      <c r="C203" s="1" t="n">
        <v>30</v>
      </c>
      <c r="D203" s="1" t="s">
        <v>334</v>
      </c>
      <c r="E203" s="1" t="n">
        <v>-14059.253</v>
      </c>
      <c r="F203" s="1" t="n">
        <v>0.206</v>
      </c>
      <c r="G203" s="1" t="n">
        <f aca="false">IF(ISNUMBER(E203),E203,VALUE(SUBSTITUTE(E203,"#",".01")))</f>
        <v>-14059.253</v>
      </c>
    </row>
    <row r="204" customFormat="false" ht="12.75" hidden="false" customHeight="false" outlineLevel="0" collapsed="false">
      <c r="A204" s="1" t="n">
        <v>13</v>
      </c>
      <c r="B204" s="1" t="n">
        <v>17</v>
      </c>
      <c r="C204" s="1" t="n">
        <v>30</v>
      </c>
      <c r="D204" s="1" t="s">
        <v>341</v>
      </c>
      <c r="E204" s="1" t="s">
        <v>344</v>
      </c>
      <c r="F204" s="1" t="s">
        <v>333</v>
      </c>
      <c r="G204" s="1" t="n">
        <f aca="false">IF(ISNUMBER(E204),E204,VALUE(SUBSTITUTE(E204,"#",".01")))</f>
        <v>4443.01</v>
      </c>
    </row>
    <row r="205" customFormat="false" ht="12.75" hidden="false" customHeight="false" outlineLevel="0" collapsed="false">
      <c r="A205" s="1" t="n">
        <v>12</v>
      </c>
      <c r="B205" s="1" t="n">
        <v>18</v>
      </c>
      <c r="C205" s="1" t="n">
        <v>30</v>
      </c>
      <c r="D205" s="1" t="s">
        <v>345</v>
      </c>
      <c r="E205" s="1" t="n">
        <v>20931.147</v>
      </c>
      <c r="F205" s="1" t="n">
        <v>206.155</v>
      </c>
      <c r="G205" s="1" t="n">
        <f aca="false">IF(ISNUMBER(E205),E205,VALUE(SUBSTITUTE(E205,"#",".01")))</f>
        <v>20931.147</v>
      </c>
    </row>
    <row r="206" customFormat="false" ht="12.75" hidden="false" customHeight="false" outlineLevel="0" collapsed="false">
      <c r="A206" s="1" t="n">
        <v>22</v>
      </c>
      <c r="B206" s="1" t="n">
        <v>9</v>
      </c>
      <c r="C206" s="1" t="n">
        <v>31</v>
      </c>
      <c r="D206" s="1" t="s">
        <v>307</v>
      </c>
      <c r="E206" s="1" t="s">
        <v>346</v>
      </c>
      <c r="F206" s="1" t="s">
        <v>347</v>
      </c>
      <c r="G206" s="1" t="n">
        <f aca="false">IF(ISNUMBER(E206),E206,VALUE(SUBSTITUTE(E206,"#",".01")))</f>
        <v>56143.01</v>
      </c>
    </row>
    <row r="207" customFormat="false" ht="12.75" hidden="false" customHeight="false" outlineLevel="0" collapsed="false">
      <c r="A207" s="1" t="n">
        <v>21</v>
      </c>
      <c r="B207" s="1" t="n">
        <v>10</v>
      </c>
      <c r="C207" s="1" t="n">
        <v>31</v>
      </c>
      <c r="D207" s="1" t="s">
        <v>308</v>
      </c>
      <c r="E207" s="1" t="n">
        <v>31181.591</v>
      </c>
      <c r="F207" s="1" t="n">
        <v>266.195</v>
      </c>
      <c r="G207" s="1" t="n">
        <f aca="false">IF(ISNUMBER(E207),E207,VALUE(SUBSTITUTE(E207,"#",".01")))</f>
        <v>31181.591</v>
      </c>
    </row>
    <row r="208" customFormat="false" ht="12.75" hidden="false" customHeight="false" outlineLevel="0" collapsed="false">
      <c r="A208" s="1" t="n">
        <v>20</v>
      </c>
      <c r="B208" s="1" t="n">
        <v>11</v>
      </c>
      <c r="C208" s="1" t="n">
        <v>31</v>
      </c>
      <c r="D208" s="1" t="s">
        <v>309</v>
      </c>
      <c r="E208" s="1" t="n">
        <v>12246.031</v>
      </c>
      <c r="F208" s="1" t="n">
        <v>13.972</v>
      </c>
      <c r="G208" s="1" t="n">
        <f aca="false">IF(ISNUMBER(E208),E208,VALUE(SUBSTITUTE(E208,"#",".01")))</f>
        <v>12246.031</v>
      </c>
    </row>
    <row r="209" customFormat="false" ht="12.75" hidden="false" customHeight="false" outlineLevel="0" collapsed="false">
      <c r="A209" s="1" t="n">
        <v>19</v>
      </c>
      <c r="B209" s="1" t="n">
        <v>12</v>
      </c>
      <c r="C209" s="1" t="n">
        <v>31</v>
      </c>
      <c r="D209" s="1" t="s">
        <v>310</v>
      </c>
      <c r="E209" s="1" t="n">
        <v>-3122.151</v>
      </c>
      <c r="F209" s="1" t="n">
        <v>3.074</v>
      </c>
      <c r="G209" s="1" t="n">
        <f aca="false">IF(ISNUMBER(E209),E209,VALUE(SUBSTITUTE(E209,"#",".01")))</f>
        <v>-3122.151</v>
      </c>
    </row>
    <row r="210" customFormat="false" ht="12.75" hidden="false" customHeight="false" outlineLevel="0" collapsed="false">
      <c r="A210" s="1" t="n">
        <v>18</v>
      </c>
      <c r="B210" s="1" t="n">
        <v>13</v>
      </c>
      <c r="C210" s="1" t="n">
        <v>31</v>
      </c>
      <c r="D210" s="1" t="s">
        <v>317</v>
      </c>
      <c r="E210" s="1" t="n">
        <v>-14950.706</v>
      </c>
      <c r="F210" s="1" t="n">
        <v>2.236</v>
      </c>
      <c r="G210" s="1" t="n">
        <f aca="false">IF(ISNUMBER(E210),E210,VALUE(SUBSTITUTE(E210,"#",".01")))</f>
        <v>-14950.706</v>
      </c>
    </row>
    <row r="211" customFormat="false" ht="12.75" hidden="false" customHeight="false" outlineLevel="0" collapsed="false">
      <c r="A211" s="1" t="n">
        <v>17</v>
      </c>
      <c r="B211" s="1" t="n">
        <v>14</v>
      </c>
      <c r="C211" s="1" t="n">
        <v>31</v>
      </c>
      <c r="D211" s="1" t="s">
        <v>321</v>
      </c>
      <c r="E211" s="1" t="n">
        <v>-22949.036</v>
      </c>
      <c r="F211" s="1" t="n">
        <v>0.043</v>
      </c>
      <c r="G211" s="1" t="n">
        <f aca="false">IF(ISNUMBER(E211),E211,VALUE(SUBSTITUTE(E211,"#",".01")))</f>
        <v>-22949.036</v>
      </c>
    </row>
    <row r="212" customFormat="false" ht="12.75" hidden="false" customHeight="false" outlineLevel="0" collapsed="false">
      <c r="A212" s="1" t="n">
        <v>16</v>
      </c>
      <c r="B212" s="1" t="n">
        <v>15</v>
      </c>
      <c r="C212" s="1" t="n">
        <v>31</v>
      </c>
      <c r="D212" s="1" t="s">
        <v>328</v>
      </c>
      <c r="E212" s="1" t="n">
        <v>-24440.54095</v>
      </c>
      <c r="F212" s="1" t="n">
        <v>0.00067</v>
      </c>
      <c r="G212" s="1" t="n">
        <f aca="false">IF(ISNUMBER(E212),E212,VALUE(SUBSTITUTE(E212,"#",".01")))</f>
        <v>-24440.54095</v>
      </c>
    </row>
    <row r="213" customFormat="false" ht="12.75" hidden="false" customHeight="false" outlineLevel="0" collapsed="false">
      <c r="A213" s="1" t="n">
        <v>15</v>
      </c>
      <c r="B213" s="1" t="n">
        <v>16</v>
      </c>
      <c r="C213" s="1" t="n">
        <v>31</v>
      </c>
      <c r="D213" s="1" t="s">
        <v>334</v>
      </c>
      <c r="E213" s="1" t="n">
        <v>-19042.525</v>
      </c>
      <c r="F213" s="1" t="n">
        <v>0.229</v>
      </c>
      <c r="G213" s="1" t="n">
        <f aca="false">IF(ISNUMBER(E213),E213,VALUE(SUBSTITUTE(E213,"#",".01")))</f>
        <v>-19042.525</v>
      </c>
    </row>
    <row r="214" customFormat="false" ht="12.75" hidden="false" customHeight="false" outlineLevel="0" collapsed="false">
      <c r="A214" s="1" t="n">
        <v>14</v>
      </c>
      <c r="B214" s="1" t="n">
        <v>17</v>
      </c>
      <c r="C214" s="1" t="n">
        <v>31</v>
      </c>
      <c r="D214" s="1" t="s">
        <v>341</v>
      </c>
      <c r="E214" s="1" t="n">
        <v>-7034.551</v>
      </c>
      <c r="F214" s="1" t="n">
        <v>3.447</v>
      </c>
      <c r="G214" s="1" t="n">
        <f aca="false">IF(ISNUMBER(E214),E214,VALUE(SUBSTITUTE(E214,"#",".01")))</f>
        <v>-7034.551</v>
      </c>
    </row>
    <row r="215" customFormat="false" ht="12.75" hidden="false" customHeight="false" outlineLevel="0" collapsed="false">
      <c r="A215" s="1" t="n">
        <v>13</v>
      </c>
      <c r="B215" s="1" t="n">
        <v>18</v>
      </c>
      <c r="C215" s="1" t="n">
        <v>31</v>
      </c>
      <c r="D215" s="1" t="s">
        <v>345</v>
      </c>
      <c r="E215" s="1" t="s">
        <v>348</v>
      </c>
      <c r="F215" s="1" t="s">
        <v>349</v>
      </c>
      <c r="G215" s="1" t="n">
        <f aca="false">IF(ISNUMBER(E215),E215,VALUE(SUBSTITUTE(E215,"#",".01")))</f>
        <v>11325.01</v>
      </c>
    </row>
    <row r="216" customFormat="false" ht="12.75" hidden="false" customHeight="false" outlineLevel="0" collapsed="false">
      <c r="A216" s="1" t="n">
        <v>22</v>
      </c>
      <c r="B216" s="1" t="n">
        <v>10</v>
      </c>
      <c r="C216" s="1" t="n">
        <v>32</v>
      </c>
      <c r="D216" s="1" t="s">
        <v>308</v>
      </c>
      <c r="E216" s="1" t="s">
        <v>350</v>
      </c>
      <c r="F216" s="1" t="s">
        <v>323</v>
      </c>
      <c r="G216" s="1" t="n">
        <f aca="false">IF(ISNUMBER(E216),E216,VALUE(SUBSTITUTE(E216,"#",".01")))</f>
        <v>36999.01</v>
      </c>
    </row>
    <row r="217" customFormat="false" ht="12.75" hidden="false" customHeight="false" outlineLevel="0" collapsed="false">
      <c r="A217" s="1" t="n">
        <v>21</v>
      </c>
      <c r="B217" s="1" t="n">
        <v>11</v>
      </c>
      <c r="C217" s="1" t="n">
        <v>32</v>
      </c>
      <c r="D217" s="1" t="s">
        <v>309</v>
      </c>
      <c r="E217" s="1" t="n">
        <v>18640.151</v>
      </c>
      <c r="F217" s="1" t="n">
        <v>37.26</v>
      </c>
      <c r="G217" s="1" t="n">
        <f aca="false">IF(ISNUMBER(E217),E217,VALUE(SUBSTITUTE(E217,"#",".01")))</f>
        <v>18640.151</v>
      </c>
    </row>
    <row r="218" customFormat="false" ht="12.75" hidden="false" customHeight="false" outlineLevel="0" collapsed="false">
      <c r="A218" s="1" t="n">
        <v>20</v>
      </c>
      <c r="B218" s="1" t="n">
        <v>12</v>
      </c>
      <c r="C218" s="1" t="n">
        <v>32</v>
      </c>
      <c r="D218" s="1" t="s">
        <v>310</v>
      </c>
      <c r="E218" s="1" t="n">
        <v>-828.9</v>
      </c>
      <c r="F218" s="1" t="n">
        <v>3.26</v>
      </c>
      <c r="G218" s="1" t="n">
        <f aca="false">IF(ISNUMBER(E218),E218,VALUE(SUBSTITUTE(E218,"#",".01")))</f>
        <v>-828.9</v>
      </c>
    </row>
    <row r="219" customFormat="false" ht="12.75" hidden="false" customHeight="false" outlineLevel="0" collapsed="false">
      <c r="A219" s="1" t="n">
        <v>19</v>
      </c>
      <c r="B219" s="1" t="n">
        <v>13</v>
      </c>
      <c r="C219" s="1" t="n">
        <v>32</v>
      </c>
      <c r="D219" s="1" t="s">
        <v>317</v>
      </c>
      <c r="E219" s="1" t="n">
        <v>-11099.367</v>
      </c>
      <c r="F219" s="1" t="n">
        <v>7.173</v>
      </c>
      <c r="G219" s="1" t="n">
        <f aca="false">IF(ISNUMBER(E219),E219,VALUE(SUBSTITUTE(E219,"#",".01")))</f>
        <v>-11099.367</v>
      </c>
    </row>
    <row r="220" customFormat="false" ht="12.75" hidden="false" customHeight="false" outlineLevel="0" collapsed="false">
      <c r="A220" s="1" t="n">
        <v>18</v>
      </c>
      <c r="B220" s="1" t="n">
        <v>14</v>
      </c>
      <c r="C220" s="1" t="n">
        <v>32</v>
      </c>
      <c r="D220" s="1" t="s">
        <v>321</v>
      </c>
      <c r="E220" s="1" t="n">
        <v>-24077.686</v>
      </c>
      <c r="F220" s="1" t="n">
        <v>0.298</v>
      </c>
      <c r="G220" s="1" t="n">
        <f aca="false">IF(ISNUMBER(E220),E220,VALUE(SUBSTITUTE(E220,"#",".01")))</f>
        <v>-24077.686</v>
      </c>
    </row>
    <row r="221" customFormat="false" ht="12.75" hidden="false" customHeight="false" outlineLevel="0" collapsed="false">
      <c r="A221" s="1" t="n">
        <v>17</v>
      </c>
      <c r="B221" s="1" t="n">
        <v>15</v>
      </c>
      <c r="C221" s="1" t="n">
        <v>32</v>
      </c>
      <c r="D221" s="1" t="s">
        <v>328</v>
      </c>
      <c r="E221" s="1" t="n">
        <v>-24304.874</v>
      </c>
      <c r="F221" s="1" t="n">
        <v>0.04</v>
      </c>
      <c r="G221" s="1" t="n">
        <f aca="false">IF(ISNUMBER(E221),E221,VALUE(SUBSTITUTE(E221,"#",".01")))</f>
        <v>-24304.874</v>
      </c>
    </row>
    <row r="222" customFormat="false" ht="12.75" hidden="false" customHeight="false" outlineLevel="0" collapsed="false">
      <c r="A222" s="1" t="n">
        <v>16</v>
      </c>
      <c r="B222" s="1" t="n">
        <v>16</v>
      </c>
      <c r="C222" s="1" t="n">
        <v>32</v>
      </c>
      <c r="D222" s="1" t="s">
        <v>334</v>
      </c>
      <c r="E222" s="1" t="n">
        <v>-26015.53355</v>
      </c>
      <c r="F222" s="1" t="n">
        <v>0.00132</v>
      </c>
      <c r="G222" s="1" t="n">
        <f aca="false">IF(ISNUMBER(E222),E222,VALUE(SUBSTITUTE(E222,"#",".01")))</f>
        <v>-26015.53355</v>
      </c>
    </row>
    <row r="223" customFormat="false" ht="12.75" hidden="false" customHeight="false" outlineLevel="0" collapsed="false">
      <c r="A223" s="1" t="n">
        <v>15</v>
      </c>
      <c r="B223" s="1" t="n">
        <v>17</v>
      </c>
      <c r="C223" s="1" t="n">
        <v>32</v>
      </c>
      <c r="D223" s="1" t="s">
        <v>341</v>
      </c>
      <c r="E223" s="1" t="n">
        <v>-13334.674</v>
      </c>
      <c r="F223" s="1" t="n">
        <v>0.562</v>
      </c>
      <c r="G223" s="1" t="n">
        <f aca="false">IF(ISNUMBER(E223),E223,VALUE(SUBSTITUTE(E223,"#",".01")))</f>
        <v>-13334.674</v>
      </c>
    </row>
    <row r="224" customFormat="false" ht="12.75" hidden="false" customHeight="false" outlineLevel="0" collapsed="false">
      <c r="A224" s="1" t="n">
        <v>14</v>
      </c>
      <c r="B224" s="1" t="n">
        <v>18</v>
      </c>
      <c r="C224" s="1" t="n">
        <v>32</v>
      </c>
      <c r="D224" s="1" t="s">
        <v>345</v>
      </c>
      <c r="E224" s="1" t="n">
        <v>-2200.351</v>
      </c>
      <c r="F224" s="1" t="n">
        <v>1.77</v>
      </c>
      <c r="G224" s="1" t="n">
        <f aca="false">IF(ISNUMBER(E224),E224,VALUE(SUBSTITUTE(E224,"#",".01")))</f>
        <v>-2200.351</v>
      </c>
    </row>
    <row r="225" customFormat="false" ht="12.75" hidden="false" customHeight="false" outlineLevel="0" collapsed="false">
      <c r="A225" s="1" t="n">
        <v>13</v>
      </c>
      <c r="B225" s="1" t="n">
        <v>19</v>
      </c>
      <c r="C225" s="1" t="n">
        <v>32</v>
      </c>
      <c r="D225" s="1" t="s">
        <v>351</v>
      </c>
      <c r="E225" s="1" t="s">
        <v>352</v>
      </c>
      <c r="F225" s="1" t="s">
        <v>320</v>
      </c>
      <c r="G225" s="1" t="n">
        <f aca="false">IF(ISNUMBER(E225),E225,VALUE(SUBSTITUTE(E225,"#",".01")))</f>
        <v>21098.01</v>
      </c>
    </row>
    <row r="226" customFormat="false" ht="12.75" hidden="false" customHeight="false" outlineLevel="0" collapsed="false">
      <c r="A226" s="1" t="n">
        <v>23</v>
      </c>
      <c r="B226" s="1" t="n">
        <v>10</v>
      </c>
      <c r="C226" s="1" t="n">
        <v>33</v>
      </c>
      <c r="D226" s="1" t="s">
        <v>308</v>
      </c>
      <c r="E226" s="1" t="s">
        <v>353</v>
      </c>
      <c r="F226" s="1" t="s">
        <v>316</v>
      </c>
      <c r="G226" s="1" t="n">
        <f aca="false">IF(ISNUMBER(E226),E226,VALUE(SUBSTITUTE(E226,"#",".01")))</f>
        <v>45997.01</v>
      </c>
    </row>
    <row r="227" customFormat="false" ht="12.75" hidden="false" customHeight="false" outlineLevel="0" collapsed="false">
      <c r="A227" s="1" t="n">
        <v>22</v>
      </c>
      <c r="B227" s="1" t="n">
        <v>11</v>
      </c>
      <c r="C227" s="1" t="n">
        <v>33</v>
      </c>
      <c r="D227" s="1" t="s">
        <v>309</v>
      </c>
      <c r="E227" s="1" t="n">
        <v>23780.11</v>
      </c>
      <c r="F227" s="1" t="n">
        <v>449.912</v>
      </c>
      <c r="G227" s="1" t="n">
        <f aca="false">IF(ISNUMBER(E227),E227,VALUE(SUBSTITUTE(E227,"#",".01")))</f>
        <v>23780.11</v>
      </c>
    </row>
    <row r="228" customFormat="false" ht="12.75" hidden="false" customHeight="false" outlineLevel="0" collapsed="false">
      <c r="A228" s="1" t="n">
        <v>21</v>
      </c>
      <c r="B228" s="1" t="n">
        <v>12</v>
      </c>
      <c r="C228" s="1" t="n">
        <v>33</v>
      </c>
      <c r="D228" s="1" t="s">
        <v>310</v>
      </c>
      <c r="E228" s="1" t="n">
        <v>4962.297</v>
      </c>
      <c r="F228" s="1" t="n">
        <v>2.888</v>
      </c>
      <c r="G228" s="1" t="n">
        <f aca="false">IF(ISNUMBER(E228),E228,VALUE(SUBSTITUTE(E228,"#",".01")))</f>
        <v>4962.297</v>
      </c>
    </row>
    <row r="229" customFormat="false" ht="12.75" hidden="false" customHeight="false" outlineLevel="0" collapsed="false">
      <c r="A229" s="1" t="n">
        <v>20</v>
      </c>
      <c r="B229" s="1" t="n">
        <v>13</v>
      </c>
      <c r="C229" s="1" t="n">
        <v>33</v>
      </c>
      <c r="D229" s="1" t="s">
        <v>317</v>
      </c>
      <c r="E229" s="1" t="n">
        <v>-8497.38</v>
      </c>
      <c r="F229" s="1" t="n">
        <v>6.986</v>
      </c>
      <c r="G229" s="1" t="n">
        <f aca="false">IF(ISNUMBER(E229),E229,VALUE(SUBSTITUTE(E229,"#",".01")))</f>
        <v>-8497.38</v>
      </c>
    </row>
    <row r="230" customFormat="false" ht="12.75" hidden="false" customHeight="false" outlineLevel="0" collapsed="false">
      <c r="A230" s="1" t="n">
        <v>19</v>
      </c>
      <c r="B230" s="1" t="n">
        <v>14</v>
      </c>
      <c r="C230" s="1" t="n">
        <v>33</v>
      </c>
      <c r="D230" s="1" t="s">
        <v>321</v>
      </c>
      <c r="E230" s="1" t="n">
        <v>-20514.325</v>
      </c>
      <c r="F230" s="1" t="n">
        <v>0.699</v>
      </c>
      <c r="G230" s="1" t="n">
        <f aca="false">IF(ISNUMBER(E230),E230,VALUE(SUBSTITUTE(E230,"#",".01")))</f>
        <v>-20514.325</v>
      </c>
    </row>
    <row r="231" customFormat="false" ht="12.75" hidden="false" customHeight="false" outlineLevel="0" collapsed="false">
      <c r="A231" s="1" t="n">
        <v>18</v>
      </c>
      <c r="B231" s="1" t="n">
        <v>15</v>
      </c>
      <c r="C231" s="1" t="n">
        <v>33</v>
      </c>
      <c r="D231" s="1" t="s">
        <v>328</v>
      </c>
      <c r="E231" s="1" t="n">
        <v>-26337.346</v>
      </c>
      <c r="F231" s="1" t="n">
        <v>1.09</v>
      </c>
      <c r="G231" s="1" t="n">
        <f aca="false">IF(ISNUMBER(E231),E231,VALUE(SUBSTITUTE(E231,"#",".01")))</f>
        <v>-26337.346</v>
      </c>
    </row>
    <row r="232" customFormat="false" ht="12.75" hidden="false" customHeight="false" outlineLevel="0" collapsed="false">
      <c r="A232" s="1" t="n">
        <v>17</v>
      </c>
      <c r="B232" s="1" t="n">
        <v>16</v>
      </c>
      <c r="C232" s="1" t="n">
        <v>33</v>
      </c>
      <c r="D232" s="1" t="s">
        <v>334</v>
      </c>
      <c r="E232" s="1" t="n">
        <v>-26585.85434</v>
      </c>
      <c r="F232" s="1" t="n">
        <v>0.00135</v>
      </c>
      <c r="G232" s="1" t="n">
        <f aca="false">IF(ISNUMBER(E232),E232,VALUE(SUBSTITUTE(E232,"#",".01")))</f>
        <v>-26585.85434</v>
      </c>
    </row>
    <row r="233" customFormat="false" ht="12.75" hidden="false" customHeight="false" outlineLevel="0" collapsed="false">
      <c r="A233" s="1" t="n">
        <v>16</v>
      </c>
      <c r="B233" s="1" t="n">
        <v>17</v>
      </c>
      <c r="C233" s="1" t="n">
        <v>33</v>
      </c>
      <c r="D233" s="1" t="s">
        <v>341</v>
      </c>
      <c r="E233" s="1" t="n">
        <v>-21003.337</v>
      </c>
      <c r="F233" s="1" t="n">
        <v>0.391</v>
      </c>
      <c r="G233" s="1" t="n">
        <f aca="false">IF(ISNUMBER(E233),E233,VALUE(SUBSTITUTE(E233,"#",".01")))</f>
        <v>-21003.337</v>
      </c>
    </row>
    <row r="234" customFormat="false" ht="12.75" hidden="false" customHeight="false" outlineLevel="0" collapsed="false">
      <c r="A234" s="1" t="n">
        <v>15</v>
      </c>
      <c r="B234" s="1" t="n">
        <v>18</v>
      </c>
      <c r="C234" s="1" t="n">
        <v>33</v>
      </c>
      <c r="D234" s="1" t="s">
        <v>345</v>
      </c>
      <c r="E234" s="1" t="n">
        <v>-9384.292</v>
      </c>
      <c r="F234" s="1" t="n">
        <v>0.401</v>
      </c>
      <c r="G234" s="1" t="n">
        <f aca="false">IF(ISNUMBER(E234),E234,VALUE(SUBSTITUTE(E234,"#",".01")))</f>
        <v>-9384.292</v>
      </c>
    </row>
    <row r="235" customFormat="false" ht="12.75" hidden="false" customHeight="false" outlineLevel="0" collapsed="false">
      <c r="A235" s="1" t="n">
        <v>14</v>
      </c>
      <c r="B235" s="1" t="n">
        <v>19</v>
      </c>
      <c r="C235" s="1" t="n">
        <v>33</v>
      </c>
      <c r="D235" s="1" t="s">
        <v>351</v>
      </c>
      <c r="E235" s="1" t="s">
        <v>354</v>
      </c>
      <c r="F235" s="1" t="s">
        <v>333</v>
      </c>
      <c r="G235" s="1" t="n">
        <f aca="false">IF(ISNUMBER(E235),E235,VALUE(SUBSTITUTE(E235,"#",".01")))</f>
        <v>7042.01</v>
      </c>
    </row>
    <row r="236" customFormat="false" ht="12.75" hidden="false" customHeight="false" outlineLevel="0" collapsed="false">
      <c r="A236" s="1" t="n">
        <v>24</v>
      </c>
      <c r="B236" s="1" t="n">
        <v>10</v>
      </c>
      <c r="C236" s="1" t="n">
        <v>34</v>
      </c>
      <c r="D236" s="1" t="s">
        <v>308</v>
      </c>
      <c r="E236" s="1" t="s">
        <v>355</v>
      </c>
      <c r="F236" s="1" t="s">
        <v>356</v>
      </c>
      <c r="G236" s="1" t="n">
        <f aca="false">IF(ISNUMBER(E236),E236,VALUE(SUBSTITUTE(E236,"#",".01")))</f>
        <v>52842.01</v>
      </c>
    </row>
    <row r="237" customFormat="false" ht="12.75" hidden="false" customHeight="false" outlineLevel="0" collapsed="false">
      <c r="A237" s="1" t="n">
        <v>23</v>
      </c>
      <c r="B237" s="1" t="n">
        <v>11</v>
      </c>
      <c r="C237" s="1" t="n">
        <v>34</v>
      </c>
      <c r="D237" s="1" t="s">
        <v>309</v>
      </c>
      <c r="E237" s="1" t="n">
        <v>31680.111</v>
      </c>
      <c r="F237" s="1" t="n">
        <v>599.416</v>
      </c>
      <c r="G237" s="1" t="n">
        <f aca="false">IF(ISNUMBER(E237),E237,VALUE(SUBSTITUTE(E237,"#",".01")))</f>
        <v>31680.111</v>
      </c>
    </row>
    <row r="238" customFormat="false" ht="12.75" hidden="false" customHeight="false" outlineLevel="0" collapsed="false">
      <c r="A238" s="1" t="n">
        <v>22</v>
      </c>
      <c r="B238" s="1" t="n">
        <v>12</v>
      </c>
      <c r="C238" s="1" t="n">
        <v>34</v>
      </c>
      <c r="D238" s="1" t="s">
        <v>310</v>
      </c>
      <c r="E238" s="1" t="n">
        <v>8323.348</v>
      </c>
      <c r="F238" s="1" t="n">
        <v>28.876</v>
      </c>
      <c r="G238" s="1" t="n">
        <f aca="false">IF(ISNUMBER(E238),E238,VALUE(SUBSTITUTE(E238,"#",".01")))</f>
        <v>8323.348</v>
      </c>
    </row>
    <row r="239" customFormat="false" ht="12.75" hidden="false" customHeight="false" outlineLevel="0" collapsed="false">
      <c r="A239" s="1" t="n">
        <v>21</v>
      </c>
      <c r="B239" s="1" t="n">
        <v>13</v>
      </c>
      <c r="C239" s="1" t="n">
        <v>34</v>
      </c>
      <c r="D239" s="1" t="s">
        <v>317</v>
      </c>
      <c r="E239" s="1" t="n">
        <v>-3000.289</v>
      </c>
      <c r="F239" s="1" t="n">
        <v>3.074</v>
      </c>
      <c r="G239" s="1" t="n">
        <f aca="false">IF(ISNUMBER(E239),E239,VALUE(SUBSTITUTE(E239,"#",".01")))</f>
        <v>-3000.289</v>
      </c>
    </row>
    <row r="240" customFormat="false" ht="12.75" hidden="false" customHeight="false" outlineLevel="0" collapsed="false">
      <c r="A240" s="1" t="n">
        <v>20</v>
      </c>
      <c r="B240" s="1" t="n">
        <v>14</v>
      </c>
      <c r="C240" s="1" t="n">
        <v>34</v>
      </c>
      <c r="D240" s="1" t="s">
        <v>321</v>
      </c>
      <c r="E240" s="1" t="n">
        <v>-19956.852</v>
      </c>
      <c r="F240" s="1" t="n">
        <v>14.118</v>
      </c>
      <c r="G240" s="1" t="n">
        <f aca="false">IF(ISNUMBER(E240),E240,VALUE(SUBSTITUTE(E240,"#",".01")))</f>
        <v>-19956.852</v>
      </c>
    </row>
    <row r="241" customFormat="false" ht="12.75" hidden="false" customHeight="false" outlineLevel="0" collapsed="false">
      <c r="A241" s="1" t="n">
        <v>19</v>
      </c>
      <c r="B241" s="1" t="n">
        <v>15</v>
      </c>
      <c r="C241" s="1" t="n">
        <v>34</v>
      </c>
      <c r="D241" s="1" t="s">
        <v>328</v>
      </c>
      <c r="E241" s="1" t="n">
        <v>-24548.698</v>
      </c>
      <c r="F241" s="1" t="n">
        <v>0.81</v>
      </c>
      <c r="G241" s="1" t="n">
        <f aca="false">IF(ISNUMBER(E241),E241,VALUE(SUBSTITUTE(E241,"#",".01")))</f>
        <v>-24548.698</v>
      </c>
    </row>
    <row r="242" customFormat="false" ht="12.75" hidden="false" customHeight="false" outlineLevel="0" collapsed="false">
      <c r="A242" s="1" t="n">
        <v>18</v>
      </c>
      <c r="B242" s="1" t="n">
        <v>16</v>
      </c>
      <c r="C242" s="1" t="n">
        <v>34</v>
      </c>
      <c r="D242" s="1" t="s">
        <v>334</v>
      </c>
      <c r="E242" s="1" t="n">
        <v>-29931.685</v>
      </c>
      <c r="F242" s="1" t="n">
        <v>0.045</v>
      </c>
      <c r="G242" s="1" t="n">
        <f aca="false">IF(ISNUMBER(E242),E242,VALUE(SUBSTITUTE(E242,"#",".01")))</f>
        <v>-29931.685</v>
      </c>
    </row>
    <row r="243" customFormat="false" ht="12.75" hidden="false" customHeight="false" outlineLevel="0" collapsed="false">
      <c r="A243" s="1" t="n">
        <v>17</v>
      </c>
      <c r="B243" s="1" t="n">
        <v>17</v>
      </c>
      <c r="C243" s="1" t="n">
        <v>34</v>
      </c>
      <c r="D243" s="1" t="s">
        <v>341</v>
      </c>
      <c r="E243" s="1" t="n">
        <v>-24440.082</v>
      </c>
      <c r="F243" s="1" t="n">
        <v>0.049</v>
      </c>
      <c r="G243" s="1" t="n">
        <f aca="false">IF(ISNUMBER(E243),E243,VALUE(SUBSTITUTE(E243,"#",".01")))</f>
        <v>-24440.082</v>
      </c>
    </row>
    <row r="244" customFormat="false" ht="12.75" hidden="false" customHeight="false" outlineLevel="0" collapsed="false">
      <c r="A244" s="1" t="n">
        <v>16</v>
      </c>
      <c r="B244" s="1" t="n">
        <v>18</v>
      </c>
      <c r="C244" s="1" t="n">
        <v>34</v>
      </c>
      <c r="D244" s="1" t="s">
        <v>345</v>
      </c>
      <c r="E244" s="1" t="n">
        <v>-18378.29</v>
      </c>
      <c r="F244" s="1" t="n">
        <v>0.078</v>
      </c>
      <c r="G244" s="1" t="n">
        <f aca="false">IF(ISNUMBER(E244),E244,VALUE(SUBSTITUTE(E244,"#",".01")))</f>
        <v>-18378.29</v>
      </c>
    </row>
    <row r="245" customFormat="false" ht="12.75" hidden="false" customHeight="false" outlineLevel="0" collapsed="false">
      <c r="A245" s="1" t="n">
        <v>15</v>
      </c>
      <c r="B245" s="1" t="n">
        <v>19</v>
      </c>
      <c r="C245" s="1" t="n">
        <v>34</v>
      </c>
      <c r="D245" s="1" t="s">
        <v>351</v>
      </c>
      <c r="E245" s="1" t="s">
        <v>357</v>
      </c>
      <c r="F245" s="1" t="s">
        <v>333</v>
      </c>
      <c r="G245" s="1" t="n">
        <f aca="false">IF(ISNUMBER(E245),E245,VALUE(SUBSTITUTE(E245,"#",".01")))</f>
        <v>-1220.01</v>
      </c>
    </row>
    <row r="246" customFormat="false" ht="12.75" hidden="false" customHeight="false" outlineLevel="0" collapsed="false">
      <c r="A246" s="1" t="n">
        <v>14</v>
      </c>
      <c r="B246" s="1" t="n">
        <v>20</v>
      </c>
      <c r="C246" s="1" t="n">
        <v>34</v>
      </c>
      <c r="D246" s="1" t="s">
        <v>358</v>
      </c>
      <c r="E246" s="1" t="s">
        <v>359</v>
      </c>
      <c r="F246" s="1" t="s">
        <v>360</v>
      </c>
      <c r="G246" s="1" t="n">
        <f aca="false">IF(ISNUMBER(E246),E246,VALUE(SUBSTITUTE(E246,"#",".01")))</f>
        <v>13851.01</v>
      </c>
    </row>
    <row r="247" customFormat="false" ht="12.75" hidden="false" customHeight="false" outlineLevel="0" collapsed="false">
      <c r="A247" s="1" t="n">
        <v>24</v>
      </c>
      <c r="B247" s="1" t="n">
        <v>11</v>
      </c>
      <c r="C247" s="1" t="n">
        <v>35</v>
      </c>
      <c r="D247" s="1" t="s">
        <v>309</v>
      </c>
      <c r="E247" s="1" t="s">
        <v>361</v>
      </c>
      <c r="F247" s="1" t="s">
        <v>362</v>
      </c>
      <c r="G247" s="1" t="n">
        <f aca="false">IF(ISNUMBER(E247),E247,VALUE(SUBSTITUTE(E247,"#",".01")))</f>
        <v>38231.01</v>
      </c>
    </row>
    <row r="248" customFormat="false" ht="12.75" hidden="false" customHeight="false" outlineLevel="0" collapsed="false">
      <c r="A248" s="1" t="n">
        <v>23</v>
      </c>
      <c r="B248" s="1" t="n">
        <v>12</v>
      </c>
      <c r="C248" s="1" t="n">
        <v>35</v>
      </c>
      <c r="D248" s="1" t="s">
        <v>310</v>
      </c>
      <c r="E248" s="1" t="n">
        <v>15639.784</v>
      </c>
      <c r="F248" s="1" t="n">
        <v>269.668</v>
      </c>
      <c r="G248" s="1" t="n">
        <f aca="false">IF(ISNUMBER(E248),E248,VALUE(SUBSTITUTE(E248,"#",".01")))</f>
        <v>15639.784</v>
      </c>
    </row>
    <row r="249" customFormat="false" ht="12.75" hidden="false" customHeight="false" outlineLevel="0" collapsed="false">
      <c r="A249" s="1" t="n">
        <v>22</v>
      </c>
      <c r="B249" s="1" t="n">
        <v>13</v>
      </c>
      <c r="C249" s="1" t="n">
        <v>35</v>
      </c>
      <c r="D249" s="1" t="s">
        <v>317</v>
      </c>
      <c r="E249" s="1" t="n">
        <v>-223.728</v>
      </c>
      <c r="F249" s="1" t="n">
        <v>7.359</v>
      </c>
      <c r="G249" s="1" t="n">
        <f aca="false">IF(ISNUMBER(E249),E249,VALUE(SUBSTITUTE(E249,"#",".01")))</f>
        <v>-223.728</v>
      </c>
    </row>
    <row r="250" customFormat="false" ht="12.75" hidden="false" customHeight="false" outlineLevel="0" collapsed="false">
      <c r="A250" s="1" t="n">
        <v>21</v>
      </c>
      <c r="B250" s="1" t="n">
        <v>14</v>
      </c>
      <c r="C250" s="1" t="n">
        <v>35</v>
      </c>
      <c r="D250" s="1" t="s">
        <v>321</v>
      </c>
      <c r="E250" s="1" t="n">
        <v>-14391.457</v>
      </c>
      <c r="F250" s="1" t="n">
        <v>35.857</v>
      </c>
      <c r="G250" s="1" t="n">
        <f aca="false">IF(ISNUMBER(E250),E250,VALUE(SUBSTITUTE(E250,"#",".01")))</f>
        <v>-14391.457</v>
      </c>
    </row>
    <row r="251" customFormat="false" ht="12.75" hidden="false" customHeight="false" outlineLevel="0" collapsed="false">
      <c r="A251" s="1" t="n">
        <v>20</v>
      </c>
      <c r="B251" s="1" t="n">
        <v>15</v>
      </c>
      <c r="C251" s="1" t="n">
        <v>35</v>
      </c>
      <c r="D251" s="1" t="s">
        <v>328</v>
      </c>
      <c r="E251" s="1" t="n">
        <v>-24857.799</v>
      </c>
      <c r="F251" s="1" t="n">
        <v>1.866</v>
      </c>
      <c r="G251" s="1" t="n">
        <f aca="false">IF(ISNUMBER(E251),E251,VALUE(SUBSTITUTE(E251,"#",".01")))</f>
        <v>-24857.799</v>
      </c>
    </row>
    <row r="252" customFormat="false" ht="12.75" hidden="false" customHeight="false" outlineLevel="0" collapsed="false">
      <c r="A252" s="1" t="n">
        <v>19</v>
      </c>
      <c r="B252" s="1" t="n">
        <v>16</v>
      </c>
      <c r="C252" s="1" t="n">
        <v>35</v>
      </c>
      <c r="D252" s="1" t="s">
        <v>334</v>
      </c>
      <c r="E252" s="1" t="n">
        <v>-28846.206</v>
      </c>
      <c r="F252" s="1" t="n">
        <v>0.04</v>
      </c>
      <c r="G252" s="1" t="n">
        <f aca="false">IF(ISNUMBER(E252),E252,VALUE(SUBSTITUTE(E252,"#",".01")))</f>
        <v>-28846.206</v>
      </c>
    </row>
    <row r="253" customFormat="false" ht="12.75" hidden="false" customHeight="false" outlineLevel="0" collapsed="false">
      <c r="A253" s="1" t="n">
        <v>18</v>
      </c>
      <c r="B253" s="1" t="n">
        <v>17</v>
      </c>
      <c r="C253" s="1" t="n">
        <v>35</v>
      </c>
      <c r="D253" s="1" t="s">
        <v>341</v>
      </c>
      <c r="E253" s="1" t="n">
        <v>-29013.528</v>
      </c>
      <c r="F253" s="1" t="n">
        <v>0.035</v>
      </c>
      <c r="G253" s="1" t="n">
        <f aca="false">IF(ISNUMBER(E253),E253,VALUE(SUBSTITUTE(E253,"#",".01")))</f>
        <v>-29013.528</v>
      </c>
    </row>
    <row r="254" customFormat="false" ht="12.75" hidden="false" customHeight="false" outlineLevel="0" collapsed="false">
      <c r="A254" s="1" t="n">
        <v>17</v>
      </c>
      <c r="B254" s="1" t="n">
        <v>18</v>
      </c>
      <c r="C254" s="1" t="n">
        <v>35</v>
      </c>
      <c r="D254" s="1" t="s">
        <v>345</v>
      </c>
      <c r="E254" s="1" t="n">
        <v>-23047.284</v>
      </c>
      <c r="F254" s="1" t="n">
        <v>0.68</v>
      </c>
      <c r="G254" s="1" t="n">
        <f aca="false">IF(ISNUMBER(E254),E254,VALUE(SUBSTITUTE(E254,"#",".01")))</f>
        <v>-23047.284</v>
      </c>
    </row>
    <row r="255" customFormat="false" ht="12.75" hidden="false" customHeight="false" outlineLevel="0" collapsed="false">
      <c r="A255" s="1" t="n">
        <v>16</v>
      </c>
      <c r="B255" s="1" t="n">
        <v>19</v>
      </c>
      <c r="C255" s="1" t="n">
        <v>35</v>
      </c>
      <c r="D255" s="1" t="s">
        <v>351</v>
      </c>
      <c r="E255" s="1" t="n">
        <v>-11172.891</v>
      </c>
      <c r="F255" s="1" t="n">
        <v>0.512</v>
      </c>
      <c r="G255" s="1" t="n">
        <f aca="false">IF(ISNUMBER(E255),E255,VALUE(SUBSTITUTE(E255,"#",".01")))</f>
        <v>-11172.891</v>
      </c>
    </row>
    <row r="256" customFormat="false" ht="12.75" hidden="false" customHeight="false" outlineLevel="0" collapsed="false">
      <c r="A256" s="1" t="n">
        <v>15</v>
      </c>
      <c r="B256" s="1" t="n">
        <v>20</v>
      </c>
      <c r="C256" s="1" t="n">
        <v>35</v>
      </c>
      <c r="D256" s="1" t="s">
        <v>358</v>
      </c>
      <c r="E256" s="1" t="s">
        <v>363</v>
      </c>
      <c r="F256" s="1" t="s">
        <v>333</v>
      </c>
      <c r="G256" s="1" t="n">
        <f aca="false">IF(ISNUMBER(E256),E256,VALUE(SUBSTITUTE(E256,"#",".01")))</f>
        <v>4788.01</v>
      </c>
    </row>
    <row r="257" customFormat="false" ht="12.75" hidden="false" customHeight="false" outlineLevel="0" collapsed="false">
      <c r="A257" s="1" t="n">
        <v>25</v>
      </c>
      <c r="B257" s="1" t="n">
        <v>11</v>
      </c>
      <c r="C257" s="1" t="n">
        <v>36</v>
      </c>
      <c r="D257" s="1" t="s">
        <v>309</v>
      </c>
      <c r="E257" s="1" t="s">
        <v>364</v>
      </c>
      <c r="F257" s="1" t="s">
        <v>365</v>
      </c>
      <c r="G257" s="1" t="n">
        <f aca="false">IF(ISNUMBER(E257),E257,VALUE(SUBSTITUTE(E257,"#",".01")))</f>
        <v>46303.01</v>
      </c>
    </row>
    <row r="258" customFormat="false" ht="12.75" hidden="false" customHeight="false" outlineLevel="0" collapsed="false">
      <c r="A258" s="1" t="n">
        <v>24</v>
      </c>
      <c r="B258" s="1" t="n">
        <v>12</v>
      </c>
      <c r="C258" s="1" t="n">
        <v>36</v>
      </c>
      <c r="D258" s="1" t="s">
        <v>310</v>
      </c>
      <c r="E258" s="1" t="n">
        <v>20380.157</v>
      </c>
      <c r="F258" s="1" t="n">
        <v>690.237</v>
      </c>
      <c r="G258" s="1" t="n">
        <f aca="false">IF(ISNUMBER(E258),E258,VALUE(SUBSTITUTE(E258,"#",".01")))</f>
        <v>20380.157</v>
      </c>
    </row>
    <row r="259" customFormat="false" ht="12.75" hidden="false" customHeight="false" outlineLevel="0" collapsed="false">
      <c r="A259" s="1" t="n">
        <v>23</v>
      </c>
      <c r="B259" s="1" t="n">
        <v>13</v>
      </c>
      <c r="C259" s="1" t="n">
        <v>36</v>
      </c>
      <c r="D259" s="1" t="s">
        <v>317</v>
      </c>
      <c r="E259" s="1" t="n">
        <v>5950.384</v>
      </c>
      <c r="F259" s="1" t="n">
        <v>149.505</v>
      </c>
      <c r="G259" s="1" t="n">
        <f aca="false">IF(ISNUMBER(E259),E259,VALUE(SUBSTITUTE(E259,"#",".01")))</f>
        <v>5950.384</v>
      </c>
    </row>
    <row r="260" customFormat="false" ht="12.75" hidden="false" customHeight="false" outlineLevel="0" collapsed="false">
      <c r="A260" s="1" t="n">
        <v>22</v>
      </c>
      <c r="B260" s="1" t="n">
        <v>14</v>
      </c>
      <c r="C260" s="1" t="n">
        <v>36</v>
      </c>
      <c r="D260" s="1" t="s">
        <v>321</v>
      </c>
      <c r="E260" s="1" t="n">
        <v>-12436.124</v>
      </c>
      <c r="F260" s="1" t="n">
        <v>71.797</v>
      </c>
      <c r="G260" s="1" t="n">
        <f aca="false">IF(ISNUMBER(E260),E260,VALUE(SUBSTITUTE(E260,"#",".01")))</f>
        <v>-12436.124</v>
      </c>
    </row>
    <row r="261" customFormat="false" ht="12.75" hidden="false" customHeight="false" outlineLevel="0" collapsed="false">
      <c r="A261" s="1" t="n">
        <v>21</v>
      </c>
      <c r="B261" s="1" t="n">
        <v>15</v>
      </c>
      <c r="C261" s="1" t="n">
        <v>36</v>
      </c>
      <c r="D261" s="1" t="s">
        <v>328</v>
      </c>
      <c r="E261" s="1" t="n">
        <v>-20251.034</v>
      </c>
      <c r="F261" s="1" t="n">
        <v>13.114</v>
      </c>
      <c r="G261" s="1" t="n">
        <f aca="false">IF(ISNUMBER(E261),E261,VALUE(SUBSTITUTE(E261,"#",".01")))</f>
        <v>-20251.034</v>
      </c>
    </row>
    <row r="262" customFormat="false" ht="12.75" hidden="false" customHeight="false" outlineLevel="0" collapsed="false">
      <c r="A262" s="1" t="n">
        <v>20</v>
      </c>
      <c r="B262" s="1" t="n">
        <v>16</v>
      </c>
      <c r="C262" s="1" t="n">
        <v>36</v>
      </c>
      <c r="D262" s="1" t="s">
        <v>334</v>
      </c>
      <c r="E262" s="1" t="n">
        <v>-30664.131</v>
      </c>
      <c r="F262" s="1" t="n">
        <v>0.188</v>
      </c>
      <c r="G262" s="1" t="n">
        <f aca="false">IF(ISNUMBER(E262),E262,VALUE(SUBSTITUTE(E262,"#",".01")))</f>
        <v>-30664.131</v>
      </c>
    </row>
    <row r="263" customFormat="false" ht="12.75" hidden="false" customHeight="false" outlineLevel="0" collapsed="false">
      <c r="A263" s="1" t="n">
        <v>19</v>
      </c>
      <c r="B263" s="1" t="n">
        <v>17</v>
      </c>
      <c r="C263" s="1" t="n">
        <v>36</v>
      </c>
      <c r="D263" s="1" t="s">
        <v>341</v>
      </c>
      <c r="E263" s="1" t="n">
        <v>-29522.005</v>
      </c>
      <c r="F263" s="1" t="n">
        <v>0.036</v>
      </c>
      <c r="G263" s="1" t="n">
        <f aca="false">IF(ISNUMBER(E263),E263,VALUE(SUBSTITUTE(E263,"#",".01")))</f>
        <v>-29522.005</v>
      </c>
    </row>
    <row r="264" customFormat="false" ht="12.75" hidden="false" customHeight="false" outlineLevel="0" collapsed="false">
      <c r="A264" s="1" t="n">
        <v>18</v>
      </c>
      <c r="B264" s="1" t="n">
        <v>18</v>
      </c>
      <c r="C264" s="1" t="n">
        <v>36</v>
      </c>
      <c r="D264" s="1" t="s">
        <v>345</v>
      </c>
      <c r="E264" s="1" t="n">
        <v>-30231.54</v>
      </c>
      <c r="F264" s="1" t="n">
        <v>0.027</v>
      </c>
      <c r="G264" s="1" t="n">
        <f aca="false">IF(ISNUMBER(E264),E264,VALUE(SUBSTITUTE(E264,"#",".01")))</f>
        <v>-30231.54</v>
      </c>
    </row>
    <row r="265" customFormat="false" ht="12.75" hidden="false" customHeight="false" outlineLevel="0" collapsed="false">
      <c r="A265" s="1" t="n">
        <v>17</v>
      </c>
      <c r="B265" s="1" t="n">
        <v>19</v>
      </c>
      <c r="C265" s="1" t="n">
        <v>36</v>
      </c>
      <c r="D265" s="1" t="s">
        <v>351</v>
      </c>
      <c r="E265" s="1" t="n">
        <v>-17417.065</v>
      </c>
      <c r="F265" s="1" t="n">
        <v>0.341</v>
      </c>
      <c r="G265" s="1" t="n">
        <f aca="false">IF(ISNUMBER(E265),E265,VALUE(SUBSTITUTE(E265,"#",".01")))</f>
        <v>-17417.065</v>
      </c>
    </row>
    <row r="266" customFormat="false" ht="12.75" hidden="false" customHeight="false" outlineLevel="0" collapsed="false">
      <c r="A266" s="1" t="n">
        <v>16</v>
      </c>
      <c r="B266" s="1" t="n">
        <v>20</v>
      </c>
      <c r="C266" s="1" t="n">
        <v>36</v>
      </c>
      <c r="D266" s="1" t="s">
        <v>358</v>
      </c>
      <c r="E266" s="1" t="n">
        <v>-6451.149</v>
      </c>
      <c r="F266" s="1" t="n">
        <v>40</v>
      </c>
      <c r="G266" s="1" t="n">
        <f aca="false">IF(ISNUMBER(E266),E266,VALUE(SUBSTITUTE(E266,"#",".01")))</f>
        <v>-6451.149</v>
      </c>
    </row>
    <row r="267" customFormat="false" ht="12.75" hidden="false" customHeight="false" outlineLevel="0" collapsed="false">
      <c r="A267" s="1" t="n">
        <v>15</v>
      </c>
      <c r="B267" s="1" t="n">
        <v>21</v>
      </c>
      <c r="C267" s="1" t="n">
        <v>36</v>
      </c>
      <c r="D267" s="1" t="s">
        <v>366</v>
      </c>
      <c r="E267" s="1" t="s">
        <v>367</v>
      </c>
      <c r="F267" s="1" t="s">
        <v>360</v>
      </c>
      <c r="G267" s="1" t="n">
        <f aca="false">IF(ISNUMBER(E267),E267,VALUE(SUBSTITUTE(E267,"#",".01")))</f>
        <v>15351.01</v>
      </c>
    </row>
    <row r="268" customFormat="false" ht="12.75" hidden="false" customHeight="false" outlineLevel="0" collapsed="false">
      <c r="A268" s="1" t="n">
        <v>26</v>
      </c>
      <c r="B268" s="1" t="n">
        <v>11</v>
      </c>
      <c r="C268" s="1" t="n">
        <v>37</v>
      </c>
      <c r="D268" s="1" t="s">
        <v>309</v>
      </c>
      <c r="E268" s="1" t="s">
        <v>368</v>
      </c>
      <c r="F268" s="1" t="s">
        <v>369</v>
      </c>
      <c r="G268" s="1" t="n">
        <f aca="false">IF(ISNUMBER(E268),E268,VALUE(SUBSTITUTE(E268,"#",".01")))</f>
        <v>53534.01</v>
      </c>
    </row>
    <row r="269" customFormat="false" ht="12.75" hidden="false" customHeight="false" outlineLevel="0" collapsed="false">
      <c r="A269" s="1" t="n">
        <v>25</v>
      </c>
      <c r="B269" s="1" t="n">
        <v>12</v>
      </c>
      <c r="C269" s="1" t="n">
        <v>37</v>
      </c>
      <c r="D269" s="1" t="s">
        <v>310</v>
      </c>
      <c r="E269" s="1" t="n">
        <v>28211.474</v>
      </c>
      <c r="F269" s="1" t="n">
        <v>698.947</v>
      </c>
      <c r="G269" s="1" t="n">
        <f aca="false">IF(ISNUMBER(E269),E269,VALUE(SUBSTITUTE(E269,"#",".01")))</f>
        <v>28211.474</v>
      </c>
    </row>
    <row r="270" customFormat="false" ht="12.75" hidden="false" customHeight="false" outlineLevel="0" collapsed="false">
      <c r="A270" s="1" t="n">
        <v>24</v>
      </c>
      <c r="B270" s="1" t="n">
        <v>13</v>
      </c>
      <c r="C270" s="1" t="n">
        <v>37</v>
      </c>
      <c r="D270" s="1" t="s">
        <v>317</v>
      </c>
      <c r="E270" s="1" t="n">
        <v>9809.563</v>
      </c>
      <c r="F270" s="1" t="n">
        <v>180.244</v>
      </c>
      <c r="G270" s="1" t="n">
        <f aca="false">IF(ISNUMBER(E270),E270,VALUE(SUBSTITUTE(E270,"#",".01")))</f>
        <v>9809.563</v>
      </c>
    </row>
    <row r="271" customFormat="false" ht="12.75" hidden="false" customHeight="false" outlineLevel="0" collapsed="false">
      <c r="A271" s="1" t="n">
        <v>23</v>
      </c>
      <c r="B271" s="1" t="n">
        <v>14</v>
      </c>
      <c r="C271" s="1" t="n">
        <v>37</v>
      </c>
      <c r="D271" s="1" t="s">
        <v>321</v>
      </c>
      <c r="E271" s="1" t="n">
        <v>-6571.511</v>
      </c>
      <c r="F271" s="1" t="n">
        <v>113.809</v>
      </c>
      <c r="G271" s="1" t="n">
        <f aca="false">IF(ISNUMBER(E271),E271,VALUE(SUBSTITUTE(E271,"#",".01")))</f>
        <v>-6571.511</v>
      </c>
    </row>
    <row r="272" customFormat="false" ht="12.75" hidden="false" customHeight="false" outlineLevel="0" collapsed="false">
      <c r="A272" s="1" t="n">
        <v>22</v>
      </c>
      <c r="B272" s="1" t="n">
        <v>15</v>
      </c>
      <c r="C272" s="1" t="n">
        <v>37</v>
      </c>
      <c r="D272" s="1" t="s">
        <v>328</v>
      </c>
      <c r="E272" s="1" t="n">
        <v>-18995.998</v>
      </c>
      <c r="F272" s="1" t="n">
        <v>37.948</v>
      </c>
      <c r="G272" s="1" t="n">
        <f aca="false">IF(ISNUMBER(E272),E272,VALUE(SUBSTITUTE(E272,"#",".01")))</f>
        <v>-18995.998</v>
      </c>
    </row>
    <row r="273" customFormat="false" ht="12.75" hidden="false" customHeight="false" outlineLevel="0" collapsed="false">
      <c r="A273" s="1" t="n">
        <v>21</v>
      </c>
      <c r="B273" s="1" t="n">
        <v>16</v>
      </c>
      <c r="C273" s="1" t="n">
        <v>37</v>
      </c>
      <c r="D273" s="1" t="s">
        <v>334</v>
      </c>
      <c r="E273" s="1" t="n">
        <v>-26896.417</v>
      </c>
      <c r="F273" s="1" t="n">
        <v>0.198</v>
      </c>
      <c r="G273" s="1" t="n">
        <f aca="false">IF(ISNUMBER(E273),E273,VALUE(SUBSTITUTE(E273,"#",".01")))</f>
        <v>-26896.417</v>
      </c>
    </row>
    <row r="274" customFormat="false" ht="12.75" hidden="false" customHeight="false" outlineLevel="0" collapsed="false">
      <c r="A274" s="1" t="n">
        <v>20</v>
      </c>
      <c r="B274" s="1" t="n">
        <v>17</v>
      </c>
      <c r="C274" s="1" t="n">
        <v>37</v>
      </c>
      <c r="D274" s="1" t="s">
        <v>341</v>
      </c>
      <c r="E274" s="1" t="n">
        <v>-31761.538</v>
      </c>
      <c r="F274" s="1" t="n">
        <v>0.052</v>
      </c>
      <c r="G274" s="1" t="n">
        <f aca="false">IF(ISNUMBER(E274),E274,VALUE(SUBSTITUTE(E274,"#",".01")))</f>
        <v>-31761.538</v>
      </c>
    </row>
    <row r="275" customFormat="false" ht="12.75" hidden="false" customHeight="false" outlineLevel="0" collapsed="false">
      <c r="A275" s="1" t="n">
        <v>19</v>
      </c>
      <c r="B275" s="1" t="n">
        <v>18</v>
      </c>
      <c r="C275" s="1" t="n">
        <v>37</v>
      </c>
      <c r="D275" s="1" t="s">
        <v>345</v>
      </c>
      <c r="E275" s="1" t="n">
        <v>-30947.664</v>
      </c>
      <c r="F275" s="1" t="n">
        <v>0.207</v>
      </c>
      <c r="G275" s="1" t="n">
        <f aca="false">IF(ISNUMBER(E275),E275,VALUE(SUBSTITUTE(E275,"#",".01")))</f>
        <v>-30947.664</v>
      </c>
    </row>
    <row r="276" customFormat="false" ht="12.75" hidden="false" customHeight="false" outlineLevel="0" collapsed="false">
      <c r="A276" s="1" t="n">
        <v>18</v>
      </c>
      <c r="B276" s="1" t="n">
        <v>19</v>
      </c>
      <c r="C276" s="1" t="n">
        <v>37</v>
      </c>
      <c r="D276" s="1" t="s">
        <v>351</v>
      </c>
      <c r="E276" s="1" t="n">
        <v>-24800.199</v>
      </c>
      <c r="F276" s="1" t="n">
        <v>0.094</v>
      </c>
      <c r="G276" s="1" t="n">
        <f aca="false">IF(ISNUMBER(E276),E276,VALUE(SUBSTITUTE(E276,"#",".01")))</f>
        <v>-24800.199</v>
      </c>
    </row>
    <row r="277" customFormat="false" ht="12.75" hidden="false" customHeight="false" outlineLevel="0" collapsed="false">
      <c r="A277" s="1" t="n">
        <v>17</v>
      </c>
      <c r="B277" s="1" t="n">
        <v>20</v>
      </c>
      <c r="C277" s="1" t="n">
        <v>37</v>
      </c>
      <c r="D277" s="1" t="s">
        <v>358</v>
      </c>
      <c r="E277" s="1" t="n">
        <v>-13136.066</v>
      </c>
      <c r="F277" s="1" t="n">
        <v>0.634</v>
      </c>
      <c r="G277" s="1" t="n">
        <f aca="false">IF(ISNUMBER(E277),E277,VALUE(SUBSTITUTE(E277,"#",".01")))</f>
        <v>-13136.066</v>
      </c>
    </row>
    <row r="278" customFormat="false" ht="12.75" hidden="false" customHeight="false" outlineLevel="0" collapsed="false">
      <c r="A278" s="1" t="n">
        <v>16</v>
      </c>
      <c r="B278" s="1" t="n">
        <v>21</v>
      </c>
      <c r="C278" s="1" t="n">
        <v>37</v>
      </c>
      <c r="D278" s="1" t="s">
        <v>366</v>
      </c>
      <c r="E278" s="1" t="s">
        <v>370</v>
      </c>
      <c r="F278" s="1" t="s">
        <v>371</v>
      </c>
      <c r="G278" s="1" t="n">
        <f aca="false">IF(ISNUMBER(E278),E278,VALUE(SUBSTITUTE(E278,"#",".01")))</f>
        <v>3520.01</v>
      </c>
    </row>
    <row r="279" customFormat="false" ht="12.75" hidden="false" customHeight="false" outlineLevel="0" collapsed="false">
      <c r="A279" s="1" t="n">
        <v>26</v>
      </c>
      <c r="B279" s="1" t="n">
        <v>12</v>
      </c>
      <c r="C279" s="1" t="n">
        <v>38</v>
      </c>
      <c r="D279" s="1" t="s">
        <v>310</v>
      </c>
      <c r="E279" s="1" t="s">
        <v>372</v>
      </c>
      <c r="F279" s="1" t="s">
        <v>323</v>
      </c>
      <c r="G279" s="1" t="n">
        <f aca="false">IF(ISNUMBER(E279),E279,VALUE(SUBSTITUTE(E279,"#",".01")))</f>
        <v>34074.01</v>
      </c>
    </row>
    <row r="280" customFormat="false" ht="12.75" hidden="false" customHeight="false" outlineLevel="0" collapsed="false">
      <c r="A280" s="1" t="n">
        <v>25</v>
      </c>
      <c r="B280" s="1" t="n">
        <v>13</v>
      </c>
      <c r="C280" s="1" t="n">
        <v>38</v>
      </c>
      <c r="D280" s="1" t="s">
        <v>317</v>
      </c>
      <c r="E280" s="1" t="n">
        <v>16209.859</v>
      </c>
      <c r="F280" s="1" t="n">
        <v>374.461</v>
      </c>
      <c r="G280" s="1" t="n">
        <f aca="false">IF(ISNUMBER(E280),E280,VALUE(SUBSTITUTE(E280,"#",".01")))</f>
        <v>16209.859</v>
      </c>
    </row>
    <row r="281" customFormat="false" ht="12.75" hidden="false" customHeight="false" outlineLevel="0" collapsed="false">
      <c r="A281" s="1" t="n">
        <v>24</v>
      </c>
      <c r="B281" s="1" t="n">
        <v>14</v>
      </c>
      <c r="C281" s="1" t="n">
        <v>38</v>
      </c>
      <c r="D281" s="1" t="s">
        <v>321</v>
      </c>
      <c r="E281" s="1" t="n">
        <v>-4170.299</v>
      </c>
      <c r="F281" s="1" t="n">
        <v>104.793</v>
      </c>
      <c r="G281" s="1" t="n">
        <f aca="false">IF(ISNUMBER(E281),E281,VALUE(SUBSTITUTE(E281,"#",".01")))</f>
        <v>-4170.299</v>
      </c>
    </row>
    <row r="282" customFormat="false" ht="12.75" hidden="false" customHeight="false" outlineLevel="0" collapsed="false">
      <c r="A282" s="1" t="n">
        <v>23</v>
      </c>
      <c r="B282" s="1" t="n">
        <v>15</v>
      </c>
      <c r="C282" s="1" t="n">
        <v>38</v>
      </c>
      <c r="D282" s="1" t="s">
        <v>328</v>
      </c>
      <c r="E282" s="1" t="n">
        <v>-14621.563</v>
      </c>
      <c r="F282" s="1" t="n">
        <v>72.581</v>
      </c>
      <c r="G282" s="1" t="n">
        <f aca="false">IF(ISNUMBER(E282),E282,VALUE(SUBSTITUTE(E282,"#",".01")))</f>
        <v>-14621.563</v>
      </c>
    </row>
    <row r="283" customFormat="false" ht="12.75" hidden="false" customHeight="false" outlineLevel="0" collapsed="false">
      <c r="A283" s="1" t="n">
        <v>22</v>
      </c>
      <c r="B283" s="1" t="n">
        <v>16</v>
      </c>
      <c r="C283" s="1" t="n">
        <v>38</v>
      </c>
      <c r="D283" s="1" t="s">
        <v>334</v>
      </c>
      <c r="E283" s="1" t="n">
        <v>-26861.203</v>
      </c>
      <c r="F283" s="1" t="n">
        <v>7.172</v>
      </c>
      <c r="G283" s="1" t="n">
        <f aca="false">IF(ISNUMBER(E283),E283,VALUE(SUBSTITUTE(E283,"#",".01")))</f>
        <v>-26861.203</v>
      </c>
    </row>
    <row r="284" customFormat="false" ht="12.75" hidden="false" customHeight="false" outlineLevel="0" collapsed="false">
      <c r="A284" s="1" t="n">
        <v>21</v>
      </c>
      <c r="B284" s="1" t="n">
        <v>17</v>
      </c>
      <c r="C284" s="1" t="n">
        <v>38</v>
      </c>
      <c r="D284" s="1" t="s">
        <v>341</v>
      </c>
      <c r="E284" s="1" t="n">
        <v>-29798.103</v>
      </c>
      <c r="F284" s="1" t="n">
        <v>0.098</v>
      </c>
      <c r="G284" s="1" t="n">
        <f aca="false">IF(ISNUMBER(E284),E284,VALUE(SUBSTITUTE(E284,"#",".01")))</f>
        <v>-29798.103</v>
      </c>
    </row>
    <row r="285" customFormat="false" ht="12.75" hidden="false" customHeight="false" outlineLevel="0" collapsed="false">
      <c r="A285" s="1" t="n">
        <v>20</v>
      </c>
      <c r="B285" s="1" t="n">
        <v>18</v>
      </c>
      <c r="C285" s="1" t="n">
        <v>38</v>
      </c>
      <c r="D285" s="1" t="s">
        <v>345</v>
      </c>
      <c r="E285" s="1" t="n">
        <v>-34714.821</v>
      </c>
      <c r="F285" s="1" t="n">
        <v>0.195</v>
      </c>
      <c r="G285" s="1" t="n">
        <f aca="false">IF(ISNUMBER(E285),E285,VALUE(SUBSTITUTE(E285,"#",".01")))</f>
        <v>-34714.821</v>
      </c>
    </row>
    <row r="286" customFormat="false" ht="12.75" hidden="false" customHeight="false" outlineLevel="0" collapsed="false">
      <c r="A286" s="1" t="n">
        <v>19</v>
      </c>
      <c r="B286" s="1" t="n">
        <v>19</v>
      </c>
      <c r="C286" s="1" t="n">
        <v>38</v>
      </c>
      <c r="D286" s="1" t="s">
        <v>351</v>
      </c>
      <c r="E286" s="1" t="n">
        <v>-28800.755</v>
      </c>
      <c r="F286" s="1" t="n">
        <v>0.195</v>
      </c>
      <c r="G286" s="1" t="n">
        <f aca="false">IF(ISNUMBER(E286),E286,VALUE(SUBSTITUTE(E286,"#",".01")))</f>
        <v>-28800.755</v>
      </c>
    </row>
    <row r="287" customFormat="false" ht="12.75" hidden="false" customHeight="false" outlineLevel="0" collapsed="false">
      <c r="A287" s="1" t="n">
        <v>18</v>
      </c>
      <c r="B287" s="1" t="n">
        <v>20</v>
      </c>
      <c r="C287" s="1" t="n">
        <v>38</v>
      </c>
      <c r="D287" s="1" t="s">
        <v>358</v>
      </c>
      <c r="E287" s="1" t="n">
        <v>-22058.499</v>
      </c>
      <c r="F287" s="1" t="n">
        <v>0.194</v>
      </c>
      <c r="G287" s="1" t="n">
        <f aca="false">IF(ISNUMBER(E287),E287,VALUE(SUBSTITUTE(E287,"#",".01")))</f>
        <v>-22058.499</v>
      </c>
    </row>
    <row r="288" customFormat="false" ht="12.75" hidden="false" customHeight="false" outlineLevel="0" collapsed="false">
      <c r="A288" s="1" t="n">
        <v>17</v>
      </c>
      <c r="B288" s="1" t="n">
        <v>21</v>
      </c>
      <c r="C288" s="1" t="n">
        <v>38</v>
      </c>
      <c r="D288" s="1" t="s">
        <v>366</v>
      </c>
      <c r="E288" s="1" t="s">
        <v>373</v>
      </c>
      <c r="F288" s="1" t="s">
        <v>349</v>
      </c>
      <c r="G288" s="1" t="n">
        <f aca="false">IF(ISNUMBER(E288),E288,VALUE(SUBSTITUTE(E288,"#",".01")))</f>
        <v>-4249.01</v>
      </c>
    </row>
    <row r="289" customFormat="false" ht="12.75" hidden="false" customHeight="false" outlineLevel="0" collapsed="false">
      <c r="A289" s="1" t="n">
        <v>16</v>
      </c>
      <c r="B289" s="1" t="n">
        <v>22</v>
      </c>
      <c r="C289" s="1" t="n">
        <v>38</v>
      </c>
      <c r="D289" s="1" t="s">
        <v>374</v>
      </c>
      <c r="E289" s="1" t="s">
        <v>375</v>
      </c>
      <c r="F289" s="1" t="s">
        <v>371</v>
      </c>
      <c r="G289" s="1" t="n">
        <f aca="false">IF(ISNUMBER(E289),E289,VALUE(SUBSTITUTE(E289,"#",".01")))</f>
        <v>10870.01</v>
      </c>
    </row>
    <row r="290" customFormat="false" ht="12.75" hidden="false" customHeight="false" outlineLevel="0" collapsed="false">
      <c r="A290" s="1" t="n">
        <v>27</v>
      </c>
      <c r="B290" s="1" t="n">
        <v>12</v>
      </c>
      <c r="C290" s="1" t="n">
        <v>39</v>
      </c>
      <c r="D290" s="1" t="s">
        <v>310</v>
      </c>
      <c r="E290" s="1" t="s">
        <v>376</v>
      </c>
      <c r="F290" s="1" t="s">
        <v>356</v>
      </c>
      <c r="G290" s="1" t="n">
        <f aca="false">IF(ISNUMBER(E290),E290,VALUE(SUBSTITUTE(E290,"#",".01")))</f>
        <v>42275.01</v>
      </c>
    </row>
    <row r="291" customFormat="false" ht="12.75" hidden="false" customHeight="false" outlineLevel="0" collapsed="false">
      <c r="A291" s="1" t="n">
        <v>26</v>
      </c>
      <c r="B291" s="1" t="n">
        <v>13</v>
      </c>
      <c r="C291" s="1" t="n">
        <v>39</v>
      </c>
      <c r="D291" s="1" t="s">
        <v>317</v>
      </c>
      <c r="E291" s="1" t="s">
        <v>377</v>
      </c>
      <c r="F291" s="1" t="s">
        <v>378</v>
      </c>
      <c r="G291" s="1" t="n">
        <f aca="false">IF(ISNUMBER(E291),E291,VALUE(SUBSTITUTE(E291,"#",".01")))</f>
        <v>20650.01</v>
      </c>
    </row>
    <row r="292" customFormat="false" ht="12.75" hidden="false" customHeight="false" outlineLevel="0" collapsed="false">
      <c r="A292" s="1" t="n">
        <v>25</v>
      </c>
      <c r="B292" s="1" t="n">
        <v>14</v>
      </c>
      <c r="C292" s="1" t="n">
        <v>39</v>
      </c>
      <c r="D292" s="1" t="s">
        <v>321</v>
      </c>
      <c r="E292" s="1" t="n">
        <v>2320.352</v>
      </c>
      <c r="F292" s="1" t="n">
        <v>135.532</v>
      </c>
      <c r="G292" s="1" t="n">
        <f aca="false">IF(ISNUMBER(E292),E292,VALUE(SUBSTITUTE(E292,"#",".01")))</f>
        <v>2320.352</v>
      </c>
    </row>
    <row r="293" customFormat="false" ht="12.75" hidden="false" customHeight="false" outlineLevel="0" collapsed="false">
      <c r="A293" s="1" t="n">
        <v>24</v>
      </c>
      <c r="B293" s="1" t="n">
        <v>15</v>
      </c>
      <c r="C293" s="1" t="n">
        <v>39</v>
      </c>
      <c r="D293" s="1" t="s">
        <v>328</v>
      </c>
      <c r="E293" s="1" t="n">
        <v>-12774.634</v>
      </c>
      <c r="F293" s="1" t="n">
        <v>112.645</v>
      </c>
      <c r="G293" s="1" t="n">
        <f aca="false">IF(ISNUMBER(E293),E293,VALUE(SUBSTITUTE(E293,"#",".01")))</f>
        <v>-12774.634</v>
      </c>
    </row>
    <row r="294" customFormat="false" ht="12.75" hidden="false" customHeight="false" outlineLevel="0" collapsed="false">
      <c r="A294" s="1" t="n">
        <v>23</v>
      </c>
      <c r="B294" s="1" t="n">
        <v>16</v>
      </c>
      <c r="C294" s="1" t="n">
        <v>39</v>
      </c>
      <c r="D294" s="1" t="s">
        <v>334</v>
      </c>
      <c r="E294" s="1" t="n">
        <v>-23162.667</v>
      </c>
      <c r="F294" s="1" t="n">
        <v>50</v>
      </c>
      <c r="G294" s="1" t="n">
        <f aca="false">IF(ISNUMBER(E294),E294,VALUE(SUBSTITUTE(E294,"#",".01")))</f>
        <v>-23162.667</v>
      </c>
    </row>
    <row r="295" customFormat="false" ht="12.75" hidden="false" customHeight="false" outlineLevel="0" collapsed="false">
      <c r="A295" s="1" t="n">
        <v>22</v>
      </c>
      <c r="B295" s="1" t="n">
        <v>17</v>
      </c>
      <c r="C295" s="1" t="n">
        <v>39</v>
      </c>
      <c r="D295" s="1" t="s">
        <v>341</v>
      </c>
      <c r="E295" s="1" t="n">
        <v>-29800.205</v>
      </c>
      <c r="F295" s="1" t="n">
        <v>1.732</v>
      </c>
      <c r="G295" s="1" t="n">
        <f aca="false">IF(ISNUMBER(E295),E295,VALUE(SUBSTITUTE(E295,"#",".01")))</f>
        <v>-29800.205</v>
      </c>
    </row>
    <row r="296" customFormat="false" ht="12.75" hidden="false" customHeight="false" outlineLevel="0" collapsed="false">
      <c r="A296" s="1" t="n">
        <v>21</v>
      </c>
      <c r="B296" s="1" t="n">
        <v>18</v>
      </c>
      <c r="C296" s="1" t="n">
        <v>39</v>
      </c>
      <c r="D296" s="1" t="s">
        <v>345</v>
      </c>
      <c r="E296" s="1" t="n">
        <v>-33242.19</v>
      </c>
      <c r="F296" s="1" t="n">
        <v>5</v>
      </c>
      <c r="G296" s="1" t="n">
        <f aca="false">IF(ISNUMBER(E296),E296,VALUE(SUBSTITUTE(E296,"#",".01")))</f>
        <v>-33242.19</v>
      </c>
    </row>
    <row r="297" customFormat="false" ht="12.75" hidden="false" customHeight="false" outlineLevel="0" collapsed="false">
      <c r="A297" s="1" t="n">
        <v>20</v>
      </c>
      <c r="B297" s="1" t="n">
        <v>19</v>
      </c>
      <c r="C297" s="1" t="n">
        <v>39</v>
      </c>
      <c r="D297" s="1" t="s">
        <v>351</v>
      </c>
      <c r="E297" s="1" t="n">
        <v>-33807.1901</v>
      </c>
      <c r="F297" s="1" t="n">
        <v>0.00458</v>
      </c>
      <c r="G297" s="1" t="n">
        <f aca="false">IF(ISNUMBER(E297),E297,VALUE(SUBSTITUTE(E297,"#",".01")))</f>
        <v>-33807.1901</v>
      </c>
    </row>
    <row r="298" customFormat="false" ht="12.75" hidden="false" customHeight="false" outlineLevel="0" collapsed="false">
      <c r="A298" s="1" t="n">
        <v>19</v>
      </c>
      <c r="B298" s="1" t="n">
        <v>20</v>
      </c>
      <c r="C298" s="1" t="n">
        <v>39</v>
      </c>
      <c r="D298" s="1" t="s">
        <v>358</v>
      </c>
      <c r="E298" s="1" t="n">
        <v>-27282.702</v>
      </c>
      <c r="F298" s="1" t="n">
        <v>0.596</v>
      </c>
      <c r="G298" s="1" t="n">
        <f aca="false">IF(ISNUMBER(E298),E298,VALUE(SUBSTITUTE(E298,"#",".01")))</f>
        <v>-27282.702</v>
      </c>
    </row>
    <row r="299" customFormat="false" ht="12.75" hidden="false" customHeight="false" outlineLevel="0" collapsed="false">
      <c r="A299" s="1" t="n">
        <v>18</v>
      </c>
      <c r="B299" s="1" t="n">
        <v>21</v>
      </c>
      <c r="C299" s="1" t="n">
        <v>39</v>
      </c>
      <c r="D299" s="1" t="s">
        <v>366</v>
      </c>
      <c r="E299" s="1" t="n">
        <v>-14172.709</v>
      </c>
      <c r="F299" s="1" t="n">
        <v>24</v>
      </c>
      <c r="G299" s="1" t="n">
        <f aca="false">IF(ISNUMBER(E299),E299,VALUE(SUBSTITUTE(E299,"#",".01")))</f>
        <v>-14172.709</v>
      </c>
    </row>
    <row r="300" customFormat="false" ht="12.75" hidden="false" customHeight="false" outlineLevel="0" collapsed="false">
      <c r="A300" s="1" t="n">
        <v>17</v>
      </c>
      <c r="B300" s="1" t="n">
        <v>22</v>
      </c>
      <c r="C300" s="1" t="n">
        <v>39</v>
      </c>
      <c r="D300" s="1" t="s">
        <v>374</v>
      </c>
      <c r="E300" s="1" t="s">
        <v>379</v>
      </c>
      <c r="F300" s="1" t="s">
        <v>349</v>
      </c>
      <c r="G300" s="1" t="n">
        <f aca="false">IF(ISNUMBER(E300),E300,VALUE(SUBSTITUTE(E300,"#",".01")))</f>
        <v>2200.01</v>
      </c>
    </row>
    <row r="301" customFormat="false" ht="12.75" hidden="false" customHeight="false" outlineLevel="0" collapsed="false">
      <c r="A301" s="1" t="n">
        <v>28</v>
      </c>
      <c r="B301" s="1" t="n">
        <v>12</v>
      </c>
      <c r="C301" s="1" t="n">
        <v>40</v>
      </c>
      <c r="D301" s="1" t="s">
        <v>310</v>
      </c>
      <c r="E301" s="1" t="s">
        <v>380</v>
      </c>
      <c r="F301" s="1" t="s">
        <v>337</v>
      </c>
      <c r="G301" s="1" t="n">
        <f aca="false">IF(ISNUMBER(E301),E301,VALUE(SUBSTITUTE(E301,"#",".01")))</f>
        <v>48350.01</v>
      </c>
    </row>
    <row r="302" customFormat="false" ht="12.75" hidden="false" customHeight="false" outlineLevel="0" collapsed="false">
      <c r="A302" s="1" t="n">
        <v>27</v>
      </c>
      <c r="B302" s="1" t="n">
        <v>13</v>
      </c>
      <c r="C302" s="1" t="n">
        <v>40</v>
      </c>
      <c r="D302" s="1" t="s">
        <v>317</v>
      </c>
      <c r="E302" s="1" t="s">
        <v>381</v>
      </c>
      <c r="F302" s="1" t="s">
        <v>378</v>
      </c>
      <c r="G302" s="1" t="n">
        <f aca="false">IF(ISNUMBER(E302),E302,VALUE(SUBSTITUTE(E302,"#",".01")))</f>
        <v>27590.01</v>
      </c>
    </row>
    <row r="303" customFormat="false" ht="12.75" hidden="false" customHeight="false" outlineLevel="0" collapsed="false">
      <c r="A303" s="1" t="n">
        <v>26</v>
      </c>
      <c r="B303" s="1" t="n">
        <v>14</v>
      </c>
      <c r="C303" s="1" t="n">
        <v>40</v>
      </c>
      <c r="D303" s="1" t="s">
        <v>321</v>
      </c>
      <c r="E303" s="1" t="n">
        <v>5429.679</v>
      </c>
      <c r="F303" s="1" t="n">
        <v>345.119</v>
      </c>
      <c r="G303" s="1" t="n">
        <f aca="false">IF(ISNUMBER(E303),E303,VALUE(SUBSTITUTE(E303,"#",".01")))</f>
        <v>5429.679</v>
      </c>
    </row>
    <row r="304" customFormat="false" ht="12.75" hidden="false" customHeight="false" outlineLevel="0" collapsed="false">
      <c r="A304" s="1" t="n">
        <v>25</v>
      </c>
      <c r="B304" s="1" t="n">
        <v>15</v>
      </c>
      <c r="C304" s="1" t="n">
        <v>40</v>
      </c>
      <c r="D304" s="1" t="s">
        <v>328</v>
      </c>
      <c r="E304" s="1" t="n">
        <v>-8114.37</v>
      </c>
      <c r="F304" s="1" t="n">
        <v>153.582</v>
      </c>
      <c r="G304" s="1" t="n">
        <f aca="false">IF(ISNUMBER(E304),E304,VALUE(SUBSTITUTE(E304,"#",".01")))</f>
        <v>-8114.37</v>
      </c>
    </row>
    <row r="305" customFormat="false" ht="12.75" hidden="false" customHeight="false" outlineLevel="0" collapsed="false">
      <c r="A305" s="1" t="n">
        <v>24</v>
      </c>
      <c r="B305" s="1" t="n">
        <v>16</v>
      </c>
      <c r="C305" s="1" t="n">
        <v>40</v>
      </c>
      <c r="D305" s="1" t="s">
        <v>334</v>
      </c>
      <c r="E305" s="1" t="n">
        <v>-22837.846</v>
      </c>
      <c r="F305" s="1" t="n">
        <v>3.982</v>
      </c>
      <c r="G305" s="1" t="n">
        <f aca="false">IF(ISNUMBER(E305),E305,VALUE(SUBSTITUTE(E305,"#",".01")))</f>
        <v>-22837.846</v>
      </c>
    </row>
    <row r="306" customFormat="false" ht="12.75" hidden="false" customHeight="false" outlineLevel="0" collapsed="false">
      <c r="A306" s="1" t="n">
        <v>23</v>
      </c>
      <c r="B306" s="1" t="n">
        <v>17</v>
      </c>
      <c r="C306" s="1" t="n">
        <v>40</v>
      </c>
      <c r="D306" s="1" t="s">
        <v>341</v>
      </c>
      <c r="E306" s="1" t="n">
        <v>-27557.813</v>
      </c>
      <c r="F306" s="1" t="n">
        <v>32.066</v>
      </c>
      <c r="G306" s="1" t="n">
        <f aca="false">IF(ISNUMBER(E306),E306,VALUE(SUBSTITUTE(E306,"#",".01")))</f>
        <v>-27557.813</v>
      </c>
    </row>
    <row r="307" customFormat="false" ht="12.75" hidden="false" customHeight="false" outlineLevel="0" collapsed="false">
      <c r="A307" s="1" t="n">
        <v>22</v>
      </c>
      <c r="B307" s="1" t="n">
        <v>18</v>
      </c>
      <c r="C307" s="1" t="n">
        <v>40</v>
      </c>
      <c r="D307" s="1" t="s">
        <v>345</v>
      </c>
      <c r="E307" s="1" t="n">
        <v>-35039.89464</v>
      </c>
      <c r="F307" s="1" t="n">
        <v>0.00224</v>
      </c>
      <c r="G307" s="1" t="n">
        <f aca="false">IF(ISNUMBER(E307),E307,VALUE(SUBSTITUTE(E307,"#",".01")))</f>
        <v>-35039.89464</v>
      </c>
    </row>
    <row r="308" customFormat="false" ht="12.75" hidden="false" customHeight="false" outlineLevel="0" collapsed="false">
      <c r="A308" s="1" t="n">
        <v>21</v>
      </c>
      <c r="B308" s="1" t="n">
        <v>19</v>
      </c>
      <c r="C308" s="1" t="n">
        <v>40</v>
      </c>
      <c r="D308" s="1" t="s">
        <v>351</v>
      </c>
      <c r="E308" s="1" t="n">
        <v>-33535.492</v>
      </c>
      <c r="F308" s="1" t="n">
        <v>0.056</v>
      </c>
      <c r="G308" s="1" t="n">
        <f aca="false">IF(ISNUMBER(E308),E308,VALUE(SUBSTITUTE(E308,"#",".01")))</f>
        <v>-33535.492</v>
      </c>
    </row>
    <row r="309" customFormat="false" ht="12.75" hidden="false" customHeight="false" outlineLevel="0" collapsed="false">
      <c r="A309" s="1" t="n">
        <v>20</v>
      </c>
      <c r="B309" s="1" t="n">
        <v>20</v>
      </c>
      <c r="C309" s="1" t="n">
        <v>40</v>
      </c>
      <c r="D309" s="1" t="s">
        <v>358</v>
      </c>
      <c r="E309" s="1" t="n">
        <v>-34846.384</v>
      </c>
      <c r="F309" s="1" t="n">
        <v>0.021</v>
      </c>
      <c r="G309" s="1" t="n">
        <f aca="false">IF(ISNUMBER(E309),E309,VALUE(SUBSTITUTE(E309,"#",".01")))</f>
        <v>-34846.384</v>
      </c>
    </row>
    <row r="310" customFormat="false" ht="12.75" hidden="false" customHeight="false" outlineLevel="0" collapsed="false">
      <c r="A310" s="1" t="n">
        <v>19</v>
      </c>
      <c r="B310" s="1" t="n">
        <v>21</v>
      </c>
      <c r="C310" s="1" t="n">
        <v>40</v>
      </c>
      <c r="D310" s="1" t="s">
        <v>366</v>
      </c>
      <c r="E310" s="1" t="n">
        <v>-20523.335</v>
      </c>
      <c r="F310" s="1" t="n">
        <v>2.828</v>
      </c>
      <c r="G310" s="1" t="n">
        <f aca="false">IF(ISNUMBER(E310),E310,VALUE(SUBSTITUTE(E310,"#",".01")))</f>
        <v>-20523.335</v>
      </c>
    </row>
    <row r="311" customFormat="false" ht="12.75" hidden="false" customHeight="false" outlineLevel="0" collapsed="false">
      <c r="A311" s="1" t="n">
        <v>18</v>
      </c>
      <c r="B311" s="1" t="n">
        <v>22</v>
      </c>
      <c r="C311" s="1" t="n">
        <v>40</v>
      </c>
      <c r="D311" s="1" t="s">
        <v>374</v>
      </c>
      <c r="E311" s="1" t="n">
        <v>-8850.384</v>
      </c>
      <c r="F311" s="1" t="n">
        <v>160</v>
      </c>
      <c r="G311" s="1" t="n">
        <f aca="false">IF(ISNUMBER(E311),E311,VALUE(SUBSTITUTE(E311,"#",".01")))</f>
        <v>-8850.384</v>
      </c>
    </row>
    <row r="312" customFormat="false" ht="12.75" hidden="false" customHeight="false" outlineLevel="0" collapsed="false">
      <c r="A312" s="1" t="n">
        <v>17</v>
      </c>
      <c r="B312" s="1" t="n">
        <v>23</v>
      </c>
      <c r="C312" s="1" t="n">
        <v>40</v>
      </c>
      <c r="D312" s="1" t="s">
        <v>382</v>
      </c>
      <c r="E312" s="1" t="s">
        <v>383</v>
      </c>
      <c r="F312" s="1" t="s">
        <v>371</v>
      </c>
      <c r="G312" s="1" t="n">
        <f aca="false">IF(ISNUMBER(E312),E312,VALUE(SUBSTITUTE(E312,"#",".01")))</f>
        <v>12170.01</v>
      </c>
    </row>
    <row r="313" customFormat="false" ht="12.75" hidden="false" customHeight="false" outlineLevel="0" collapsed="false">
      <c r="A313" s="1" t="n">
        <v>28</v>
      </c>
      <c r="B313" s="1" t="n">
        <v>13</v>
      </c>
      <c r="C313" s="1" t="n">
        <v>41</v>
      </c>
      <c r="D313" s="1" t="s">
        <v>317</v>
      </c>
      <c r="E313" s="1" t="s">
        <v>384</v>
      </c>
      <c r="F313" s="1" t="s">
        <v>337</v>
      </c>
      <c r="G313" s="1" t="n">
        <f aca="false">IF(ISNUMBER(E313),E313,VALUE(SUBSTITUTE(E313,"#",".01")))</f>
        <v>33420.01</v>
      </c>
    </row>
    <row r="314" customFormat="false" ht="12.75" hidden="false" customHeight="false" outlineLevel="0" collapsed="false">
      <c r="A314" s="1" t="n">
        <v>27</v>
      </c>
      <c r="B314" s="1" t="n">
        <v>14</v>
      </c>
      <c r="C314" s="1" t="n">
        <v>41</v>
      </c>
      <c r="D314" s="1" t="s">
        <v>321</v>
      </c>
      <c r="E314" s="1" t="n">
        <v>12119.668</v>
      </c>
      <c r="F314" s="1" t="n">
        <v>554.705</v>
      </c>
      <c r="G314" s="1" t="n">
        <f aca="false">IF(ISNUMBER(E314),E314,VALUE(SUBSTITUTE(E314,"#",".01")))</f>
        <v>12119.668</v>
      </c>
    </row>
    <row r="315" customFormat="false" ht="12.75" hidden="false" customHeight="false" outlineLevel="0" collapsed="false">
      <c r="A315" s="1" t="n">
        <v>26</v>
      </c>
      <c r="B315" s="1" t="n">
        <v>15</v>
      </c>
      <c r="C315" s="1" t="n">
        <v>41</v>
      </c>
      <c r="D315" s="1" t="s">
        <v>328</v>
      </c>
      <c r="E315" s="1" t="n">
        <v>-4979.767</v>
      </c>
      <c r="F315" s="1" t="n">
        <v>120.163</v>
      </c>
      <c r="G315" s="1" t="n">
        <f aca="false">IF(ISNUMBER(E315),E315,VALUE(SUBSTITUTE(E315,"#",".01")))</f>
        <v>-4979.767</v>
      </c>
    </row>
    <row r="316" customFormat="false" ht="12.75" hidden="false" customHeight="false" outlineLevel="0" collapsed="false">
      <c r="A316" s="1" t="n">
        <v>25</v>
      </c>
      <c r="B316" s="1" t="n">
        <v>16</v>
      </c>
      <c r="C316" s="1" t="n">
        <v>41</v>
      </c>
      <c r="D316" s="1" t="s">
        <v>334</v>
      </c>
      <c r="E316" s="1" t="n">
        <v>-19008.577</v>
      </c>
      <c r="F316" s="1" t="n">
        <v>4.099</v>
      </c>
      <c r="G316" s="1" t="n">
        <f aca="false">IF(ISNUMBER(E316),E316,VALUE(SUBSTITUTE(E316,"#",".01")))</f>
        <v>-19008.577</v>
      </c>
    </row>
    <row r="317" customFormat="false" ht="12.75" hidden="false" customHeight="false" outlineLevel="0" collapsed="false">
      <c r="A317" s="1" t="n">
        <v>24</v>
      </c>
      <c r="B317" s="1" t="n">
        <v>17</v>
      </c>
      <c r="C317" s="1" t="n">
        <v>41</v>
      </c>
      <c r="D317" s="1" t="s">
        <v>341</v>
      </c>
      <c r="E317" s="1" t="n">
        <v>-27307.189</v>
      </c>
      <c r="F317" s="1" t="n">
        <v>68.723</v>
      </c>
      <c r="G317" s="1" t="n">
        <f aca="false">IF(ISNUMBER(E317),E317,VALUE(SUBSTITUTE(E317,"#",".01")))</f>
        <v>-27307.189</v>
      </c>
    </row>
    <row r="318" customFormat="false" ht="12.75" hidden="false" customHeight="false" outlineLevel="0" collapsed="false">
      <c r="A318" s="1" t="n">
        <v>23</v>
      </c>
      <c r="B318" s="1" t="n">
        <v>18</v>
      </c>
      <c r="C318" s="1" t="n">
        <v>41</v>
      </c>
      <c r="D318" s="1" t="s">
        <v>345</v>
      </c>
      <c r="E318" s="1" t="n">
        <v>-33067.505</v>
      </c>
      <c r="F318" s="1" t="n">
        <v>0.347</v>
      </c>
      <c r="G318" s="1" t="n">
        <f aca="false">IF(ISNUMBER(E318),E318,VALUE(SUBSTITUTE(E318,"#",".01")))</f>
        <v>-33067.505</v>
      </c>
    </row>
    <row r="319" customFormat="false" ht="12.75" hidden="false" customHeight="false" outlineLevel="0" collapsed="false">
      <c r="A319" s="1" t="n">
        <v>22</v>
      </c>
      <c r="B319" s="1" t="n">
        <v>19</v>
      </c>
      <c r="C319" s="1" t="n">
        <v>41</v>
      </c>
      <c r="D319" s="1" t="s">
        <v>351</v>
      </c>
      <c r="E319" s="1" t="n">
        <v>-35559.54331</v>
      </c>
      <c r="F319" s="1" t="n">
        <v>0.0038</v>
      </c>
      <c r="G319" s="1" t="n">
        <f aca="false">IF(ISNUMBER(E319),E319,VALUE(SUBSTITUTE(E319,"#",".01")))</f>
        <v>-35559.54331</v>
      </c>
    </row>
    <row r="320" customFormat="false" ht="12.75" hidden="false" customHeight="false" outlineLevel="0" collapsed="false">
      <c r="A320" s="1" t="n">
        <v>21</v>
      </c>
      <c r="B320" s="1" t="n">
        <v>20</v>
      </c>
      <c r="C320" s="1" t="n">
        <v>41</v>
      </c>
      <c r="D320" s="1" t="s">
        <v>358</v>
      </c>
      <c r="E320" s="1" t="n">
        <v>-35137.89</v>
      </c>
      <c r="F320" s="1" t="n">
        <v>0.138</v>
      </c>
      <c r="G320" s="1" t="n">
        <f aca="false">IF(ISNUMBER(E320),E320,VALUE(SUBSTITUTE(E320,"#",".01")))</f>
        <v>-35137.89</v>
      </c>
    </row>
    <row r="321" customFormat="false" ht="12.75" hidden="false" customHeight="false" outlineLevel="0" collapsed="false">
      <c r="A321" s="1" t="n">
        <v>20</v>
      </c>
      <c r="B321" s="1" t="n">
        <v>21</v>
      </c>
      <c r="C321" s="1" t="n">
        <v>41</v>
      </c>
      <c r="D321" s="1" t="s">
        <v>366</v>
      </c>
      <c r="E321" s="1" t="n">
        <v>-28642.412</v>
      </c>
      <c r="F321" s="1" t="n">
        <v>0.083</v>
      </c>
      <c r="G321" s="1" t="n">
        <f aca="false">IF(ISNUMBER(E321),E321,VALUE(SUBSTITUTE(E321,"#",".01")))</f>
        <v>-28642.412</v>
      </c>
    </row>
    <row r="322" customFormat="false" ht="12.75" hidden="false" customHeight="false" outlineLevel="0" collapsed="false">
      <c r="A322" s="1" t="n">
        <v>19</v>
      </c>
      <c r="B322" s="1" t="n">
        <v>22</v>
      </c>
      <c r="C322" s="1" t="n">
        <v>41</v>
      </c>
      <c r="D322" s="1" t="s">
        <v>374</v>
      </c>
      <c r="E322" s="1" t="n">
        <v>-15697.537</v>
      </c>
      <c r="F322" s="1" t="n">
        <v>27.945</v>
      </c>
      <c r="G322" s="1" t="n">
        <f aca="false">IF(ISNUMBER(E322),E322,VALUE(SUBSTITUTE(E322,"#",".01")))</f>
        <v>-15697.537</v>
      </c>
    </row>
    <row r="323" customFormat="false" ht="12.75" hidden="false" customHeight="false" outlineLevel="0" collapsed="false">
      <c r="A323" s="1" t="n">
        <v>18</v>
      </c>
      <c r="B323" s="1" t="n">
        <v>23</v>
      </c>
      <c r="C323" s="1" t="n">
        <v>41</v>
      </c>
      <c r="D323" s="1" t="s">
        <v>382</v>
      </c>
      <c r="E323" s="1" t="s">
        <v>385</v>
      </c>
      <c r="F323" s="1" t="s">
        <v>349</v>
      </c>
      <c r="G323" s="1" t="n">
        <f aca="false">IF(ISNUMBER(E323),E323,VALUE(SUBSTITUTE(E323,"#",".01")))</f>
        <v>320.01</v>
      </c>
    </row>
    <row r="324" customFormat="false" ht="12.75" hidden="false" customHeight="false" outlineLevel="0" collapsed="false">
      <c r="A324" s="1" t="n">
        <v>29</v>
      </c>
      <c r="B324" s="1" t="n">
        <v>13</v>
      </c>
      <c r="C324" s="1" t="n">
        <v>42</v>
      </c>
      <c r="D324" s="1" t="s">
        <v>317</v>
      </c>
      <c r="E324" s="1" t="s">
        <v>386</v>
      </c>
      <c r="F324" s="1" t="s">
        <v>387</v>
      </c>
      <c r="G324" s="1" t="n">
        <f aca="false">IF(ISNUMBER(E324),E324,VALUE(SUBSTITUTE(E324,"#",".01")))</f>
        <v>40100.01</v>
      </c>
    </row>
    <row r="325" customFormat="false" ht="12.75" hidden="false" customHeight="false" outlineLevel="0" collapsed="false">
      <c r="A325" s="1" t="n">
        <v>28</v>
      </c>
      <c r="B325" s="1" t="n">
        <v>14</v>
      </c>
      <c r="C325" s="1" t="n">
        <v>42</v>
      </c>
      <c r="D325" s="1" t="s">
        <v>321</v>
      </c>
      <c r="E325" s="1" t="s">
        <v>388</v>
      </c>
      <c r="F325" s="1" t="s">
        <v>337</v>
      </c>
      <c r="G325" s="1" t="n">
        <f aca="false">IF(ISNUMBER(E325),E325,VALUE(SUBSTITUTE(E325,"#",".01")))</f>
        <v>16470.01</v>
      </c>
    </row>
    <row r="326" customFormat="false" ht="12.75" hidden="false" customHeight="false" outlineLevel="0" collapsed="false">
      <c r="A326" s="1" t="n">
        <v>27</v>
      </c>
      <c r="B326" s="1" t="n">
        <v>15</v>
      </c>
      <c r="C326" s="1" t="n">
        <v>42</v>
      </c>
      <c r="D326" s="1" t="s">
        <v>328</v>
      </c>
      <c r="E326" s="1" t="n">
        <v>1009.74</v>
      </c>
      <c r="F326" s="1" t="n">
        <v>314.379</v>
      </c>
      <c r="G326" s="1" t="n">
        <f aca="false">IF(ISNUMBER(E326),E326,VALUE(SUBSTITUTE(E326,"#",".01")))</f>
        <v>1009.74</v>
      </c>
    </row>
    <row r="327" customFormat="false" ht="12.75" hidden="false" customHeight="false" outlineLevel="0" collapsed="false">
      <c r="A327" s="1" t="n">
        <v>26</v>
      </c>
      <c r="B327" s="1" t="n">
        <v>16</v>
      </c>
      <c r="C327" s="1" t="n">
        <v>42</v>
      </c>
      <c r="D327" s="1" t="s">
        <v>334</v>
      </c>
      <c r="E327" s="1" t="n">
        <v>-17637.746</v>
      </c>
      <c r="F327" s="1" t="n">
        <v>2.794</v>
      </c>
      <c r="G327" s="1" t="n">
        <f aca="false">IF(ISNUMBER(E327),E327,VALUE(SUBSTITUTE(E327,"#",".01")))</f>
        <v>-17637.746</v>
      </c>
    </row>
    <row r="328" customFormat="false" ht="12.75" hidden="false" customHeight="false" outlineLevel="0" collapsed="false">
      <c r="A328" s="1" t="n">
        <v>25</v>
      </c>
      <c r="B328" s="1" t="n">
        <v>17</v>
      </c>
      <c r="C328" s="1" t="n">
        <v>42</v>
      </c>
      <c r="D328" s="1" t="s">
        <v>341</v>
      </c>
      <c r="E328" s="1" t="n">
        <v>-24831.767</v>
      </c>
      <c r="F328" s="1" t="n">
        <v>59.616</v>
      </c>
      <c r="G328" s="1" t="n">
        <f aca="false">IF(ISNUMBER(E328),E328,VALUE(SUBSTITUTE(E328,"#",".01")))</f>
        <v>-24831.767</v>
      </c>
    </row>
    <row r="329" customFormat="false" ht="12.75" hidden="false" customHeight="false" outlineLevel="0" collapsed="false">
      <c r="A329" s="1" t="n">
        <v>24</v>
      </c>
      <c r="B329" s="1" t="n">
        <v>18</v>
      </c>
      <c r="C329" s="1" t="n">
        <v>42</v>
      </c>
      <c r="D329" s="1" t="s">
        <v>345</v>
      </c>
      <c r="E329" s="1" t="n">
        <v>-34422.675</v>
      </c>
      <c r="F329" s="1" t="n">
        <v>5.775</v>
      </c>
      <c r="G329" s="1" t="n">
        <f aca="false">IF(ISNUMBER(E329),E329,VALUE(SUBSTITUTE(E329,"#",".01")))</f>
        <v>-34422.675</v>
      </c>
    </row>
    <row r="330" customFormat="false" ht="12.75" hidden="false" customHeight="false" outlineLevel="0" collapsed="false">
      <c r="A330" s="1" t="n">
        <v>23</v>
      </c>
      <c r="B330" s="1" t="n">
        <v>19</v>
      </c>
      <c r="C330" s="1" t="n">
        <v>42</v>
      </c>
      <c r="D330" s="1" t="s">
        <v>351</v>
      </c>
      <c r="E330" s="1" t="n">
        <v>-35022.026</v>
      </c>
      <c r="F330" s="1" t="n">
        <v>0.106</v>
      </c>
      <c r="G330" s="1" t="n">
        <f aca="false">IF(ISNUMBER(E330),E330,VALUE(SUBSTITUTE(E330,"#",".01")))</f>
        <v>-35022.026</v>
      </c>
    </row>
    <row r="331" customFormat="false" ht="12.75" hidden="false" customHeight="false" outlineLevel="0" collapsed="false">
      <c r="A331" s="1" t="n">
        <v>22</v>
      </c>
      <c r="B331" s="1" t="n">
        <v>20</v>
      </c>
      <c r="C331" s="1" t="n">
        <v>42</v>
      </c>
      <c r="D331" s="1" t="s">
        <v>358</v>
      </c>
      <c r="E331" s="1" t="n">
        <v>-38547.245</v>
      </c>
      <c r="F331" s="1" t="n">
        <v>0.149</v>
      </c>
      <c r="G331" s="1" t="n">
        <f aca="false">IF(ISNUMBER(E331),E331,VALUE(SUBSTITUTE(E331,"#",".01")))</f>
        <v>-38547.245</v>
      </c>
    </row>
    <row r="332" customFormat="false" ht="12.75" hidden="false" customHeight="false" outlineLevel="0" collapsed="false">
      <c r="A332" s="1" t="n">
        <v>21</v>
      </c>
      <c r="B332" s="1" t="n">
        <v>21</v>
      </c>
      <c r="C332" s="1" t="n">
        <v>42</v>
      </c>
      <c r="D332" s="1" t="s">
        <v>366</v>
      </c>
      <c r="E332" s="1" t="n">
        <v>-32121.153</v>
      </c>
      <c r="F332" s="1" t="n">
        <v>0.169</v>
      </c>
      <c r="G332" s="1" t="n">
        <f aca="false">IF(ISNUMBER(E332),E332,VALUE(SUBSTITUTE(E332,"#",".01")))</f>
        <v>-32121.153</v>
      </c>
    </row>
    <row r="333" customFormat="false" ht="12.75" hidden="false" customHeight="false" outlineLevel="0" collapsed="false">
      <c r="A333" s="1" t="n">
        <v>20</v>
      </c>
      <c r="B333" s="1" t="n">
        <v>22</v>
      </c>
      <c r="C333" s="1" t="n">
        <v>42</v>
      </c>
      <c r="D333" s="1" t="s">
        <v>374</v>
      </c>
      <c r="E333" s="1" t="n">
        <v>-25104.674</v>
      </c>
      <c r="F333" s="1" t="n">
        <v>0.277</v>
      </c>
      <c r="G333" s="1" t="n">
        <f aca="false">IF(ISNUMBER(E333),E333,VALUE(SUBSTITUTE(E333,"#",".01")))</f>
        <v>-25104.674</v>
      </c>
    </row>
    <row r="334" customFormat="false" ht="12.75" hidden="false" customHeight="false" outlineLevel="0" collapsed="false">
      <c r="A334" s="1" t="n">
        <v>19</v>
      </c>
      <c r="B334" s="1" t="n">
        <v>23</v>
      </c>
      <c r="C334" s="1" t="n">
        <v>42</v>
      </c>
      <c r="D334" s="1" t="s">
        <v>382</v>
      </c>
      <c r="E334" s="1" t="s">
        <v>389</v>
      </c>
      <c r="F334" s="1" t="s">
        <v>333</v>
      </c>
      <c r="G334" s="1" t="n">
        <f aca="false">IF(ISNUMBER(E334),E334,VALUE(SUBSTITUTE(E334,"#",".01")))</f>
        <v>-7620.01</v>
      </c>
    </row>
    <row r="335" customFormat="false" ht="12.75" hidden="false" customHeight="false" outlineLevel="0" collapsed="false">
      <c r="A335" s="1" t="n">
        <v>18</v>
      </c>
      <c r="B335" s="1" t="n">
        <v>24</v>
      </c>
      <c r="C335" s="1" t="n">
        <v>42</v>
      </c>
      <c r="D335" s="1" t="s">
        <v>390</v>
      </c>
      <c r="E335" s="1" t="s">
        <v>391</v>
      </c>
      <c r="F335" s="1" t="s">
        <v>378</v>
      </c>
      <c r="G335" s="1" t="n">
        <f aca="false">IF(ISNUMBER(E335),E335,VALUE(SUBSTITUTE(E335,"#",".01")))</f>
        <v>6730.01</v>
      </c>
    </row>
    <row r="336" customFormat="false" ht="12.75" hidden="false" customHeight="false" outlineLevel="0" collapsed="false">
      <c r="A336" s="1" t="n">
        <v>30</v>
      </c>
      <c r="B336" s="1" t="n">
        <v>13</v>
      </c>
      <c r="C336" s="1" t="n">
        <v>43</v>
      </c>
      <c r="D336" s="1" t="s">
        <v>317</v>
      </c>
      <c r="E336" s="1" t="s">
        <v>392</v>
      </c>
      <c r="F336" s="1" t="s">
        <v>312</v>
      </c>
      <c r="G336" s="1" t="n">
        <f aca="false">IF(ISNUMBER(E336),E336,VALUE(SUBSTITUTE(E336,"#",".01")))</f>
        <v>47020.01</v>
      </c>
    </row>
    <row r="337" customFormat="false" ht="12.75" hidden="false" customHeight="false" outlineLevel="0" collapsed="false">
      <c r="A337" s="1" t="n">
        <v>29</v>
      </c>
      <c r="B337" s="1" t="n">
        <v>14</v>
      </c>
      <c r="C337" s="1" t="n">
        <v>43</v>
      </c>
      <c r="D337" s="1" t="s">
        <v>321</v>
      </c>
      <c r="E337" s="1" t="s">
        <v>393</v>
      </c>
      <c r="F337" s="1" t="s">
        <v>316</v>
      </c>
      <c r="G337" s="1" t="n">
        <f aca="false">IF(ISNUMBER(E337),E337,VALUE(SUBSTITUTE(E337,"#",".01")))</f>
        <v>23101.01</v>
      </c>
    </row>
    <row r="338" customFormat="false" ht="12.75" hidden="false" customHeight="false" outlineLevel="0" collapsed="false">
      <c r="A338" s="1" t="n">
        <v>28</v>
      </c>
      <c r="B338" s="1" t="n">
        <v>15</v>
      </c>
      <c r="C338" s="1" t="n">
        <v>43</v>
      </c>
      <c r="D338" s="1" t="s">
        <v>328</v>
      </c>
      <c r="E338" s="1" t="n">
        <v>4679.826</v>
      </c>
      <c r="F338" s="1" t="n">
        <v>554.705</v>
      </c>
      <c r="G338" s="1" t="n">
        <f aca="false">IF(ISNUMBER(E338),E338,VALUE(SUBSTITUTE(E338,"#",".01")))</f>
        <v>4679.826</v>
      </c>
    </row>
    <row r="339" customFormat="false" ht="12.75" hidden="false" customHeight="false" outlineLevel="0" collapsed="false">
      <c r="A339" s="1" t="n">
        <v>27</v>
      </c>
      <c r="B339" s="1" t="n">
        <v>16</v>
      </c>
      <c r="C339" s="1" t="n">
        <v>43</v>
      </c>
      <c r="D339" s="1" t="s">
        <v>334</v>
      </c>
      <c r="E339" s="1" t="n">
        <v>-12195.459</v>
      </c>
      <c r="F339" s="1" t="n">
        <v>4.97</v>
      </c>
      <c r="G339" s="1" t="n">
        <f aca="false">IF(ISNUMBER(E339),E339,VALUE(SUBSTITUTE(E339,"#",".01")))</f>
        <v>-12195.459</v>
      </c>
    </row>
    <row r="340" customFormat="false" ht="12.75" hidden="false" customHeight="false" outlineLevel="0" collapsed="false">
      <c r="A340" s="1" t="n">
        <v>26</v>
      </c>
      <c r="B340" s="1" t="n">
        <v>17</v>
      </c>
      <c r="C340" s="1" t="n">
        <v>43</v>
      </c>
      <c r="D340" s="1" t="s">
        <v>341</v>
      </c>
      <c r="E340" s="1" t="n">
        <v>-24159.508</v>
      </c>
      <c r="F340" s="1" t="n">
        <v>61.858</v>
      </c>
      <c r="G340" s="1" t="n">
        <f aca="false">IF(ISNUMBER(E340),E340,VALUE(SUBSTITUTE(E340,"#",".01")))</f>
        <v>-24159.508</v>
      </c>
    </row>
    <row r="341" customFormat="false" ht="12.75" hidden="false" customHeight="false" outlineLevel="0" collapsed="false">
      <c r="A341" s="1" t="n">
        <v>25</v>
      </c>
      <c r="B341" s="1" t="n">
        <v>18</v>
      </c>
      <c r="C341" s="1" t="n">
        <v>43</v>
      </c>
      <c r="D341" s="1" t="s">
        <v>345</v>
      </c>
      <c r="E341" s="1" t="n">
        <v>-32009.808</v>
      </c>
      <c r="F341" s="1" t="n">
        <v>5.31</v>
      </c>
      <c r="G341" s="1" t="n">
        <f aca="false">IF(ISNUMBER(E341),E341,VALUE(SUBSTITUTE(E341,"#",".01")))</f>
        <v>-32009.808</v>
      </c>
    </row>
    <row r="342" customFormat="false" ht="12.75" hidden="false" customHeight="false" outlineLevel="0" collapsed="false">
      <c r="A342" s="1" t="n">
        <v>24</v>
      </c>
      <c r="B342" s="1" t="n">
        <v>19</v>
      </c>
      <c r="C342" s="1" t="n">
        <v>43</v>
      </c>
      <c r="D342" s="1" t="s">
        <v>351</v>
      </c>
      <c r="E342" s="1" t="n">
        <v>-36575.389</v>
      </c>
      <c r="F342" s="1" t="n">
        <v>0.41</v>
      </c>
      <c r="G342" s="1" t="n">
        <f aca="false">IF(ISNUMBER(E342),E342,VALUE(SUBSTITUTE(E342,"#",".01")))</f>
        <v>-36575.389</v>
      </c>
    </row>
    <row r="343" customFormat="false" ht="12.75" hidden="false" customHeight="false" outlineLevel="0" collapsed="false">
      <c r="A343" s="1" t="n">
        <v>23</v>
      </c>
      <c r="B343" s="1" t="n">
        <v>20</v>
      </c>
      <c r="C343" s="1" t="n">
        <v>43</v>
      </c>
      <c r="D343" s="1" t="s">
        <v>358</v>
      </c>
      <c r="E343" s="1" t="n">
        <v>-38408.822</v>
      </c>
      <c r="F343" s="1" t="n">
        <v>0.228</v>
      </c>
      <c r="G343" s="1" t="n">
        <f aca="false">IF(ISNUMBER(E343),E343,VALUE(SUBSTITUTE(E343,"#",".01")))</f>
        <v>-38408.822</v>
      </c>
    </row>
    <row r="344" customFormat="false" ht="12.75" hidden="false" customHeight="false" outlineLevel="0" collapsed="false">
      <c r="A344" s="1" t="n">
        <v>22</v>
      </c>
      <c r="B344" s="1" t="n">
        <v>21</v>
      </c>
      <c r="C344" s="1" t="n">
        <v>43</v>
      </c>
      <c r="D344" s="1" t="s">
        <v>366</v>
      </c>
      <c r="E344" s="1" t="n">
        <v>-36188.102</v>
      </c>
      <c r="F344" s="1" t="n">
        <v>1.863</v>
      </c>
      <c r="G344" s="1" t="n">
        <f aca="false">IF(ISNUMBER(E344),E344,VALUE(SUBSTITUTE(E344,"#",".01")))</f>
        <v>-36188.102</v>
      </c>
    </row>
    <row r="345" customFormat="false" ht="12.75" hidden="false" customHeight="false" outlineLevel="0" collapsed="false">
      <c r="A345" s="1" t="n">
        <v>21</v>
      </c>
      <c r="B345" s="1" t="n">
        <v>22</v>
      </c>
      <c r="C345" s="1" t="n">
        <v>43</v>
      </c>
      <c r="D345" s="1" t="s">
        <v>374</v>
      </c>
      <c r="E345" s="1" t="n">
        <v>-29321.082</v>
      </c>
      <c r="F345" s="1" t="n">
        <v>7.245</v>
      </c>
      <c r="G345" s="1" t="n">
        <f aca="false">IF(ISNUMBER(E345),E345,VALUE(SUBSTITUTE(E345,"#",".01")))</f>
        <v>-29321.082</v>
      </c>
    </row>
    <row r="346" customFormat="false" ht="12.75" hidden="false" customHeight="false" outlineLevel="0" collapsed="false">
      <c r="A346" s="1" t="n">
        <v>20</v>
      </c>
      <c r="B346" s="1" t="n">
        <v>23</v>
      </c>
      <c r="C346" s="1" t="n">
        <v>43</v>
      </c>
      <c r="D346" s="1" t="s">
        <v>382</v>
      </c>
      <c r="E346" s="1" t="n">
        <v>-17916.356</v>
      </c>
      <c r="F346" s="1" t="n">
        <v>42.849</v>
      </c>
      <c r="G346" s="1" t="n">
        <f aca="false">IF(ISNUMBER(E346),E346,VALUE(SUBSTITUTE(E346,"#",".01")))</f>
        <v>-17916.356</v>
      </c>
    </row>
    <row r="347" customFormat="false" ht="12.75" hidden="false" customHeight="false" outlineLevel="0" collapsed="false">
      <c r="A347" s="1" t="n">
        <v>19</v>
      </c>
      <c r="B347" s="1" t="n">
        <v>24</v>
      </c>
      <c r="C347" s="1" t="n">
        <v>43</v>
      </c>
      <c r="D347" s="1" t="s">
        <v>390</v>
      </c>
      <c r="E347" s="1" t="s">
        <v>394</v>
      </c>
      <c r="F347" s="1" t="s">
        <v>378</v>
      </c>
      <c r="G347" s="1" t="n">
        <f aca="false">IF(ISNUMBER(E347),E347,VALUE(SUBSTITUTE(E347,"#",".01")))</f>
        <v>-1970.01</v>
      </c>
    </row>
    <row r="348" customFormat="false" ht="12.75" hidden="false" customHeight="false" outlineLevel="0" collapsed="false">
      <c r="A348" s="1" t="n">
        <v>30</v>
      </c>
      <c r="B348" s="1" t="n">
        <v>14</v>
      </c>
      <c r="C348" s="1" t="n">
        <v>44</v>
      </c>
      <c r="D348" s="1" t="s">
        <v>321</v>
      </c>
      <c r="E348" s="1" t="s">
        <v>395</v>
      </c>
      <c r="F348" s="1" t="s">
        <v>316</v>
      </c>
      <c r="G348" s="1" t="n">
        <f aca="false">IF(ISNUMBER(E348),E348,VALUE(SUBSTITUTE(E348,"#",".01")))</f>
        <v>28513.01</v>
      </c>
    </row>
    <row r="349" customFormat="false" ht="12.75" hidden="false" customHeight="false" outlineLevel="0" collapsed="false">
      <c r="A349" s="1" t="n">
        <v>29</v>
      </c>
      <c r="B349" s="1" t="n">
        <v>15</v>
      </c>
      <c r="C349" s="1" t="n">
        <v>44</v>
      </c>
      <c r="D349" s="1" t="s">
        <v>328</v>
      </c>
      <c r="E349" s="1" t="s">
        <v>396</v>
      </c>
      <c r="F349" s="1" t="s">
        <v>337</v>
      </c>
      <c r="G349" s="1" t="n">
        <f aca="false">IF(ISNUMBER(E349),E349,VALUE(SUBSTITUTE(E349,"#",".01")))</f>
        <v>10450.01</v>
      </c>
    </row>
    <row r="350" customFormat="false" ht="12.75" hidden="false" customHeight="false" outlineLevel="0" collapsed="false">
      <c r="A350" s="1" t="n">
        <v>28</v>
      </c>
      <c r="B350" s="1" t="n">
        <v>16</v>
      </c>
      <c r="C350" s="1" t="n">
        <v>44</v>
      </c>
      <c r="D350" s="1" t="s">
        <v>334</v>
      </c>
      <c r="E350" s="1" t="n">
        <v>-9204.233</v>
      </c>
      <c r="F350" s="1" t="n">
        <v>5.216</v>
      </c>
      <c r="G350" s="1" t="n">
        <f aca="false">IF(ISNUMBER(E350),E350,VALUE(SUBSTITUTE(E350,"#",".01")))</f>
        <v>-9204.233</v>
      </c>
    </row>
    <row r="351" customFormat="false" ht="12.75" hidden="false" customHeight="false" outlineLevel="0" collapsed="false">
      <c r="A351" s="1" t="n">
        <v>27</v>
      </c>
      <c r="B351" s="1" t="n">
        <v>17</v>
      </c>
      <c r="C351" s="1" t="n">
        <v>44</v>
      </c>
      <c r="D351" s="1" t="s">
        <v>341</v>
      </c>
      <c r="E351" s="1" t="n">
        <v>-20384.523</v>
      </c>
      <c r="F351" s="1" t="n">
        <v>136.321</v>
      </c>
      <c r="G351" s="1" t="n">
        <f aca="false">IF(ISNUMBER(E351),E351,VALUE(SUBSTITUTE(E351,"#",".01")))</f>
        <v>-20384.523</v>
      </c>
    </row>
    <row r="352" customFormat="false" ht="12.75" hidden="false" customHeight="false" outlineLevel="0" collapsed="false">
      <c r="A352" s="1" t="n">
        <v>26</v>
      </c>
      <c r="B352" s="1" t="n">
        <v>18</v>
      </c>
      <c r="C352" s="1" t="n">
        <v>44</v>
      </c>
      <c r="D352" s="1" t="s">
        <v>345</v>
      </c>
      <c r="E352" s="1" t="n">
        <v>-32673.255</v>
      </c>
      <c r="F352" s="1" t="n">
        <v>1.584</v>
      </c>
      <c r="G352" s="1" t="n">
        <f aca="false">IF(ISNUMBER(E352),E352,VALUE(SUBSTITUTE(E352,"#",".01")))</f>
        <v>-32673.255</v>
      </c>
    </row>
    <row r="353" customFormat="false" ht="12.75" hidden="false" customHeight="false" outlineLevel="0" collapsed="false">
      <c r="A353" s="1" t="n">
        <v>25</v>
      </c>
      <c r="B353" s="1" t="n">
        <v>19</v>
      </c>
      <c r="C353" s="1" t="n">
        <v>44</v>
      </c>
      <c r="D353" s="1" t="s">
        <v>351</v>
      </c>
      <c r="E353" s="1" t="n">
        <v>-35781.492</v>
      </c>
      <c r="F353" s="1" t="n">
        <v>0.419</v>
      </c>
      <c r="G353" s="1" t="n">
        <f aca="false">IF(ISNUMBER(E353),E353,VALUE(SUBSTITUTE(E353,"#",".01")))</f>
        <v>-35781.492</v>
      </c>
    </row>
    <row r="354" customFormat="false" ht="12.75" hidden="false" customHeight="false" outlineLevel="0" collapsed="false">
      <c r="A354" s="1" t="n">
        <v>24</v>
      </c>
      <c r="B354" s="1" t="n">
        <v>20</v>
      </c>
      <c r="C354" s="1" t="n">
        <v>44</v>
      </c>
      <c r="D354" s="1" t="s">
        <v>358</v>
      </c>
      <c r="E354" s="1" t="n">
        <v>-41468.675</v>
      </c>
      <c r="F354" s="1" t="n">
        <v>0.325</v>
      </c>
      <c r="G354" s="1" t="n">
        <f aca="false">IF(ISNUMBER(E354),E354,VALUE(SUBSTITUTE(E354,"#",".01")))</f>
        <v>-41468.675</v>
      </c>
    </row>
    <row r="355" customFormat="false" ht="12.75" hidden="false" customHeight="false" outlineLevel="0" collapsed="false">
      <c r="A355" s="1" t="n">
        <v>23</v>
      </c>
      <c r="B355" s="1" t="n">
        <v>21</v>
      </c>
      <c r="C355" s="1" t="n">
        <v>44</v>
      </c>
      <c r="D355" s="1" t="s">
        <v>366</v>
      </c>
      <c r="E355" s="1" t="n">
        <v>-37815.985</v>
      </c>
      <c r="F355" s="1" t="n">
        <v>1.756</v>
      </c>
      <c r="G355" s="1" t="n">
        <f aca="false">IF(ISNUMBER(E355),E355,VALUE(SUBSTITUTE(E355,"#",".01")))</f>
        <v>-37815.985</v>
      </c>
    </row>
    <row r="356" customFormat="false" ht="12.75" hidden="false" customHeight="false" outlineLevel="0" collapsed="false">
      <c r="A356" s="1" t="n">
        <v>22</v>
      </c>
      <c r="B356" s="1" t="n">
        <v>22</v>
      </c>
      <c r="C356" s="1" t="n">
        <v>44</v>
      </c>
      <c r="D356" s="1" t="s">
        <v>374</v>
      </c>
      <c r="E356" s="1" t="n">
        <v>-37548.569</v>
      </c>
      <c r="F356" s="1" t="n">
        <v>0.7</v>
      </c>
      <c r="G356" s="1" t="n">
        <f aca="false">IF(ISNUMBER(E356),E356,VALUE(SUBSTITUTE(E356,"#",".01")))</f>
        <v>-37548.569</v>
      </c>
    </row>
    <row r="357" customFormat="false" ht="12.75" hidden="false" customHeight="false" outlineLevel="0" collapsed="false">
      <c r="A357" s="1" t="n">
        <v>21</v>
      </c>
      <c r="B357" s="1" t="n">
        <v>23</v>
      </c>
      <c r="C357" s="1" t="n">
        <v>44</v>
      </c>
      <c r="D357" s="1" t="s">
        <v>382</v>
      </c>
      <c r="E357" s="1" t="n">
        <v>-24116.38</v>
      </c>
      <c r="F357" s="1" t="n">
        <v>181.641</v>
      </c>
      <c r="G357" s="1" t="n">
        <f aca="false">IF(ISNUMBER(E357),E357,VALUE(SUBSTITUTE(E357,"#",".01")))</f>
        <v>-24116.38</v>
      </c>
    </row>
    <row r="358" customFormat="false" ht="12.75" hidden="false" customHeight="false" outlineLevel="0" collapsed="false">
      <c r="A358" s="1" t="n">
        <v>20</v>
      </c>
      <c r="B358" s="1" t="n">
        <v>24</v>
      </c>
      <c r="C358" s="1" t="n">
        <v>44</v>
      </c>
      <c r="D358" s="1" t="s">
        <v>390</v>
      </c>
      <c r="E358" s="1" t="s">
        <v>397</v>
      </c>
      <c r="F358" s="1" t="s">
        <v>371</v>
      </c>
      <c r="G358" s="1" t="n">
        <f aca="false">IF(ISNUMBER(E358),E358,VALUE(SUBSTITUTE(E358,"#",".01")))</f>
        <v>-13360.01</v>
      </c>
    </row>
    <row r="359" customFormat="false" ht="12.75" hidden="false" customHeight="false" outlineLevel="0" collapsed="false">
      <c r="A359" s="1" t="n">
        <v>19</v>
      </c>
      <c r="B359" s="1" t="n">
        <v>25</v>
      </c>
      <c r="C359" s="1" t="n">
        <v>44</v>
      </c>
      <c r="D359" s="1" t="s">
        <v>398</v>
      </c>
      <c r="E359" s="1" t="s">
        <v>399</v>
      </c>
      <c r="F359" s="1" t="s">
        <v>337</v>
      </c>
      <c r="G359" s="1" t="n">
        <f aca="false">IF(ISNUMBER(E359),E359,VALUE(SUBSTITUTE(E359,"#",".01")))</f>
        <v>7030.01</v>
      </c>
    </row>
    <row r="360" customFormat="false" ht="12.75" hidden="false" customHeight="false" outlineLevel="0" collapsed="false">
      <c r="A360" s="1" t="n">
        <v>31</v>
      </c>
      <c r="B360" s="1" t="n">
        <v>14</v>
      </c>
      <c r="C360" s="1" t="n">
        <v>45</v>
      </c>
      <c r="D360" s="1" t="s">
        <v>321</v>
      </c>
      <c r="E360" s="1" t="s">
        <v>400</v>
      </c>
      <c r="F360" s="1" t="s">
        <v>401</v>
      </c>
      <c r="G360" s="1" t="n">
        <f aca="false">IF(ISNUMBER(E360),E360,VALUE(SUBSTITUTE(E360,"#",".01")))</f>
        <v>37490.01</v>
      </c>
    </row>
    <row r="361" customFormat="false" ht="12.75" hidden="false" customHeight="false" outlineLevel="0" collapsed="false">
      <c r="A361" s="1" t="n">
        <v>30</v>
      </c>
      <c r="B361" s="1" t="n">
        <v>15</v>
      </c>
      <c r="C361" s="1" t="n">
        <v>45</v>
      </c>
      <c r="D361" s="1" t="s">
        <v>328</v>
      </c>
      <c r="E361" s="1" t="s">
        <v>402</v>
      </c>
      <c r="F361" s="1" t="s">
        <v>337</v>
      </c>
      <c r="G361" s="1" t="n">
        <f aca="false">IF(ISNUMBER(E361),E361,VALUE(SUBSTITUTE(E361,"#",".01")))</f>
        <v>15600.01</v>
      </c>
    </row>
    <row r="362" customFormat="false" ht="12.75" hidden="false" customHeight="false" outlineLevel="0" collapsed="false">
      <c r="A362" s="1" t="n">
        <v>29</v>
      </c>
      <c r="B362" s="1" t="n">
        <v>16</v>
      </c>
      <c r="C362" s="1" t="n">
        <v>45</v>
      </c>
      <c r="D362" s="1" t="s">
        <v>334</v>
      </c>
      <c r="E362" s="1" t="n">
        <v>-3989.589</v>
      </c>
      <c r="F362" s="1" t="n">
        <v>1035.356</v>
      </c>
      <c r="G362" s="1" t="n">
        <f aca="false">IF(ISNUMBER(E362),E362,VALUE(SUBSTITUTE(E362,"#",".01")))</f>
        <v>-3989.589</v>
      </c>
    </row>
    <row r="363" customFormat="false" ht="12.75" hidden="false" customHeight="false" outlineLevel="0" collapsed="false">
      <c r="A363" s="1" t="n">
        <v>28</v>
      </c>
      <c r="B363" s="1" t="n">
        <v>17</v>
      </c>
      <c r="C363" s="1" t="n">
        <v>45</v>
      </c>
      <c r="D363" s="1" t="s">
        <v>341</v>
      </c>
      <c r="E363" s="1" t="n">
        <v>-18262.543</v>
      </c>
      <c r="F363" s="1" t="n">
        <v>136.163</v>
      </c>
      <c r="G363" s="1" t="n">
        <f aca="false">IF(ISNUMBER(E363),E363,VALUE(SUBSTITUTE(E363,"#",".01")))</f>
        <v>-18262.543</v>
      </c>
    </row>
    <row r="364" customFormat="false" ht="12.75" hidden="false" customHeight="false" outlineLevel="0" collapsed="false">
      <c r="A364" s="1" t="n">
        <v>27</v>
      </c>
      <c r="B364" s="1" t="n">
        <v>18</v>
      </c>
      <c r="C364" s="1" t="n">
        <v>45</v>
      </c>
      <c r="D364" s="1" t="s">
        <v>345</v>
      </c>
      <c r="E364" s="1" t="n">
        <v>-29770.796</v>
      </c>
      <c r="F364" s="1" t="n">
        <v>0.512</v>
      </c>
      <c r="G364" s="1" t="n">
        <f aca="false">IF(ISNUMBER(E364),E364,VALUE(SUBSTITUTE(E364,"#",".01")))</f>
        <v>-29770.796</v>
      </c>
    </row>
    <row r="365" customFormat="false" ht="12.75" hidden="false" customHeight="false" outlineLevel="0" collapsed="false">
      <c r="A365" s="1" t="n">
        <v>26</v>
      </c>
      <c r="B365" s="1" t="n">
        <v>19</v>
      </c>
      <c r="C365" s="1" t="n">
        <v>45</v>
      </c>
      <c r="D365" s="1" t="s">
        <v>351</v>
      </c>
      <c r="E365" s="1" t="n">
        <v>-36615.638</v>
      </c>
      <c r="F365" s="1" t="n">
        <v>0.522</v>
      </c>
      <c r="G365" s="1" t="n">
        <f aca="false">IF(ISNUMBER(E365),E365,VALUE(SUBSTITUTE(E365,"#",".01")))</f>
        <v>-36615.638</v>
      </c>
    </row>
    <row r="366" customFormat="false" ht="12.75" hidden="false" customHeight="false" outlineLevel="0" collapsed="false">
      <c r="A366" s="1" t="n">
        <v>25</v>
      </c>
      <c r="B366" s="1" t="n">
        <v>20</v>
      </c>
      <c r="C366" s="1" t="n">
        <v>45</v>
      </c>
      <c r="D366" s="1" t="s">
        <v>358</v>
      </c>
      <c r="E366" s="1" t="n">
        <v>-40812.174</v>
      </c>
      <c r="F366" s="1" t="n">
        <v>0.366</v>
      </c>
      <c r="G366" s="1" t="n">
        <f aca="false">IF(ISNUMBER(E366),E366,VALUE(SUBSTITUTE(E366,"#",".01")))</f>
        <v>-40812.174</v>
      </c>
    </row>
    <row r="367" customFormat="false" ht="12.75" hidden="false" customHeight="false" outlineLevel="0" collapsed="false">
      <c r="A367" s="1" t="n">
        <v>24</v>
      </c>
      <c r="B367" s="1" t="n">
        <v>21</v>
      </c>
      <c r="C367" s="1" t="n">
        <v>45</v>
      </c>
      <c r="D367" s="1" t="s">
        <v>366</v>
      </c>
      <c r="E367" s="1" t="n">
        <v>-41071.896</v>
      </c>
      <c r="F367" s="1" t="n">
        <v>0.675</v>
      </c>
      <c r="G367" s="1" t="n">
        <f aca="false">IF(ISNUMBER(E367),E367,VALUE(SUBSTITUTE(E367,"#",".01")))</f>
        <v>-41071.896</v>
      </c>
    </row>
    <row r="368" customFormat="false" ht="12.75" hidden="false" customHeight="false" outlineLevel="0" collapsed="false">
      <c r="A368" s="1" t="n">
        <v>23</v>
      </c>
      <c r="B368" s="1" t="n">
        <v>22</v>
      </c>
      <c r="C368" s="1" t="n">
        <v>45</v>
      </c>
      <c r="D368" s="1" t="s">
        <v>374</v>
      </c>
      <c r="E368" s="1" t="n">
        <v>-39009.84</v>
      </c>
      <c r="F368" s="1" t="n">
        <v>0.845</v>
      </c>
      <c r="G368" s="1" t="n">
        <f aca="false">IF(ISNUMBER(E368),E368,VALUE(SUBSTITUTE(E368,"#",".01")))</f>
        <v>-39009.84</v>
      </c>
    </row>
    <row r="369" customFormat="false" ht="12.75" hidden="false" customHeight="false" outlineLevel="0" collapsed="false">
      <c r="A369" s="1" t="n">
        <v>22</v>
      </c>
      <c r="B369" s="1" t="n">
        <v>23</v>
      </c>
      <c r="C369" s="1" t="n">
        <v>45</v>
      </c>
      <c r="D369" s="1" t="s">
        <v>382</v>
      </c>
      <c r="E369" s="1" t="n">
        <v>-31886.016</v>
      </c>
      <c r="F369" s="1" t="n">
        <v>0.872</v>
      </c>
      <c r="G369" s="1" t="n">
        <f aca="false">IF(ISNUMBER(E369),E369,VALUE(SUBSTITUTE(E369,"#",".01")))</f>
        <v>-31886.016</v>
      </c>
    </row>
    <row r="370" customFormat="false" ht="12.75" hidden="false" customHeight="false" outlineLevel="0" collapsed="false">
      <c r="A370" s="1" t="n">
        <v>21</v>
      </c>
      <c r="B370" s="1" t="n">
        <v>24</v>
      </c>
      <c r="C370" s="1" t="n">
        <v>45</v>
      </c>
      <c r="D370" s="1" t="s">
        <v>390</v>
      </c>
      <c r="E370" s="1" t="n">
        <v>-19514.799</v>
      </c>
      <c r="F370" s="1" t="n">
        <v>35.397</v>
      </c>
      <c r="G370" s="1" t="n">
        <f aca="false">IF(ISNUMBER(E370),E370,VALUE(SUBSTITUTE(E370,"#",".01")))</f>
        <v>-19514.799</v>
      </c>
    </row>
    <row r="371" customFormat="false" ht="12.75" hidden="false" customHeight="false" outlineLevel="0" collapsed="false">
      <c r="A371" s="1" t="n">
        <v>20</v>
      </c>
      <c r="B371" s="1" t="n">
        <v>25</v>
      </c>
      <c r="C371" s="1" t="n">
        <v>45</v>
      </c>
      <c r="D371" s="1" t="s">
        <v>398</v>
      </c>
      <c r="E371" s="1" t="s">
        <v>403</v>
      </c>
      <c r="F371" s="1" t="s">
        <v>378</v>
      </c>
      <c r="G371" s="1" t="n">
        <f aca="false">IF(ISNUMBER(E371),E371,VALUE(SUBSTITUTE(E371,"#",".01")))</f>
        <v>-5250.01</v>
      </c>
    </row>
    <row r="372" customFormat="false" ht="12.75" hidden="false" customHeight="false" outlineLevel="0" collapsed="false">
      <c r="A372" s="1" t="n">
        <v>19</v>
      </c>
      <c r="B372" s="1" t="n">
        <v>26</v>
      </c>
      <c r="C372" s="1" t="n">
        <v>45</v>
      </c>
      <c r="D372" s="1" t="s">
        <v>404</v>
      </c>
      <c r="E372" s="1" t="s">
        <v>405</v>
      </c>
      <c r="F372" s="1" t="s">
        <v>378</v>
      </c>
      <c r="G372" s="1" t="n">
        <f aca="false">IF(ISNUMBER(E372),E372,VALUE(SUBSTITUTE(E372,"#",".01")))</f>
        <v>13762.01</v>
      </c>
    </row>
    <row r="373" customFormat="false" ht="12.75" hidden="false" customHeight="false" outlineLevel="0" collapsed="false">
      <c r="A373" s="1" t="n">
        <v>31</v>
      </c>
      <c r="B373" s="1" t="n">
        <v>15</v>
      </c>
      <c r="C373" s="1" t="n">
        <v>46</v>
      </c>
      <c r="D373" s="1" t="s">
        <v>328</v>
      </c>
      <c r="E373" s="1" t="s">
        <v>406</v>
      </c>
      <c r="F373" s="1" t="s">
        <v>401</v>
      </c>
      <c r="G373" s="1" t="n">
        <f aca="false">IF(ISNUMBER(E373),E373,VALUE(SUBSTITUTE(E373,"#",".01")))</f>
        <v>22970.01</v>
      </c>
    </row>
    <row r="374" customFormat="false" ht="12.75" hidden="false" customHeight="false" outlineLevel="0" collapsed="false">
      <c r="A374" s="1" t="n">
        <v>30</v>
      </c>
      <c r="B374" s="1" t="n">
        <v>16</v>
      </c>
      <c r="C374" s="1" t="n">
        <v>46</v>
      </c>
      <c r="D374" s="1" t="s">
        <v>334</v>
      </c>
      <c r="E374" s="1" t="s">
        <v>407</v>
      </c>
      <c r="F374" s="1" t="s">
        <v>337</v>
      </c>
      <c r="G374" s="1" t="n">
        <f aca="false">IF(ISNUMBER(E374),E374,VALUE(SUBSTITUTE(E374,"#",".01")))</f>
        <v>340.01</v>
      </c>
    </row>
    <row r="375" customFormat="false" ht="12.75" hidden="false" customHeight="false" outlineLevel="0" collapsed="false">
      <c r="A375" s="1" t="n">
        <v>29</v>
      </c>
      <c r="B375" s="1" t="n">
        <v>17</v>
      </c>
      <c r="C375" s="1" t="n">
        <v>46</v>
      </c>
      <c r="D375" s="1" t="s">
        <v>341</v>
      </c>
      <c r="E375" s="1" t="n">
        <v>-13859.398</v>
      </c>
      <c r="F375" s="1" t="n">
        <v>208.661</v>
      </c>
      <c r="G375" s="1" t="n">
        <f aca="false">IF(ISNUMBER(E375),E375,VALUE(SUBSTITUTE(E375,"#",".01")))</f>
        <v>-13859.398</v>
      </c>
    </row>
    <row r="376" customFormat="false" ht="12.75" hidden="false" customHeight="false" outlineLevel="0" collapsed="false">
      <c r="A376" s="1" t="n">
        <v>28</v>
      </c>
      <c r="B376" s="1" t="n">
        <v>18</v>
      </c>
      <c r="C376" s="1" t="n">
        <v>46</v>
      </c>
      <c r="D376" s="1" t="s">
        <v>345</v>
      </c>
      <c r="E376" s="1" t="n">
        <v>-29772.926</v>
      </c>
      <c r="F376" s="1" t="n">
        <v>1.118</v>
      </c>
      <c r="G376" s="1" t="n">
        <f aca="false">IF(ISNUMBER(E376),E376,VALUE(SUBSTITUTE(E376,"#",".01")))</f>
        <v>-29772.926</v>
      </c>
    </row>
    <row r="377" customFormat="false" ht="12.75" hidden="false" customHeight="false" outlineLevel="0" collapsed="false">
      <c r="A377" s="1" t="n">
        <v>27</v>
      </c>
      <c r="B377" s="1" t="n">
        <v>19</v>
      </c>
      <c r="C377" s="1" t="n">
        <v>46</v>
      </c>
      <c r="D377" s="1" t="s">
        <v>351</v>
      </c>
      <c r="E377" s="1" t="n">
        <v>-35413.924</v>
      </c>
      <c r="F377" s="1" t="n">
        <v>0.727</v>
      </c>
      <c r="G377" s="1" t="n">
        <f aca="false">IF(ISNUMBER(E377),E377,VALUE(SUBSTITUTE(E377,"#",".01")))</f>
        <v>-35413.924</v>
      </c>
    </row>
    <row r="378" customFormat="false" ht="12.75" hidden="false" customHeight="false" outlineLevel="0" collapsed="false">
      <c r="A378" s="1" t="n">
        <v>26</v>
      </c>
      <c r="B378" s="1" t="n">
        <v>20</v>
      </c>
      <c r="C378" s="1" t="n">
        <v>46</v>
      </c>
      <c r="D378" s="1" t="s">
        <v>358</v>
      </c>
      <c r="E378" s="1" t="n">
        <v>-43139.361</v>
      </c>
      <c r="F378" s="1" t="n">
        <v>2.235</v>
      </c>
      <c r="G378" s="1" t="n">
        <f aca="false">IF(ISNUMBER(E378),E378,VALUE(SUBSTITUTE(E378,"#",".01")))</f>
        <v>-43139.361</v>
      </c>
    </row>
    <row r="379" customFormat="false" ht="12.75" hidden="false" customHeight="false" outlineLevel="0" collapsed="false">
      <c r="A379" s="1" t="n">
        <v>25</v>
      </c>
      <c r="B379" s="1" t="n">
        <v>21</v>
      </c>
      <c r="C379" s="1" t="n">
        <v>46</v>
      </c>
      <c r="D379" s="1" t="s">
        <v>366</v>
      </c>
      <c r="E379" s="1" t="n">
        <v>-41761.219</v>
      </c>
      <c r="F379" s="1" t="n">
        <v>0.683</v>
      </c>
      <c r="G379" s="1" t="n">
        <f aca="false">IF(ISNUMBER(E379),E379,VALUE(SUBSTITUTE(E379,"#",".01")))</f>
        <v>-41761.219</v>
      </c>
    </row>
    <row r="380" customFormat="false" ht="12.75" hidden="false" customHeight="false" outlineLevel="0" collapsed="false">
      <c r="A380" s="1" t="n">
        <v>24</v>
      </c>
      <c r="B380" s="1" t="n">
        <v>22</v>
      </c>
      <c r="C380" s="1" t="n">
        <v>46</v>
      </c>
      <c r="D380" s="1" t="s">
        <v>374</v>
      </c>
      <c r="E380" s="1" t="n">
        <v>-44127.799</v>
      </c>
      <c r="F380" s="1" t="n">
        <v>0.165</v>
      </c>
      <c r="G380" s="1" t="n">
        <f aca="false">IF(ISNUMBER(E380),E380,VALUE(SUBSTITUTE(E380,"#",".01")))</f>
        <v>-44127.799</v>
      </c>
    </row>
    <row r="381" customFormat="false" ht="12.75" hidden="false" customHeight="false" outlineLevel="0" collapsed="false">
      <c r="A381" s="1" t="n">
        <v>23</v>
      </c>
      <c r="B381" s="1" t="n">
        <v>23</v>
      </c>
      <c r="C381" s="1" t="n">
        <v>46</v>
      </c>
      <c r="D381" s="1" t="s">
        <v>382</v>
      </c>
      <c r="E381" s="1" t="n">
        <v>-37075.351</v>
      </c>
      <c r="F381" s="1" t="n">
        <v>0.202</v>
      </c>
      <c r="G381" s="1" t="n">
        <f aca="false">IF(ISNUMBER(E381),E381,VALUE(SUBSTITUTE(E381,"#",".01")))</f>
        <v>-37075.351</v>
      </c>
    </row>
    <row r="382" customFormat="false" ht="12.75" hidden="false" customHeight="false" outlineLevel="0" collapsed="false">
      <c r="A382" s="1" t="n">
        <v>22</v>
      </c>
      <c r="B382" s="1" t="n">
        <v>24</v>
      </c>
      <c r="C382" s="1" t="n">
        <v>46</v>
      </c>
      <c r="D382" s="1" t="s">
        <v>390</v>
      </c>
      <c r="E382" s="1" t="n">
        <v>-29471.567</v>
      </c>
      <c r="F382" s="1" t="n">
        <v>11.453</v>
      </c>
      <c r="G382" s="1" t="n">
        <f aca="false">IF(ISNUMBER(E382),E382,VALUE(SUBSTITUTE(E382,"#",".01")))</f>
        <v>-29471.567</v>
      </c>
    </row>
    <row r="383" customFormat="false" ht="12.75" hidden="false" customHeight="false" outlineLevel="0" collapsed="false">
      <c r="A383" s="1" t="n">
        <v>21</v>
      </c>
      <c r="B383" s="1" t="n">
        <v>25</v>
      </c>
      <c r="C383" s="1" t="n">
        <v>46</v>
      </c>
      <c r="D383" s="1" t="s">
        <v>398</v>
      </c>
      <c r="E383" s="1" t="s">
        <v>408</v>
      </c>
      <c r="F383" s="1" t="s">
        <v>378</v>
      </c>
      <c r="G383" s="1" t="n">
        <f aca="false">IF(ISNUMBER(E383),E383,VALUE(SUBSTITUTE(E383,"#",".01")))</f>
        <v>-12570.01</v>
      </c>
    </row>
    <row r="384" customFormat="false" ht="12.75" hidden="false" customHeight="false" outlineLevel="0" collapsed="false">
      <c r="A384" s="1" t="n">
        <v>20</v>
      </c>
      <c r="B384" s="1" t="n">
        <v>26</v>
      </c>
      <c r="C384" s="1" t="n">
        <v>46</v>
      </c>
      <c r="D384" s="1" t="s">
        <v>404</v>
      </c>
      <c r="E384" s="1" t="s">
        <v>409</v>
      </c>
      <c r="F384" s="1" t="s">
        <v>337</v>
      </c>
      <c r="G384" s="1" t="n">
        <f aca="false">IF(ISNUMBER(E384),E384,VALUE(SUBSTITUTE(E384,"#",".01")))</f>
        <v>910.01</v>
      </c>
    </row>
    <row r="385" customFormat="false" ht="12.75" hidden="false" customHeight="false" outlineLevel="0" collapsed="false">
      <c r="A385" s="1" t="n">
        <v>32</v>
      </c>
      <c r="B385" s="1" t="n">
        <v>15</v>
      </c>
      <c r="C385" s="1" t="n">
        <v>47</v>
      </c>
      <c r="D385" s="1" t="s">
        <v>328</v>
      </c>
      <c r="E385" s="1" t="s">
        <v>410</v>
      </c>
      <c r="F385" s="1" t="s">
        <v>312</v>
      </c>
      <c r="G385" s="1" t="n">
        <f aca="false">IF(ISNUMBER(E385),E385,VALUE(SUBSTITUTE(E385,"#",".01")))</f>
        <v>29710.01</v>
      </c>
    </row>
    <row r="386" customFormat="false" ht="12.75" hidden="false" customHeight="false" outlineLevel="0" collapsed="false">
      <c r="A386" s="1" t="n">
        <v>31</v>
      </c>
      <c r="B386" s="1" t="n">
        <v>16</v>
      </c>
      <c r="C386" s="1" t="n">
        <v>47</v>
      </c>
      <c r="D386" s="1" t="s">
        <v>334</v>
      </c>
      <c r="E386" s="1" t="s">
        <v>411</v>
      </c>
      <c r="F386" s="1" t="s">
        <v>337</v>
      </c>
      <c r="G386" s="1" t="n">
        <f aca="false">IF(ISNUMBER(E386),E386,VALUE(SUBSTITUTE(E386,"#",".01")))</f>
        <v>7370.01</v>
      </c>
    </row>
    <row r="387" customFormat="false" ht="12.75" hidden="false" customHeight="false" outlineLevel="0" collapsed="false">
      <c r="A387" s="1" t="n">
        <v>30</v>
      </c>
      <c r="B387" s="1" t="n">
        <v>17</v>
      </c>
      <c r="C387" s="1" t="n">
        <v>47</v>
      </c>
      <c r="D387" s="1" t="s">
        <v>341</v>
      </c>
      <c r="E387" s="1" t="s">
        <v>412</v>
      </c>
      <c r="F387" s="1" t="s">
        <v>378</v>
      </c>
      <c r="G387" s="1" t="n">
        <f aca="false">IF(ISNUMBER(E387),E387,VALUE(SUBSTITUTE(E387,"#",".01")))</f>
        <v>-9780.01</v>
      </c>
    </row>
    <row r="388" customFormat="false" ht="12.75" hidden="false" customHeight="false" outlineLevel="0" collapsed="false">
      <c r="A388" s="1" t="n">
        <v>29</v>
      </c>
      <c r="B388" s="1" t="n">
        <v>18</v>
      </c>
      <c r="C388" s="1" t="n">
        <v>47</v>
      </c>
      <c r="D388" s="1" t="s">
        <v>345</v>
      </c>
      <c r="E388" s="1" t="n">
        <v>-25366.338</v>
      </c>
      <c r="F388" s="1" t="n">
        <v>1.118</v>
      </c>
      <c r="G388" s="1" t="n">
        <f aca="false">IF(ISNUMBER(E388),E388,VALUE(SUBSTITUTE(E388,"#",".01")))</f>
        <v>-25366.338</v>
      </c>
    </row>
    <row r="389" customFormat="false" ht="12.75" hidden="false" customHeight="false" outlineLevel="0" collapsed="false">
      <c r="A389" s="1" t="n">
        <v>28</v>
      </c>
      <c r="B389" s="1" t="n">
        <v>19</v>
      </c>
      <c r="C389" s="1" t="n">
        <v>47</v>
      </c>
      <c r="D389" s="1" t="s">
        <v>351</v>
      </c>
      <c r="E389" s="1" t="n">
        <v>-35711.976</v>
      </c>
      <c r="F389" s="1" t="n">
        <v>1.397</v>
      </c>
      <c r="G389" s="1" t="n">
        <f aca="false">IF(ISNUMBER(E389),E389,VALUE(SUBSTITUTE(E389,"#",".01")))</f>
        <v>-35711.976</v>
      </c>
    </row>
    <row r="390" customFormat="false" ht="12.75" hidden="false" customHeight="false" outlineLevel="0" collapsed="false">
      <c r="A390" s="1" t="n">
        <v>27</v>
      </c>
      <c r="B390" s="1" t="n">
        <v>20</v>
      </c>
      <c r="C390" s="1" t="n">
        <v>47</v>
      </c>
      <c r="D390" s="1" t="s">
        <v>358</v>
      </c>
      <c r="E390" s="1" t="n">
        <v>-42344.418</v>
      </c>
      <c r="F390" s="1" t="n">
        <v>2.222</v>
      </c>
      <c r="G390" s="1" t="n">
        <f aca="false">IF(ISNUMBER(E390),E390,VALUE(SUBSTITUTE(E390,"#",".01")))</f>
        <v>-42344.418</v>
      </c>
    </row>
    <row r="391" customFormat="false" ht="12.75" hidden="false" customHeight="false" outlineLevel="0" collapsed="false">
      <c r="A391" s="1" t="n">
        <v>26</v>
      </c>
      <c r="B391" s="1" t="n">
        <v>21</v>
      </c>
      <c r="C391" s="1" t="n">
        <v>47</v>
      </c>
      <c r="D391" s="1" t="s">
        <v>366</v>
      </c>
      <c r="E391" s="1" t="n">
        <v>-44336.595</v>
      </c>
      <c r="F391" s="1" t="n">
        <v>1.933</v>
      </c>
      <c r="G391" s="1" t="n">
        <f aca="false">IF(ISNUMBER(E391),E391,VALUE(SUBSTITUTE(E391,"#",".01")))</f>
        <v>-44336.595</v>
      </c>
    </row>
    <row r="392" customFormat="false" ht="12.75" hidden="false" customHeight="false" outlineLevel="0" collapsed="false">
      <c r="A392" s="1" t="n">
        <v>25</v>
      </c>
      <c r="B392" s="1" t="n">
        <v>22</v>
      </c>
      <c r="C392" s="1" t="n">
        <v>47</v>
      </c>
      <c r="D392" s="1" t="s">
        <v>374</v>
      </c>
      <c r="E392" s="1" t="n">
        <v>-44937.364</v>
      </c>
      <c r="F392" s="1" t="n">
        <v>0.115</v>
      </c>
      <c r="G392" s="1" t="n">
        <f aca="false">IF(ISNUMBER(E392),E392,VALUE(SUBSTITUTE(E392,"#",".01")))</f>
        <v>-44937.364</v>
      </c>
    </row>
    <row r="393" customFormat="false" ht="12.75" hidden="false" customHeight="false" outlineLevel="0" collapsed="false">
      <c r="A393" s="1" t="n">
        <v>24</v>
      </c>
      <c r="B393" s="1" t="n">
        <v>23</v>
      </c>
      <c r="C393" s="1" t="n">
        <v>47</v>
      </c>
      <c r="D393" s="1" t="s">
        <v>382</v>
      </c>
      <c r="E393" s="1" t="n">
        <v>-42006.618</v>
      </c>
      <c r="F393" s="1" t="n">
        <v>0.169</v>
      </c>
      <c r="G393" s="1" t="n">
        <f aca="false">IF(ISNUMBER(E393),E393,VALUE(SUBSTITUTE(E393,"#",".01")))</f>
        <v>-42006.618</v>
      </c>
    </row>
    <row r="394" customFormat="false" ht="12.75" hidden="false" customHeight="false" outlineLevel="0" collapsed="false">
      <c r="A394" s="1" t="n">
        <v>23</v>
      </c>
      <c r="B394" s="1" t="n">
        <v>24</v>
      </c>
      <c r="C394" s="1" t="n">
        <v>47</v>
      </c>
      <c r="D394" s="1" t="s">
        <v>390</v>
      </c>
      <c r="E394" s="1" t="n">
        <v>-34562.578</v>
      </c>
      <c r="F394" s="1" t="n">
        <v>6.03</v>
      </c>
      <c r="G394" s="1" t="n">
        <f aca="false">IF(ISNUMBER(E394),E394,VALUE(SUBSTITUTE(E394,"#",".01")))</f>
        <v>-34562.578</v>
      </c>
    </row>
    <row r="395" customFormat="false" ht="12.75" hidden="false" customHeight="false" outlineLevel="0" collapsed="false">
      <c r="A395" s="1" t="n">
        <v>22</v>
      </c>
      <c r="B395" s="1" t="n">
        <v>25</v>
      </c>
      <c r="C395" s="1" t="n">
        <v>47</v>
      </c>
      <c r="D395" s="1" t="s">
        <v>398</v>
      </c>
      <c r="E395" s="1" t="n">
        <v>-22566.374</v>
      </c>
      <c r="F395" s="1" t="n">
        <v>31.671</v>
      </c>
      <c r="G395" s="1" t="n">
        <f aca="false">IF(ISNUMBER(E395),E395,VALUE(SUBSTITUTE(E395,"#",".01")))</f>
        <v>-22566.374</v>
      </c>
    </row>
    <row r="396" customFormat="false" ht="12.75" hidden="false" customHeight="false" outlineLevel="0" collapsed="false">
      <c r="A396" s="1" t="n">
        <v>21</v>
      </c>
      <c r="B396" s="1" t="n">
        <v>26</v>
      </c>
      <c r="C396" s="1" t="n">
        <v>47</v>
      </c>
      <c r="D396" s="1" t="s">
        <v>404</v>
      </c>
      <c r="E396" s="1" t="s">
        <v>413</v>
      </c>
      <c r="F396" s="1" t="s">
        <v>337</v>
      </c>
      <c r="G396" s="1" t="n">
        <f aca="false">IF(ISNUMBER(E396),E396,VALUE(SUBSTITUTE(E396,"#",".01")))</f>
        <v>-6870.01</v>
      </c>
    </row>
    <row r="397" customFormat="false" ht="12.75" hidden="false" customHeight="false" outlineLevel="0" collapsed="false">
      <c r="A397" s="1" t="n">
        <v>20</v>
      </c>
      <c r="B397" s="1" t="n">
        <v>27</v>
      </c>
      <c r="C397" s="1" t="n">
        <v>47</v>
      </c>
      <c r="D397" s="1" t="s">
        <v>414</v>
      </c>
      <c r="E397" s="1" t="s">
        <v>415</v>
      </c>
      <c r="F397" s="1" t="s">
        <v>387</v>
      </c>
      <c r="G397" s="1" t="n">
        <f aca="false">IF(ISNUMBER(E397),E397,VALUE(SUBSTITUTE(E397,"#",".01")))</f>
        <v>10370.01</v>
      </c>
    </row>
    <row r="398" customFormat="false" ht="12.75" hidden="false" customHeight="false" outlineLevel="0" collapsed="false">
      <c r="A398" s="1" t="n">
        <v>32</v>
      </c>
      <c r="B398" s="1" t="n">
        <v>16</v>
      </c>
      <c r="C398" s="1" t="n">
        <v>48</v>
      </c>
      <c r="D398" s="1" t="s">
        <v>334</v>
      </c>
      <c r="E398" s="1" t="s">
        <v>416</v>
      </c>
      <c r="F398" s="1" t="s">
        <v>316</v>
      </c>
      <c r="G398" s="1" t="n">
        <f aca="false">IF(ISNUMBER(E398),E398,VALUE(SUBSTITUTE(E398,"#",".01")))</f>
        <v>12761.01</v>
      </c>
    </row>
    <row r="399" customFormat="false" ht="12.75" hidden="false" customHeight="false" outlineLevel="0" collapsed="false">
      <c r="A399" s="1" t="n">
        <v>31</v>
      </c>
      <c r="B399" s="1" t="n">
        <v>17</v>
      </c>
      <c r="C399" s="1" t="n">
        <v>48</v>
      </c>
      <c r="D399" s="1" t="s">
        <v>341</v>
      </c>
      <c r="E399" s="1" t="s">
        <v>417</v>
      </c>
      <c r="F399" s="1" t="s">
        <v>337</v>
      </c>
      <c r="G399" s="1" t="n">
        <f aca="false">IF(ISNUMBER(E399),E399,VALUE(SUBSTITUTE(E399,"#",".01")))</f>
        <v>-4280.01</v>
      </c>
    </row>
    <row r="400" customFormat="false" ht="12.75" hidden="false" customHeight="false" outlineLevel="0" collapsed="false">
      <c r="A400" s="1" t="n">
        <v>30</v>
      </c>
      <c r="B400" s="1" t="n">
        <v>18</v>
      </c>
      <c r="C400" s="1" t="n">
        <v>48</v>
      </c>
      <c r="D400" s="1" t="s">
        <v>345</v>
      </c>
      <c r="E400" s="1" t="n">
        <v>-22281.337</v>
      </c>
      <c r="F400" s="1" t="n">
        <v>307.393</v>
      </c>
      <c r="G400" s="1" t="n">
        <f aca="false">IF(ISNUMBER(E400),E400,VALUE(SUBSTITUTE(E400,"#",".01")))</f>
        <v>-22281.337</v>
      </c>
    </row>
    <row r="401" customFormat="false" ht="12.75" hidden="false" customHeight="false" outlineLevel="0" collapsed="false">
      <c r="A401" s="1" t="n">
        <v>29</v>
      </c>
      <c r="B401" s="1" t="n">
        <v>19</v>
      </c>
      <c r="C401" s="1" t="n">
        <v>48</v>
      </c>
      <c r="D401" s="1" t="s">
        <v>351</v>
      </c>
      <c r="E401" s="1" t="n">
        <v>-32284.477</v>
      </c>
      <c r="F401" s="1" t="n">
        <v>0.773</v>
      </c>
      <c r="G401" s="1" t="n">
        <f aca="false">IF(ISNUMBER(E401),E401,VALUE(SUBSTITUTE(E401,"#",".01")))</f>
        <v>-32284.477</v>
      </c>
    </row>
    <row r="402" customFormat="false" ht="12.75" hidden="false" customHeight="false" outlineLevel="0" collapsed="false">
      <c r="A402" s="1" t="n">
        <v>28</v>
      </c>
      <c r="B402" s="1" t="n">
        <v>20</v>
      </c>
      <c r="C402" s="1" t="n">
        <v>48</v>
      </c>
      <c r="D402" s="1" t="s">
        <v>358</v>
      </c>
      <c r="E402" s="1" t="n">
        <v>-44224.629</v>
      </c>
      <c r="F402" s="1" t="n">
        <v>0.096</v>
      </c>
      <c r="G402" s="1" t="n">
        <f aca="false">IF(ISNUMBER(E402),E402,VALUE(SUBSTITUTE(E402,"#",".01")))</f>
        <v>-44224.629</v>
      </c>
    </row>
    <row r="403" customFormat="false" ht="12.75" hidden="false" customHeight="false" outlineLevel="0" collapsed="false">
      <c r="A403" s="1" t="n">
        <v>27</v>
      </c>
      <c r="B403" s="1" t="n">
        <v>21</v>
      </c>
      <c r="C403" s="1" t="n">
        <v>48</v>
      </c>
      <c r="D403" s="1" t="s">
        <v>366</v>
      </c>
      <c r="E403" s="1" t="n">
        <v>-44503.842</v>
      </c>
      <c r="F403" s="1" t="n">
        <v>4.951</v>
      </c>
      <c r="G403" s="1" t="n">
        <f aca="false">IF(ISNUMBER(E403),E403,VALUE(SUBSTITUTE(E403,"#",".01")))</f>
        <v>-44503.842</v>
      </c>
    </row>
    <row r="404" customFormat="false" ht="12.75" hidden="false" customHeight="false" outlineLevel="0" collapsed="false">
      <c r="A404" s="1" t="n">
        <v>26</v>
      </c>
      <c r="B404" s="1" t="n">
        <v>22</v>
      </c>
      <c r="C404" s="1" t="n">
        <v>48</v>
      </c>
      <c r="D404" s="1" t="s">
        <v>374</v>
      </c>
      <c r="E404" s="1" t="n">
        <v>-48492.709</v>
      </c>
      <c r="F404" s="1" t="n">
        <v>0.109</v>
      </c>
      <c r="G404" s="1" t="n">
        <f aca="false">IF(ISNUMBER(E404),E404,VALUE(SUBSTITUTE(E404,"#",".01")))</f>
        <v>-48492.709</v>
      </c>
    </row>
    <row r="405" customFormat="false" ht="12.75" hidden="false" customHeight="false" outlineLevel="0" collapsed="false">
      <c r="A405" s="1" t="n">
        <v>25</v>
      </c>
      <c r="B405" s="1" t="n">
        <v>23</v>
      </c>
      <c r="C405" s="1" t="n">
        <v>48</v>
      </c>
      <c r="D405" s="1" t="s">
        <v>382</v>
      </c>
      <c r="E405" s="1" t="n">
        <v>-44477.694</v>
      </c>
      <c r="F405" s="1" t="n">
        <v>0.975</v>
      </c>
      <c r="G405" s="1" t="n">
        <f aca="false">IF(ISNUMBER(E405),E405,VALUE(SUBSTITUTE(E405,"#",".01")))</f>
        <v>-44477.694</v>
      </c>
    </row>
    <row r="406" customFormat="false" ht="12.75" hidden="false" customHeight="false" outlineLevel="0" collapsed="false">
      <c r="A406" s="1" t="n">
        <v>24</v>
      </c>
      <c r="B406" s="1" t="n">
        <v>24</v>
      </c>
      <c r="C406" s="1" t="n">
        <v>48</v>
      </c>
      <c r="D406" s="1" t="s">
        <v>390</v>
      </c>
      <c r="E406" s="1" t="n">
        <v>-42822.02</v>
      </c>
      <c r="F406" s="1" t="n">
        <v>7.324</v>
      </c>
      <c r="G406" s="1" t="n">
        <f aca="false">IF(ISNUMBER(E406),E406,VALUE(SUBSTITUTE(E406,"#",".01")))</f>
        <v>-42822.02</v>
      </c>
    </row>
    <row r="407" customFormat="false" ht="12.75" hidden="false" customHeight="false" outlineLevel="0" collapsed="false">
      <c r="A407" s="1" t="n">
        <v>23</v>
      </c>
      <c r="B407" s="1" t="n">
        <v>25</v>
      </c>
      <c r="C407" s="1" t="n">
        <v>48</v>
      </c>
      <c r="D407" s="1" t="s">
        <v>398</v>
      </c>
      <c r="E407" s="1" t="n">
        <v>-29296.338</v>
      </c>
      <c r="F407" s="1" t="n">
        <v>6.939</v>
      </c>
      <c r="G407" s="1" t="n">
        <f aca="false">IF(ISNUMBER(E407),E407,VALUE(SUBSTITUTE(E407,"#",".01")))</f>
        <v>-29296.338</v>
      </c>
    </row>
    <row r="408" customFormat="false" ht="12.75" hidden="false" customHeight="false" outlineLevel="0" collapsed="false">
      <c r="A408" s="1" t="n">
        <v>22</v>
      </c>
      <c r="B408" s="1" t="n">
        <v>26</v>
      </c>
      <c r="C408" s="1" t="n">
        <v>48</v>
      </c>
      <c r="D408" s="1" t="s">
        <v>404</v>
      </c>
      <c r="E408" s="1" t="s">
        <v>418</v>
      </c>
      <c r="F408" s="1" t="s">
        <v>378</v>
      </c>
      <c r="G408" s="1" t="n">
        <f aca="false">IF(ISNUMBER(E408),E408,VALUE(SUBSTITUTE(E408,"#",".01")))</f>
        <v>-18000.01</v>
      </c>
    </row>
    <row r="409" customFormat="false" ht="12.75" hidden="false" customHeight="false" outlineLevel="0" collapsed="false">
      <c r="A409" s="1" t="n">
        <v>21</v>
      </c>
      <c r="B409" s="1" t="n">
        <v>27</v>
      </c>
      <c r="C409" s="1" t="n">
        <v>48</v>
      </c>
      <c r="D409" s="1" t="s">
        <v>414</v>
      </c>
      <c r="E409" s="1" t="s">
        <v>419</v>
      </c>
      <c r="F409" s="1" t="s">
        <v>337</v>
      </c>
      <c r="G409" s="1" t="n">
        <f aca="false">IF(ISNUMBER(E409),E409,VALUE(SUBSTITUTE(E409,"#",".01")))</f>
        <v>1500.01</v>
      </c>
    </row>
    <row r="410" customFormat="false" ht="12.75" hidden="false" customHeight="false" outlineLevel="0" collapsed="false">
      <c r="A410" s="1" t="n">
        <v>20</v>
      </c>
      <c r="B410" s="1" t="n">
        <v>28</v>
      </c>
      <c r="C410" s="1" t="n">
        <v>48</v>
      </c>
      <c r="D410" s="1" t="s">
        <v>22</v>
      </c>
      <c r="E410" s="1" t="s">
        <v>420</v>
      </c>
      <c r="F410" s="1" t="s">
        <v>421</v>
      </c>
      <c r="G410" s="1" t="n">
        <f aca="false">IF(ISNUMBER(E410),E410,VALUE(SUBSTITUTE(E410,"#",".01")))</f>
        <v>16793.01</v>
      </c>
    </row>
    <row r="411" customFormat="false" ht="12.75" hidden="false" customHeight="false" outlineLevel="0" collapsed="false">
      <c r="A411" s="1" t="n">
        <v>33</v>
      </c>
      <c r="B411" s="1" t="n">
        <v>16</v>
      </c>
      <c r="C411" s="1" t="n">
        <v>49</v>
      </c>
      <c r="D411" s="1" t="s">
        <v>334</v>
      </c>
      <c r="E411" s="1" t="s">
        <v>422</v>
      </c>
      <c r="F411" s="1" t="s">
        <v>423</v>
      </c>
      <c r="G411" s="1" t="n">
        <f aca="false">IF(ISNUMBER(E411),E411,VALUE(SUBSTITUTE(E411,"#",".01")))</f>
        <v>21093.01</v>
      </c>
    </row>
    <row r="412" customFormat="false" ht="12.75" hidden="false" customHeight="false" outlineLevel="0" collapsed="false">
      <c r="A412" s="1" t="n">
        <v>32</v>
      </c>
      <c r="B412" s="1" t="n">
        <v>17</v>
      </c>
      <c r="C412" s="1" t="n">
        <v>49</v>
      </c>
      <c r="D412" s="1" t="s">
        <v>341</v>
      </c>
      <c r="E412" s="1" t="s">
        <v>424</v>
      </c>
      <c r="F412" s="1" t="s">
        <v>387</v>
      </c>
      <c r="G412" s="1" t="n">
        <f aca="false">IF(ISNUMBER(E412),E412,VALUE(SUBSTITUTE(E412,"#",".01")))</f>
        <v>940.01</v>
      </c>
    </row>
    <row r="413" customFormat="false" ht="12.75" hidden="false" customHeight="false" outlineLevel="0" collapsed="false">
      <c r="A413" s="1" t="n">
        <v>31</v>
      </c>
      <c r="B413" s="1" t="n">
        <v>18</v>
      </c>
      <c r="C413" s="1" t="n">
        <v>49</v>
      </c>
      <c r="D413" s="1" t="s">
        <v>345</v>
      </c>
      <c r="E413" s="1" t="s">
        <v>425</v>
      </c>
      <c r="F413" s="1" t="s">
        <v>378</v>
      </c>
      <c r="G413" s="1" t="n">
        <f aca="false">IF(ISNUMBER(E413),E413,VALUE(SUBSTITUTE(E413,"#",".01")))</f>
        <v>-17190.01</v>
      </c>
    </row>
    <row r="414" customFormat="false" ht="12.75" hidden="false" customHeight="false" outlineLevel="0" collapsed="false">
      <c r="A414" s="1" t="n">
        <v>30</v>
      </c>
      <c r="B414" s="1" t="n">
        <v>19</v>
      </c>
      <c r="C414" s="1" t="n">
        <v>49</v>
      </c>
      <c r="D414" s="1" t="s">
        <v>351</v>
      </c>
      <c r="E414" s="1" t="n">
        <v>-29611.49</v>
      </c>
      <c r="F414" s="1" t="n">
        <v>0.801</v>
      </c>
      <c r="G414" s="1" t="n">
        <f aca="false">IF(ISNUMBER(E414),E414,VALUE(SUBSTITUTE(E414,"#",".01")))</f>
        <v>-29611.49</v>
      </c>
    </row>
    <row r="415" customFormat="false" ht="12.75" hidden="false" customHeight="false" outlineLevel="0" collapsed="false">
      <c r="A415" s="1" t="n">
        <v>29</v>
      </c>
      <c r="B415" s="1" t="n">
        <v>20</v>
      </c>
      <c r="C415" s="1" t="n">
        <v>49</v>
      </c>
      <c r="D415" s="1" t="s">
        <v>358</v>
      </c>
      <c r="E415" s="1" t="n">
        <v>-41299.765</v>
      </c>
      <c r="F415" s="1" t="n">
        <v>0.201</v>
      </c>
      <c r="G415" s="1" t="n">
        <f aca="false">IF(ISNUMBER(E415),E415,VALUE(SUBSTITUTE(E415,"#",".01")))</f>
        <v>-41299.765</v>
      </c>
    </row>
    <row r="416" customFormat="false" ht="12.75" hidden="false" customHeight="false" outlineLevel="0" collapsed="false">
      <c r="A416" s="1" t="n">
        <v>28</v>
      </c>
      <c r="B416" s="1" t="n">
        <v>21</v>
      </c>
      <c r="C416" s="1" t="n">
        <v>49</v>
      </c>
      <c r="D416" s="1" t="s">
        <v>366</v>
      </c>
      <c r="E416" s="1" t="n">
        <v>-46561.265</v>
      </c>
      <c r="F416" s="1" t="n">
        <v>2.698</v>
      </c>
      <c r="G416" s="1" t="n">
        <f aca="false">IF(ISNUMBER(E416),E416,VALUE(SUBSTITUTE(E416,"#",".01")))</f>
        <v>-46561.265</v>
      </c>
    </row>
    <row r="417" customFormat="false" ht="12.75" hidden="false" customHeight="false" outlineLevel="0" collapsed="false">
      <c r="A417" s="1" t="n">
        <v>27</v>
      </c>
      <c r="B417" s="1" t="n">
        <v>22</v>
      </c>
      <c r="C417" s="1" t="n">
        <v>49</v>
      </c>
      <c r="D417" s="1" t="s">
        <v>374</v>
      </c>
      <c r="E417" s="1" t="n">
        <v>-48563.787</v>
      </c>
      <c r="F417" s="1" t="n">
        <v>0.114</v>
      </c>
      <c r="G417" s="1" t="n">
        <f aca="false">IF(ISNUMBER(E417),E417,VALUE(SUBSTITUTE(E417,"#",".01")))</f>
        <v>-48563.787</v>
      </c>
    </row>
    <row r="418" customFormat="false" ht="12.75" hidden="false" customHeight="false" outlineLevel="0" collapsed="false">
      <c r="A418" s="1" t="n">
        <v>26</v>
      </c>
      <c r="B418" s="1" t="n">
        <v>23</v>
      </c>
      <c r="C418" s="1" t="n">
        <v>49</v>
      </c>
      <c r="D418" s="1" t="s">
        <v>382</v>
      </c>
      <c r="E418" s="1" t="n">
        <v>-47961.931</v>
      </c>
      <c r="F418" s="1" t="n">
        <v>0.828</v>
      </c>
      <c r="G418" s="1" t="n">
        <f aca="false">IF(ISNUMBER(E418),E418,VALUE(SUBSTITUTE(E418,"#",".01")))</f>
        <v>-47961.931</v>
      </c>
    </row>
    <row r="419" customFormat="false" ht="12.75" hidden="false" customHeight="false" outlineLevel="0" collapsed="false">
      <c r="A419" s="1" t="n">
        <v>25</v>
      </c>
      <c r="B419" s="1" t="n">
        <v>24</v>
      </c>
      <c r="C419" s="1" t="n">
        <v>49</v>
      </c>
      <c r="D419" s="1" t="s">
        <v>390</v>
      </c>
      <c r="E419" s="1" t="n">
        <v>-45333.06</v>
      </c>
      <c r="F419" s="1" t="n">
        <v>2.243</v>
      </c>
      <c r="G419" s="1" t="n">
        <f aca="false">IF(ISNUMBER(E419),E419,VALUE(SUBSTITUTE(E419,"#",".01")))</f>
        <v>-45333.06</v>
      </c>
    </row>
    <row r="420" customFormat="false" ht="12.75" hidden="false" customHeight="false" outlineLevel="0" collapsed="false">
      <c r="A420" s="1" t="n">
        <v>24</v>
      </c>
      <c r="B420" s="1" t="n">
        <v>25</v>
      </c>
      <c r="C420" s="1" t="n">
        <v>49</v>
      </c>
      <c r="D420" s="1" t="s">
        <v>398</v>
      </c>
      <c r="E420" s="1" t="n">
        <v>-37620.634</v>
      </c>
      <c r="F420" s="1" t="n">
        <v>2.255</v>
      </c>
      <c r="G420" s="1" t="n">
        <f aca="false">IF(ISNUMBER(E420),E420,VALUE(SUBSTITUTE(E420,"#",".01")))</f>
        <v>-37620.634</v>
      </c>
    </row>
    <row r="421" customFormat="false" ht="12.75" hidden="false" customHeight="false" outlineLevel="0" collapsed="false">
      <c r="A421" s="1" t="n">
        <v>23</v>
      </c>
      <c r="B421" s="1" t="n">
        <v>26</v>
      </c>
      <c r="C421" s="1" t="n">
        <v>49</v>
      </c>
      <c r="D421" s="1" t="s">
        <v>404</v>
      </c>
      <c r="E421" s="1" t="n">
        <v>-24750.727</v>
      </c>
      <c r="F421" s="1" t="n">
        <v>24.219</v>
      </c>
      <c r="G421" s="1" t="n">
        <f aca="false">IF(ISNUMBER(E421),E421,VALUE(SUBSTITUTE(E421,"#",".01")))</f>
        <v>-24750.727</v>
      </c>
    </row>
    <row r="422" customFormat="false" ht="12.75" hidden="false" customHeight="false" outlineLevel="0" collapsed="false">
      <c r="A422" s="1" t="n">
        <v>22</v>
      </c>
      <c r="B422" s="1" t="n">
        <v>27</v>
      </c>
      <c r="C422" s="1" t="n">
        <v>49</v>
      </c>
      <c r="D422" s="1" t="s">
        <v>414</v>
      </c>
      <c r="E422" s="1" t="s">
        <v>426</v>
      </c>
      <c r="F422" s="1" t="s">
        <v>337</v>
      </c>
      <c r="G422" s="1" t="n">
        <f aca="false">IF(ISNUMBER(E422),E422,VALUE(SUBSTITUTE(E422,"#",".01")))</f>
        <v>-9880.01</v>
      </c>
    </row>
    <row r="423" customFormat="false" ht="12.75" hidden="false" customHeight="false" outlineLevel="0" collapsed="false">
      <c r="A423" s="1" t="n">
        <v>21</v>
      </c>
      <c r="B423" s="1" t="n">
        <v>28</v>
      </c>
      <c r="C423" s="1" t="n">
        <v>49</v>
      </c>
      <c r="D423" s="1" t="s">
        <v>22</v>
      </c>
      <c r="E423" s="1" t="s">
        <v>427</v>
      </c>
      <c r="F423" s="1" t="s">
        <v>387</v>
      </c>
      <c r="G423" s="1" t="n">
        <f aca="false">IF(ISNUMBER(E423),E423,VALUE(SUBSTITUTE(E423,"#",".01")))</f>
        <v>8200.01</v>
      </c>
    </row>
    <row r="424" customFormat="false" ht="12.75" hidden="false" customHeight="false" outlineLevel="0" collapsed="false">
      <c r="A424" s="1" t="n">
        <v>33</v>
      </c>
      <c r="B424" s="1" t="n">
        <v>17</v>
      </c>
      <c r="C424" s="1" t="n">
        <v>50</v>
      </c>
      <c r="D424" s="1" t="s">
        <v>341</v>
      </c>
      <c r="E424" s="1" t="s">
        <v>428</v>
      </c>
      <c r="F424" s="1" t="s">
        <v>387</v>
      </c>
      <c r="G424" s="1" t="n">
        <f aca="false">IF(ISNUMBER(E424),E424,VALUE(SUBSTITUTE(E424,"#",".01")))</f>
        <v>7740.01</v>
      </c>
    </row>
    <row r="425" customFormat="false" ht="12.75" hidden="false" customHeight="false" outlineLevel="0" collapsed="false">
      <c r="A425" s="1" t="n">
        <v>32</v>
      </c>
      <c r="B425" s="1" t="n">
        <v>18</v>
      </c>
      <c r="C425" s="1" t="n">
        <v>50</v>
      </c>
      <c r="D425" s="1" t="s">
        <v>345</v>
      </c>
      <c r="E425" s="1" t="s">
        <v>429</v>
      </c>
      <c r="F425" s="1" t="s">
        <v>337</v>
      </c>
      <c r="G425" s="1" t="n">
        <f aca="false">IF(ISNUMBER(E425),E425,VALUE(SUBSTITUTE(E425,"#",".01")))</f>
        <v>-13330.01</v>
      </c>
    </row>
    <row r="426" customFormat="false" ht="12.75" hidden="false" customHeight="false" outlineLevel="0" collapsed="false">
      <c r="A426" s="1" t="n">
        <v>31</v>
      </c>
      <c r="B426" s="1" t="n">
        <v>19</v>
      </c>
      <c r="C426" s="1" t="n">
        <v>50</v>
      </c>
      <c r="D426" s="1" t="s">
        <v>351</v>
      </c>
      <c r="E426" s="1" t="n">
        <v>-25727.848</v>
      </c>
      <c r="F426" s="1" t="n">
        <v>7.731</v>
      </c>
      <c r="G426" s="1" t="n">
        <f aca="false">IF(ISNUMBER(E426),E426,VALUE(SUBSTITUTE(E426,"#",".01")))</f>
        <v>-25727.848</v>
      </c>
    </row>
    <row r="427" customFormat="false" ht="12.75" hidden="false" customHeight="false" outlineLevel="0" collapsed="false">
      <c r="A427" s="1" t="n">
        <v>30</v>
      </c>
      <c r="B427" s="1" t="n">
        <v>20</v>
      </c>
      <c r="C427" s="1" t="n">
        <v>50</v>
      </c>
      <c r="D427" s="1" t="s">
        <v>358</v>
      </c>
      <c r="E427" s="1" t="n">
        <v>-39589.224</v>
      </c>
      <c r="F427" s="1" t="n">
        <v>1.584</v>
      </c>
      <c r="G427" s="1" t="n">
        <f aca="false">IF(ISNUMBER(E427),E427,VALUE(SUBSTITUTE(E427,"#",".01")))</f>
        <v>-39589.224</v>
      </c>
    </row>
    <row r="428" customFormat="false" ht="12.75" hidden="false" customHeight="false" outlineLevel="0" collapsed="false">
      <c r="A428" s="1" t="n">
        <v>29</v>
      </c>
      <c r="B428" s="1" t="n">
        <v>21</v>
      </c>
      <c r="C428" s="1" t="n">
        <v>50</v>
      </c>
      <c r="D428" s="1" t="s">
        <v>366</v>
      </c>
      <c r="E428" s="1" t="n">
        <v>-44547.382</v>
      </c>
      <c r="F428" s="1" t="n">
        <v>15</v>
      </c>
      <c r="G428" s="1" t="n">
        <f aca="false">IF(ISNUMBER(E428),E428,VALUE(SUBSTITUTE(E428,"#",".01")))</f>
        <v>-44547.382</v>
      </c>
    </row>
    <row r="429" customFormat="false" ht="12.75" hidden="false" customHeight="false" outlineLevel="0" collapsed="false">
      <c r="A429" s="1" t="n">
        <v>28</v>
      </c>
      <c r="B429" s="1" t="n">
        <v>22</v>
      </c>
      <c r="C429" s="1" t="n">
        <v>50</v>
      </c>
      <c r="D429" s="1" t="s">
        <v>374</v>
      </c>
      <c r="E429" s="1" t="n">
        <v>-51431.66</v>
      </c>
      <c r="F429" s="1" t="n">
        <v>0.121</v>
      </c>
      <c r="G429" s="1" t="n">
        <f aca="false">IF(ISNUMBER(E429),E429,VALUE(SUBSTITUTE(E429,"#",".01")))</f>
        <v>-51431.66</v>
      </c>
    </row>
    <row r="430" customFormat="false" ht="12.75" hidden="false" customHeight="false" outlineLevel="0" collapsed="false">
      <c r="A430" s="1" t="n">
        <v>27</v>
      </c>
      <c r="B430" s="1" t="n">
        <v>23</v>
      </c>
      <c r="C430" s="1" t="n">
        <v>50</v>
      </c>
      <c r="D430" s="1" t="s">
        <v>382</v>
      </c>
      <c r="E430" s="1" t="n">
        <v>-49224.013</v>
      </c>
      <c r="F430" s="1" t="n">
        <v>0.409</v>
      </c>
      <c r="G430" s="1" t="n">
        <f aca="false">IF(ISNUMBER(E430),E430,VALUE(SUBSTITUTE(E430,"#",".01")))</f>
        <v>-49224.013</v>
      </c>
    </row>
    <row r="431" customFormat="false" ht="12.75" hidden="false" customHeight="false" outlineLevel="0" collapsed="false">
      <c r="A431" s="1" t="n">
        <v>26</v>
      </c>
      <c r="B431" s="1" t="n">
        <v>24</v>
      </c>
      <c r="C431" s="1" t="n">
        <v>50</v>
      </c>
      <c r="D431" s="1" t="s">
        <v>390</v>
      </c>
      <c r="E431" s="1" t="n">
        <v>-50262.072</v>
      </c>
      <c r="F431" s="1" t="n">
        <v>0.437</v>
      </c>
      <c r="G431" s="1" t="n">
        <f aca="false">IF(ISNUMBER(E431),E431,VALUE(SUBSTITUTE(E431,"#",".01")))</f>
        <v>-50262.072</v>
      </c>
    </row>
    <row r="432" customFormat="false" ht="12.75" hidden="false" customHeight="false" outlineLevel="0" collapsed="false">
      <c r="A432" s="1" t="n">
        <v>25</v>
      </c>
      <c r="B432" s="1" t="n">
        <v>25</v>
      </c>
      <c r="C432" s="1" t="n">
        <v>50</v>
      </c>
      <c r="D432" s="1" t="s">
        <v>398</v>
      </c>
      <c r="E432" s="1" t="n">
        <v>-42627.595</v>
      </c>
      <c r="F432" s="1" t="n">
        <v>0.442</v>
      </c>
      <c r="G432" s="1" t="n">
        <f aca="false">IF(ISNUMBER(E432),E432,VALUE(SUBSTITUTE(E432,"#",".01")))</f>
        <v>-42627.595</v>
      </c>
    </row>
    <row r="433" customFormat="false" ht="12.75" hidden="false" customHeight="false" outlineLevel="0" collapsed="false">
      <c r="A433" s="1" t="n">
        <v>24</v>
      </c>
      <c r="B433" s="1" t="n">
        <v>26</v>
      </c>
      <c r="C433" s="1" t="n">
        <v>50</v>
      </c>
      <c r="D433" s="1" t="s">
        <v>404</v>
      </c>
      <c r="E433" s="1" t="n">
        <v>-34476.456</v>
      </c>
      <c r="F433" s="1" t="n">
        <v>8.383</v>
      </c>
      <c r="G433" s="1" t="n">
        <f aca="false">IF(ISNUMBER(E433),E433,VALUE(SUBSTITUTE(E433,"#",".01")))</f>
        <v>-34476.456</v>
      </c>
    </row>
    <row r="434" customFormat="false" ht="12.75" hidden="false" customHeight="false" outlineLevel="0" collapsed="false">
      <c r="A434" s="1" t="n">
        <v>23</v>
      </c>
      <c r="B434" s="1" t="n">
        <v>27</v>
      </c>
      <c r="C434" s="1" t="n">
        <v>50</v>
      </c>
      <c r="D434" s="1" t="s">
        <v>414</v>
      </c>
      <c r="E434" s="1" t="s">
        <v>430</v>
      </c>
      <c r="F434" s="1" t="s">
        <v>378</v>
      </c>
      <c r="G434" s="1" t="n">
        <f aca="false">IF(ISNUMBER(E434),E434,VALUE(SUBSTITUTE(E434,"#",".01")))</f>
        <v>-17630.01</v>
      </c>
    </row>
    <row r="435" customFormat="false" ht="12.75" hidden="false" customHeight="false" outlineLevel="0" collapsed="false">
      <c r="A435" s="1" t="n">
        <v>22</v>
      </c>
      <c r="B435" s="1" t="n">
        <v>28</v>
      </c>
      <c r="C435" s="1" t="n">
        <v>50</v>
      </c>
      <c r="D435" s="1" t="s">
        <v>22</v>
      </c>
      <c r="E435" s="1" t="s">
        <v>431</v>
      </c>
      <c r="F435" s="1" t="s">
        <v>337</v>
      </c>
      <c r="G435" s="1" t="n">
        <f aca="false">IF(ISNUMBER(E435),E435,VALUE(SUBSTITUTE(E435,"#",".01")))</f>
        <v>-4120.01</v>
      </c>
    </row>
    <row r="436" customFormat="false" ht="12.75" hidden="false" customHeight="false" outlineLevel="0" collapsed="false">
      <c r="A436" s="1" t="n">
        <v>34</v>
      </c>
      <c r="B436" s="1" t="n">
        <v>17</v>
      </c>
      <c r="C436" s="1" t="n">
        <v>51</v>
      </c>
      <c r="D436" s="1" t="s">
        <v>341</v>
      </c>
      <c r="E436" s="1" t="s">
        <v>432</v>
      </c>
      <c r="F436" s="1" t="s">
        <v>401</v>
      </c>
      <c r="G436" s="1" t="n">
        <f aca="false">IF(ISNUMBER(E436),E436,VALUE(SUBSTITUTE(E436,"#",".01")))</f>
        <v>14290.01</v>
      </c>
    </row>
    <row r="437" customFormat="false" ht="12.75" hidden="false" customHeight="false" outlineLevel="0" collapsed="false">
      <c r="A437" s="1" t="n">
        <v>33</v>
      </c>
      <c r="B437" s="1" t="n">
        <v>18</v>
      </c>
      <c r="C437" s="1" t="n">
        <v>51</v>
      </c>
      <c r="D437" s="1" t="s">
        <v>345</v>
      </c>
      <c r="E437" s="1" t="s">
        <v>433</v>
      </c>
      <c r="F437" s="1" t="s">
        <v>387</v>
      </c>
      <c r="G437" s="1" t="n">
        <f aca="false">IF(ISNUMBER(E437),E437,VALUE(SUBSTITUTE(E437,"#",".01")))</f>
        <v>-6690.01</v>
      </c>
    </row>
    <row r="438" customFormat="false" ht="12.75" hidden="false" customHeight="false" outlineLevel="0" collapsed="false">
      <c r="A438" s="1" t="n">
        <v>32</v>
      </c>
      <c r="B438" s="1" t="n">
        <v>19</v>
      </c>
      <c r="C438" s="1" t="n">
        <v>51</v>
      </c>
      <c r="D438" s="1" t="s">
        <v>351</v>
      </c>
      <c r="E438" s="1" t="n">
        <v>-22516.196</v>
      </c>
      <c r="F438" s="1" t="n">
        <v>13.047</v>
      </c>
      <c r="G438" s="1" t="n">
        <f aca="false">IF(ISNUMBER(E438),E438,VALUE(SUBSTITUTE(E438,"#",".01")))</f>
        <v>-22516.196</v>
      </c>
    </row>
    <row r="439" customFormat="false" ht="12.75" hidden="false" customHeight="false" outlineLevel="0" collapsed="false">
      <c r="A439" s="1" t="n">
        <v>31</v>
      </c>
      <c r="B439" s="1" t="n">
        <v>20</v>
      </c>
      <c r="C439" s="1" t="n">
        <v>51</v>
      </c>
      <c r="D439" s="1" t="s">
        <v>358</v>
      </c>
      <c r="E439" s="1" t="n">
        <v>-36332.304</v>
      </c>
      <c r="F439" s="1" t="n">
        <v>0.522</v>
      </c>
      <c r="G439" s="1" t="n">
        <f aca="false">IF(ISNUMBER(E439),E439,VALUE(SUBSTITUTE(E439,"#",".01")))</f>
        <v>-36332.304</v>
      </c>
    </row>
    <row r="440" customFormat="false" ht="12.75" hidden="false" customHeight="false" outlineLevel="0" collapsed="false">
      <c r="A440" s="1" t="n">
        <v>30</v>
      </c>
      <c r="B440" s="1" t="n">
        <v>21</v>
      </c>
      <c r="C440" s="1" t="n">
        <v>51</v>
      </c>
      <c r="D440" s="1" t="s">
        <v>366</v>
      </c>
      <c r="E440" s="1" t="n">
        <v>-43228.684</v>
      </c>
      <c r="F440" s="1" t="n">
        <v>20</v>
      </c>
      <c r="G440" s="1" t="n">
        <f aca="false">IF(ISNUMBER(E440),E440,VALUE(SUBSTITUTE(E440,"#",".01")))</f>
        <v>-43228.684</v>
      </c>
    </row>
    <row r="441" customFormat="false" ht="12.75" hidden="false" customHeight="false" outlineLevel="0" collapsed="false">
      <c r="A441" s="1" t="n">
        <v>29</v>
      </c>
      <c r="B441" s="1" t="n">
        <v>22</v>
      </c>
      <c r="C441" s="1" t="n">
        <v>51</v>
      </c>
      <c r="D441" s="1" t="s">
        <v>374</v>
      </c>
      <c r="E441" s="1" t="n">
        <v>-49732.837</v>
      </c>
      <c r="F441" s="1" t="n">
        <v>0.505</v>
      </c>
      <c r="G441" s="1" t="n">
        <f aca="false">IF(ISNUMBER(E441),E441,VALUE(SUBSTITUTE(E441,"#",".01")))</f>
        <v>-49732.837</v>
      </c>
    </row>
    <row r="442" customFormat="false" ht="12.75" hidden="false" customHeight="false" outlineLevel="0" collapsed="false">
      <c r="A442" s="1" t="n">
        <v>28</v>
      </c>
      <c r="B442" s="1" t="n">
        <v>23</v>
      </c>
      <c r="C442" s="1" t="n">
        <v>51</v>
      </c>
      <c r="D442" s="1" t="s">
        <v>382</v>
      </c>
      <c r="E442" s="1" t="n">
        <v>-52203.842</v>
      </c>
      <c r="F442" s="1" t="n">
        <v>0.401</v>
      </c>
      <c r="G442" s="1" t="n">
        <f aca="false">IF(ISNUMBER(E442),E442,VALUE(SUBSTITUTE(E442,"#",".01")))</f>
        <v>-52203.842</v>
      </c>
    </row>
    <row r="443" customFormat="false" ht="12.75" hidden="false" customHeight="false" outlineLevel="0" collapsed="false">
      <c r="A443" s="1" t="n">
        <v>27</v>
      </c>
      <c r="B443" s="1" t="n">
        <v>24</v>
      </c>
      <c r="C443" s="1" t="n">
        <v>51</v>
      </c>
      <c r="D443" s="1" t="s">
        <v>390</v>
      </c>
      <c r="E443" s="1" t="n">
        <v>-51451.395</v>
      </c>
      <c r="F443" s="1" t="n">
        <v>0.4</v>
      </c>
      <c r="G443" s="1" t="n">
        <f aca="false">IF(ISNUMBER(E443),E443,VALUE(SUBSTITUTE(E443,"#",".01")))</f>
        <v>-51451.395</v>
      </c>
    </row>
    <row r="444" customFormat="false" ht="12.75" hidden="false" customHeight="false" outlineLevel="0" collapsed="false">
      <c r="A444" s="1" t="n">
        <v>26</v>
      </c>
      <c r="B444" s="1" t="n">
        <v>25</v>
      </c>
      <c r="C444" s="1" t="n">
        <v>51</v>
      </c>
      <c r="D444" s="1" t="s">
        <v>398</v>
      </c>
      <c r="E444" s="1" t="n">
        <v>-48243.877</v>
      </c>
      <c r="F444" s="1" t="n">
        <v>0.502</v>
      </c>
      <c r="G444" s="1" t="n">
        <f aca="false">IF(ISNUMBER(E444),E444,VALUE(SUBSTITUTE(E444,"#",".01")))</f>
        <v>-48243.877</v>
      </c>
    </row>
    <row r="445" customFormat="false" ht="12.75" hidden="false" customHeight="false" outlineLevel="0" collapsed="false">
      <c r="A445" s="1" t="n">
        <v>25</v>
      </c>
      <c r="B445" s="1" t="n">
        <v>26</v>
      </c>
      <c r="C445" s="1" t="n">
        <v>51</v>
      </c>
      <c r="D445" s="1" t="s">
        <v>404</v>
      </c>
      <c r="E445" s="1" t="n">
        <v>-40202.555</v>
      </c>
      <c r="F445" s="1" t="n">
        <v>8.964</v>
      </c>
      <c r="G445" s="1" t="n">
        <f aca="false">IF(ISNUMBER(E445),E445,VALUE(SUBSTITUTE(E445,"#",".01")))</f>
        <v>-40202.555</v>
      </c>
    </row>
    <row r="446" customFormat="false" ht="12.75" hidden="false" customHeight="false" outlineLevel="0" collapsed="false">
      <c r="A446" s="1" t="n">
        <v>24</v>
      </c>
      <c r="B446" s="1" t="n">
        <v>27</v>
      </c>
      <c r="C446" s="1" t="n">
        <v>51</v>
      </c>
      <c r="D446" s="1" t="s">
        <v>414</v>
      </c>
      <c r="E446" s="1" t="n">
        <v>-27342.143</v>
      </c>
      <c r="F446" s="1" t="n">
        <v>48.438</v>
      </c>
      <c r="G446" s="1" t="n">
        <f aca="false">IF(ISNUMBER(E446),E446,VALUE(SUBSTITUTE(E446,"#",".01")))</f>
        <v>-27342.143</v>
      </c>
    </row>
    <row r="447" customFormat="false" ht="12.75" hidden="false" customHeight="false" outlineLevel="0" collapsed="false">
      <c r="A447" s="1" t="n">
        <v>23</v>
      </c>
      <c r="B447" s="1" t="n">
        <v>28</v>
      </c>
      <c r="C447" s="1" t="n">
        <v>51</v>
      </c>
      <c r="D447" s="1" t="s">
        <v>22</v>
      </c>
      <c r="E447" s="1" t="s">
        <v>434</v>
      </c>
      <c r="F447" s="1" t="s">
        <v>337</v>
      </c>
      <c r="G447" s="1" t="n">
        <f aca="false">IF(ISNUMBER(E447),E447,VALUE(SUBSTITUTE(E447,"#",".01")))</f>
        <v>-11900.01</v>
      </c>
    </row>
    <row r="448" customFormat="false" ht="12.75" hidden="false" customHeight="false" outlineLevel="0" collapsed="false">
      <c r="A448" s="1" t="n">
        <v>34</v>
      </c>
      <c r="B448" s="1" t="n">
        <v>18</v>
      </c>
      <c r="C448" s="1" t="n">
        <v>52</v>
      </c>
      <c r="D448" s="1" t="s">
        <v>345</v>
      </c>
      <c r="E448" s="1" t="s">
        <v>435</v>
      </c>
      <c r="F448" s="1" t="s">
        <v>387</v>
      </c>
      <c r="G448" s="1" t="n">
        <f aca="false">IF(ISNUMBER(E448),E448,VALUE(SUBSTITUTE(E448,"#",".01")))</f>
        <v>-1280.01</v>
      </c>
    </row>
    <row r="449" customFormat="false" ht="12.75" hidden="false" customHeight="false" outlineLevel="0" collapsed="false">
      <c r="A449" s="1" t="n">
        <v>33</v>
      </c>
      <c r="B449" s="1" t="n">
        <v>19</v>
      </c>
      <c r="C449" s="1" t="n">
        <v>52</v>
      </c>
      <c r="D449" s="1" t="s">
        <v>351</v>
      </c>
      <c r="E449" s="1" t="n">
        <v>-17137.627</v>
      </c>
      <c r="F449" s="1" t="n">
        <v>33.534</v>
      </c>
      <c r="G449" s="1" t="n">
        <f aca="false">IF(ISNUMBER(E449),E449,VALUE(SUBSTITUTE(E449,"#",".01")))</f>
        <v>-17137.627</v>
      </c>
    </row>
    <row r="450" customFormat="false" ht="12.75" hidden="false" customHeight="false" outlineLevel="0" collapsed="false">
      <c r="A450" s="1" t="n">
        <v>32</v>
      </c>
      <c r="B450" s="1" t="n">
        <v>20</v>
      </c>
      <c r="C450" s="1" t="n">
        <v>52</v>
      </c>
      <c r="D450" s="1" t="s">
        <v>358</v>
      </c>
      <c r="E450" s="1" t="n">
        <v>-34266.266</v>
      </c>
      <c r="F450" s="1" t="n">
        <v>0.671</v>
      </c>
      <c r="G450" s="1" t="n">
        <f aca="false">IF(ISNUMBER(E450),E450,VALUE(SUBSTITUTE(E450,"#",".01")))</f>
        <v>-34266.266</v>
      </c>
    </row>
    <row r="451" customFormat="false" ht="12.75" hidden="false" customHeight="false" outlineLevel="0" collapsed="false">
      <c r="A451" s="1" t="n">
        <v>31</v>
      </c>
      <c r="B451" s="1" t="n">
        <v>21</v>
      </c>
      <c r="C451" s="1" t="n">
        <v>52</v>
      </c>
      <c r="D451" s="1" t="s">
        <v>366</v>
      </c>
      <c r="E451" s="1" t="n">
        <v>-40443.279</v>
      </c>
      <c r="F451" s="1" t="n">
        <v>81.852</v>
      </c>
      <c r="G451" s="1" t="n">
        <f aca="false">IF(ISNUMBER(E451),E451,VALUE(SUBSTITUTE(E451,"#",".01")))</f>
        <v>-40443.279</v>
      </c>
    </row>
    <row r="452" customFormat="false" ht="12.75" hidden="false" customHeight="false" outlineLevel="0" collapsed="false">
      <c r="A452" s="1" t="n">
        <v>30</v>
      </c>
      <c r="B452" s="1" t="n">
        <v>22</v>
      </c>
      <c r="C452" s="1" t="n">
        <v>52</v>
      </c>
      <c r="D452" s="1" t="s">
        <v>374</v>
      </c>
      <c r="E452" s="1" t="n">
        <v>-49469.82</v>
      </c>
      <c r="F452" s="1" t="n">
        <v>7.072</v>
      </c>
      <c r="G452" s="1" t="n">
        <f aca="false">IF(ISNUMBER(E452),E452,VALUE(SUBSTITUTE(E452,"#",".01")))</f>
        <v>-49469.82</v>
      </c>
    </row>
    <row r="453" customFormat="false" ht="12.75" hidden="false" customHeight="false" outlineLevel="0" collapsed="false">
      <c r="A453" s="1" t="n">
        <v>29</v>
      </c>
      <c r="B453" s="1" t="n">
        <v>23</v>
      </c>
      <c r="C453" s="1" t="n">
        <v>52</v>
      </c>
      <c r="D453" s="1" t="s">
        <v>382</v>
      </c>
      <c r="E453" s="1" t="n">
        <v>-51443.769</v>
      </c>
      <c r="F453" s="1" t="n">
        <v>0.42</v>
      </c>
      <c r="G453" s="1" t="n">
        <f aca="false">IF(ISNUMBER(E453),E453,VALUE(SUBSTITUTE(E453,"#",".01")))</f>
        <v>-51443.769</v>
      </c>
    </row>
    <row r="454" customFormat="false" ht="12.75" hidden="false" customHeight="false" outlineLevel="0" collapsed="false">
      <c r="A454" s="1" t="n">
        <v>28</v>
      </c>
      <c r="B454" s="1" t="n">
        <v>24</v>
      </c>
      <c r="C454" s="1" t="n">
        <v>52</v>
      </c>
      <c r="D454" s="1" t="s">
        <v>390</v>
      </c>
      <c r="E454" s="1" t="n">
        <v>-55419.242</v>
      </c>
      <c r="F454" s="1" t="n">
        <v>0.34</v>
      </c>
      <c r="G454" s="1" t="n">
        <f aca="false">IF(ISNUMBER(E454),E454,VALUE(SUBSTITUTE(E454,"#",".01")))</f>
        <v>-55419.242</v>
      </c>
    </row>
    <row r="455" customFormat="false" ht="12.75" hidden="false" customHeight="false" outlineLevel="0" collapsed="false">
      <c r="A455" s="1" t="n">
        <v>27</v>
      </c>
      <c r="B455" s="1" t="n">
        <v>25</v>
      </c>
      <c r="C455" s="1" t="n">
        <v>52</v>
      </c>
      <c r="D455" s="1" t="s">
        <v>398</v>
      </c>
      <c r="E455" s="1" t="n">
        <v>-50707.284</v>
      </c>
      <c r="F455" s="1" t="n">
        <v>1.845</v>
      </c>
      <c r="G455" s="1" t="n">
        <f aca="false">IF(ISNUMBER(E455),E455,VALUE(SUBSTITUTE(E455,"#",".01")))</f>
        <v>-50707.284</v>
      </c>
    </row>
    <row r="456" customFormat="false" ht="12.75" hidden="false" customHeight="false" outlineLevel="0" collapsed="false">
      <c r="A456" s="1" t="n">
        <v>26</v>
      </c>
      <c r="B456" s="1" t="n">
        <v>26</v>
      </c>
      <c r="C456" s="1" t="n">
        <v>52</v>
      </c>
      <c r="D456" s="1" t="s">
        <v>404</v>
      </c>
      <c r="E456" s="1" t="n">
        <v>-48330.363</v>
      </c>
      <c r="F456" s="1" t="n">
        <v>5.117</v>
      </c>
      <c r="G456" s="1" t="n">
        <f aca="false">IF(ISNUMBER(E456),E456,VALUE(SUBSTITUTE(E456,"#",".01")))</f>
        <v>-48330.363</v>
      </c>
    </row>
    <row r="457" customFormat="false" ht="12.75" hidden="false" customHeight="false" outlineLevel="0" collapsed="false">
      <c r="A457" s="1" t="n">
        <v>25</v>
      </c>
      <c r="B457" s="1" t="n">
        <v>27</v>
      </c>
      <c r="C457" s="1" t="n">
        <v>52</v>
      </c>
      <c r="D457" s="1" t="s">
        <v>414</v>
      </c>
      <c r="E457" s="1" t="n">
        <v>-34360.951</v>
      </c>
      <c r="F457" s="1" t="n">
        <v>8.383</v>
      </c>
      <c r="G457" s="1" t="n">
        <f aca="false">IF(ISNUMBER(E457),E457,VALUE(SUBSTITUTE(E457,"#",".01")))</f>
        <v>-34360.951</v>
      </c>
    </row>
    <row r="458" customFormat="false" ht="12.75" hidden="false" customHeight="false" outlineLevel="0" collapsed="false">
      <c r="A458" s="1" t="n">
        <v>24</v>
      </c>
      <c r="B458" s="1" t="n">
        <v>28</v>
      </c>
      <c r="C458" s="1" t="n">
        <v>52</v>
      </c>
      <c r="D458" s="1" t="s">
        <v>22</v>
      </c>
      <c r="E458" s="1" t="s">
        <v>436</v>
      </c>
      <c r="F458" s="1" t="s">
        <v>378</v>
      </c>
      <c r="G458" s="1" t="n">
        <f aca="false">IF(ISNUMBER(E458),E458,VALUE(SUBSTITUTE(E458,"#",".01")))</f>
        <v>-22330.01</v>
      </c>
    </row>
    <row r="459" customFormat="false" ht="12.75" hidden="false" customHeight="false" outlineLevel="0" collapsed="false">
      <c r="A459" s="1" t="n">
        <v>23</v>
      </c>
      <c r="B459" s="1" t="n">
        <v>29</v>
      </c>
      <c r="C459" s="1" t="n">
        <v>52</v>
      </c>
      <c r="D459" s="1" t="s">
        <v>437</v>
      </c>
      <c r="E459" s="1" t="s">
        <v>438</v>
      </c>
      <c r="F459" s="1" t="s">
        <v>387</v>
      </c>
      <c r="G459" s="1" t="n">
        <f aca="false">IF(ISNUMBER(E459),E459,VALUE(SUBSTITUTE(E459,"#",".01")))</f>
        <v>-2280.01</v>
      </c>
    </row>
    <row r="460" customFormat="false" ht="12.75" hidden="false" customHeight="false" outlineLevel="0" collapsed="false">
      <c r="A460" s="1" t="n">
        <v>35</v>
      </c>
      <c r="B460" s="1" t="n">
        <v>18</v>
      </c>
      <c r="C460" s="1" t="n">
        <v>53</v>
      </c>
      <c r="D460" s="1" t="s">
        <v>345</v>
      </c>
      <c r="E460" s="1" t="s">
        <v>439</v>
      </c>
      <c r="F460" s="1" t="s">
        <v>340</v>
      </c>
      <c r="G460" s="1" t="n">
        <f aca="false">IF(ISNUMBER(E460),E460,VALUE(SUBSTITUTE(E460,"#",".01")))</f>
        <v>6791.01</v>
      </c>
    </row>
    <row r="461" customFormat="false" ht="12.75" hidden="false" customHeight="false" outlineLevel="0" collapsed="false">
      <c r="A461" s="1" t="n">
        <v>34</v>
      </c>
      <c r="B461" s="1" t="n">
        <v>19</v>
      </c>
      <c r="C461" s="1" t="n">
        <v>53</v>
      </c>
      <c r="D461" s="1" t="s">
        <v>351</v>
      </c>
      <c r="E461" s="1" t="n">
        <v>-12295.721</v>
      </c>
      <c r="F461" s="1" t="n">
        <v>111.779</v>
      </c>
      <c r="G461" s="1" t="n">
        <f aca="false">IF(ISNUMBER(E461),E461,VALUE(SUBSTITUTE(E461,"#",".01")))</f>
        <v>-12295.721</v>
      </c>
    </row>
    <row r="462" customFormat="false" ht="12.75" hidden="false" customHeight="false" outlineLevel="0" collapsed="false">
      <c r="A462" s="1" t="n">
        <v>33</v>
      </c>
      <c r="B462" s="1" t="n">
        <v>20</v>
      </c>
      <c r="C462" s="1" t="n">
        <v>53</v>
      </c>
      <c r="D462" s="1" t="s">
        <v>358</v>
      </c>
      <c r="E462" s="1" t="n">
        <v>-29387.704</v>
      </c>
      <c r="F462" s="1" t="n">
        <v>43.78</v>
      </c>
      <c r="G462" s="1" t="n">
        <f aca="false">IF(ISNUMBER(E462),E462,VALUE(SUBSTITUTE(E462,"#",".01")))</f>
        <v>-29387.704</v>
      </c>
    </row>
    <row r="463" customFormat="false" ht="12.75" hidden="false" customHeight="false" outlineLevel="0" collapsed="false">
      <c r="A463" s="1" t="n">
        <v>32</v>
      </c>
      <c r="B463" s="1" t="n">
        <v>21</v>
      </c>
      <c r="C463" s="1" t="n">
        <v>53</v>
      </c>
      <c r="D463" s="1" t="s">
        <v>366</v>
      </c>
      <c r="E463" s="1" t="n">
        <v>-38906.808</v>
      </c>
      <c r="F463" s="1" t="n">
        <v>94.087</v>
      </c>
      <c r="G463" s="1" t="n">
        <f aca="false">IF(ISNUMBER(E463),E463,VALUE(SUBSTITUTE(E463,"#",".01")))</f>
        <v>-38906.808</v>
      </c>
    </row>
    <row r="464" customFormat="false" ht="12.75" hidden="false" customHeight="false" outlineLevel="0" collapsed="false">
      <c r="A464" s="1" t="n">
        <v>31</v>
      </c>
      <c r="B464" s="1" t="n">
        <v>22</v>
      </c>
      <c r="C464" s="1" t="n">
        <v>53</v>
      </c>
      <c r="D464" s="1" t="s">
        <v>374</v>
      </c>
      <c r="E464" s="1" t="n">
        <v>-46831.061</v>
      </c>
      <c r="F464" s="1" t="n">
        <v>100.049</v>
      </c>
      <c r="G464" s="1" t="n">
        <f aca="false">IF(ISNUMBER(E464),E464,VALUE(SUBSTITUTE(E464,"#",".01")))</f>
        <v>-46831.061</v>
      </c>
    </row>
    <row r="465" customFormat="false" ht="12.75" hidden="false" customHeight="false" outlineLevel="0" collapsed="false">
      <c r="A465" s="1" t="n">
        <v>30</v>
      </c>
      <c r="B465" s="1" t="n">
        <v>23</v>
      </c>
      <c r="C465" s="1" t="n">
        <v>53</v>
      </c>
      <c r="D465" s="1" t="s">
        <v>382</v>
      </c>
      <c r="E465" s="1" t="n">
        <v>-51851.061</v>
      </c>
      <c r="F465" s="1" t="n">
        <v>3.12</v>
      </c>
      <c r="G465" s="1" t="n">
        <f aca="false">IF(ISNUMBER(E465),E465,VALUE(SUBSTITUTE(E465,"#",".01")))</f>
        <v>-51851.061</v>
      </c>
    </row>
    <row r="466" customFormat="false" ht="12.75" hidden="false" customHeight="false" outlineLevel="0" collapsed="false">
      <c r="A466" s="1" t="n">
        <v>29</v>
      </c>
      <c r="B466" s="1" t="n">
        <v>24</v>
      </c>
      <c r="C466" s="1" t="n">
        <v>53</v>
      </c>
      <c r="D466" s="1" t="s">
        <v>390</v>
      </c>
      <c r="E466" s="1" t="n">
        <v>-55286.999</v>
      </c>
      <c r="F466" s="1" t="n">
        <v>0.348</v>
      </c>
      <c r="G466" s="1" t="n">
        <f aca="false">IF(ISNUMBER(E466),E466,VALUE(SUBSTITUTE(E466,"#",".01")))</f>
        <v>-55286.999</v>
      </c>
    </row>
    <row r="467" customFormat="false" ht="12.75" hidden="false" customHeight="false" outlineLevel="0" collapsed="false">
      <c r="A467" s="1" t="n">
        <v>28</v>
      </c>
      <c r="B467" s="1" t="n">
        <v>25</v>
      </c>
      <c r="C467" s="1" t="n">
        <v>53</v>
      </c>
      <c r="D467" s="1" t="s">
        <v>398</v>
      </c>
      <c r="E467" s="1" t="n">
        <v>-54690.116</v>
      </c>
      <c r="F467" s="1" t="n">
        <v>0.45</v>
      </c>
      <c r="G467" s="1" t="n">
        <f aca="false">IF(ISNUMBER(E467),E467,VALUE(SUBSTITUTE(E467,"#",".01")))</f>
        <v>-54690.116</v>
      </c>
    </row>
    <row r="468" customFormat="false" ht="12.75" hidden="false" customHeight="false" outlineLevel="0" collapsed="false">
      <c r="A468" s="1" t="n">
        <v>27</v>
      </c>
      <c r="B468" s="1" t="n">
        <v>26</v>
      </c>
      <c r="C468" s="1" t="n">
        <v>53</v>
      </c>
      <c r="D468" s="1" t="s">
        <v>404</v>
      </c>
      <c r="E468" s="1" t="n">
        <v>-50947.53</v>
      </c>
      <c r="F468" s="1" t="n">
        <v>1.656</v>
      </c>
      <c r="G468" s="1" t="n">
        <f aca="false">IF(ISNUMBER(E468),E468,VALUE(SUBSTITUTE(E468,"#",".01")))</f>
        <v>-50947.53</v>
      </c>
    </row>
    <row r="469" customFormat="false" ht="12.75" hidden="false" customHeight="false" outlineLevel="0" collapsed="false">
      <c r="A469" s="1" t="n">
        <v>26</v>
      </c>
      <c r="B469" s="1" t="n">
        <v>27</v>
      </c>
      <c r="C469" s="1" t="n">
        <v>53</v>
      </c>
      <c r="D469" s="1" t="s">
        <v>414</v>
      </c>
      <c r="E469" s="1" t="n">
        <v>-42659.428</v>
      </c>
      <c r="F469" s="1" t="n">
        <v>1.713</v>
      </c>
      <c r="G469" s="1" t="n">
        <f aca="false">IF(ISNUMBER(E469),E469,VALUE(SUBSTITUTE(E469,"#",".01")))</f>
        <v>-42659.428</v>
      </c>
    </row>
    <row r="470" customFormat="false" ht="12.75" hidden="false" customHeight="false" outlineLevel="0" collapsed="false">
      <c r="A470" s="1" t="n">
        <v>25</v>
      </c>
      <c r="B470" s="1" t="n">
        <v>28</v>
      </c>
      <c r="C470" s="1" t="n">
        <v>53</v>
      </c>
      <c r="D470" s="1" t="s">
        <v>22</v>
      </c>
      <c r="E470" s="1" t="n">
        <v>-29630.824</v>
      </c>
      <c r="F470" s="1" t="n">
        <v>25.15</v>
      </c>
      <c r="G470" s="1" t="n">
        <f aca="false">IF(ISNUMBER(E470),E470,VALUE(SUBSTITUTE(E470,"#",".01")))</f>
        <v>-29630.824</v>
      </c>
    </row>
    <row r="471" customFormat="false" ht="12.75" hidden="false" customHeight="false" outlineLevel="0" collapsed="false">
      <c r="A471" s="1" t="n">
        <v>24</v>
      </c>
      <c r="B471" s="1" t="n">
        <v>29</v>
      </c>
      <c r="C471" s="1" t="n">
        <v>53</v>
      </c>
      <c r="D471" s="1" t="s">
        <v>437</v>
      </c>
      <c r="E471" s="1" t="s">
        <v>440</v>
      </c>
      <c r="F471" s="1" t="s">
        <v>337</v>
      </c>
      <c r="G471" s="1" t="n">
        <f aca="false">IF(ISNUMBER(E471),E471,VALUE(SUBSTITUTE(E471,"#",".01")))</f>
        <v>-13270.01</v>
      </c>
    </row>
    <row r="472" customFormat="false" ht="12.75" hidden="false" customHeight="false" outlineLevel="0" collapsed="false">
      <c r="A472" s="1" t="n">
        <v>35</v>
      </c>
      <c r="B472" s="1" t="n">
        <v>19</v>
      </c>
      <c r="C472" s="1" t="n">
        <v>54</v>
      </c>
      <c r="D472" s="1" t="s">
        <v>351</v>
      </c>
      <c r="E472" s="1" t="s">
        <v>441</v>
      </c>
      <c r="F472" s="1" t="s">
        <v>316</v>
      </c>
      <c r="G472" s="1" t="n">
        <f aca="false">IF(ISNUMBER(E472),E472,VALUE(SUBSTITUTE(E472,"#",".01")))</f>
        <v>-5002.01</v>
      </c>
    </row>
    <row r="473" customFormat="false" ht="12.75" hidden="false" customHeight="false" outlineLevel="0" collapsed="false">
      <c r="A473" s="1" t="n">
        <v>34</v>
      </c>
      <c r="B473" s="1" t="n">
        <v>20</v>
      </c>
      <c r="C473" s="1" t="n">
        <v>54</v>
      </c>
      <c r="D473" s="1" t="s">
        <v>358</v>
      </c>
      <c r="E473" s="1" t="n">
        <v>-25160.585</v>
      </c>
      <c r="F473" s="1" t="n">
        <v>48.438</v>
      </c>
      <c r="G473" s="1" t="n">
        <f aca="false">IF(ISNUMBER(E473),E473,VALUE(SUBSTITUTE(E473,"#",".01")))</f>
        <v>-25160.585</v>
      </c>
    </row>
    <row r="474" customFormat="false" ht="12.75" hidden="false" customHeight="false" outlineLevel="0" collapsed="false">
      <c r="A474" s="1" t="n">
        <v>33</v>
      </c>
      <c r="B474" s="1" t="n">
        <v>21</v>
      </c>
      <c r="C474" s="1" t="n">
        <v>54</v>
      </c>
      <c r="D474" s="1" t="s">
        <v>366</v>
      </c>
      <c r="E474" s="1" t="n">
        <v>-33890.9</v>
      </c>
      <c r="F474" s="1" t="n">
        <v>272.8</v>
      </c>
      <c r="G474" s="1" t="n">
        <f aca="false">IF(ISNUMBER(E474),E474,VALUE(SUBSTITUTE(E474,"#",".01")))</f>
        <v>-33890.9</v>
      </c>
    </row>
    <row r="475" customFormat="false" ht="12.75" hidden="false" customHeight="false" outlineLevel="0" collapsed="false">
      <c r="A475" s="1" t="n">
        <v>32</v>
      </c>
      <c r="B475" s="1" t="n">
        <v>22</v>
      </c>
      <c r="C475" s="1" t="n">
        <v>54</v>
      </c>
      <c r="D475" s="1" t="s">
        <v>374</v>
      </c>
      <c r="E475" s="1" t="n">
        <v>-45621.981</v>
      </c>
      <c r="F475" s="1" t="n">
        <v>82.461</v>
      </c>
      <c r="G475" s="1" t="n">
        <f aca="false">IF(ISNUMBER(E475),E475,VALUE(SUBSTITUTE(E475,"#",".01")))</f>
        <v>-45621.981</v>
      </c>
    </row>
    <row r="476" customFormat="false" ht="12.75" hidden="false" customHeight="false" outlineLevel="0" collapsed="false">
      <c r="A476" s="1" t="n">
        <v>31</v>
      </c>
      <c r="B476" s="1" t="n">
        <v>23</v>
      </c>
      <c r="C476" s="1" t="n">
        <v>54</v>
      </c>
      <c r="D476" s="1" t="s">
        <v>382</v>
      </c>
      <c r="E476" s="1" t="n">
        <v>-49893.173</v>
      </c>
      <c r="F476" s="1" t="n">
        <v>15.004</v>
      </c>
      <c r="G476" s="1" t="n">
        <f aca="false">IF(ISNUMBER(E476),E476,VALUE(SUBSTITUTE(E476,"#",".01")))</f>
        <v>-49893.173</v>
      </c>
    </row>
    <row r="477" customFormat="false" ht="12.75" hidden="false" customHeight="false" outlineLevel="0" collapsed="false">
      <c r="A477" s="1" t="n">
        <v>30</v>
      </c>
      <c r="B477" s="1" t="n">
        <v>24</v>
      </c>
      <c r="C477" s="1" t="n">
        <v>54</v>
      </c>
      <c r="D477" s="1" t="s">
        <v>390</v>
      </c>
      <c r="E477" s="1" t="n">
        <v>-56934.765</v>
      </c>
      <c r="F477" s="1" t="n">
        <v>0.353</v>
      </c>
      <c r="G477" s="1" t="n">
        <f aca="false">IF(ISNUMBER(E477),E477,VALUE(SUBSTITUTE(E477,"#",".01")))</f>
        <v>-56934.765</v>
      </c>
    </row>
    <row r="478" customFormat="false" ht="12.75" hidden="false" customHeight="false" outlineLevel="0" collapsed="false">
      <c r="A478" s="1" t="n">
        <v>29</v>
      </c>
      <c r="B478" s="1" t="n">
        <v>25</v>
      </c>
      <c r="C478" s="1" t="n">
        <v>54</v>
      </c>
      <c r="D478" s="1" t="s">
        <v>398</v>
      </c>
      <c r="E478" s="1" t="n">
        <v>-55557.629</v>
      </c>
      <c r="F478" s="1" t="n">
        <v>1.059</v>
      </c>
      <c r="G478" s="1" t="n">
        <f aca="false">IF(ISNUMBER(E478),E478,VALUE(SUBSTITUTE(E478,"#",".01")))</f>
        <v>-55557.629</v>
      </c>
    </row>
    <row r="479" customFormat="false" ht="12.75" hidden="false" customHeight="false" outlineLevel="0" collapsed="false">
      <c r="A479" s="1" t="n">
        <v>28</v>
      </c>
      <c r="B479" s="1" t="n">
        <v>26</v>
      </c>
      <c r="C479" s="1" t="n">
        <v>54</v>
      </c>
      <c r="D479" s="1" t="s">
        <v>404</v>
      </c>
      <c r="E479" s="1" t="n">
        <v>-56254.5</v>
      </c>
      <c r="F479" s="1" t="n">
        <v>0.372</v>
      </c>
      <c r="G479" s="1" t="n">
        <f aca="false">IF(ISNUMBER(E479),E479,VALUE(SUBSTITUTE(E479,"#",".01")))</f>
        <v>-56254.5</v>
      </c>
    </row>
    <row r="480" customFormat="false" ht="12.75" hidden="false" customHeight="false" outlineLevel="0" collapsed="false">
      <c r="A480" s="1" t="n">
        <v>27</v>
      </c>
      <c r="B480" s="1" t="n">
        <v>27</v>
      </c>
      <c r="C480" s="1" t="n">
        <v>54</v>
      </c>
      <c r="D480" s="1" t="s">
        <v>414</v>
      </c>
      <c r="E480" s="1" t="n">
        <v>-48009.953</v>
      </c>
      <c r="F480" s="1" t="n">
        <v>0.383</v>
      </c>
      <c r="G480" s="1" t="n">
        <f aca="false">IF(ISNUMBER(E480),E480,VALUE(SUBSTITUTE(E480,"#",".01")))</f>
        <v>-48009.953</v>
      </c>
    </row>
    <row r="481" customFormat="false" ht="12.75" hidden="false" customHeight="false" outlineLevel="0" collapsed="false">
      <c r="A481" s="1" t="n">
        <v>26</v>
      </c>
      <c r="B481" s="1" t="n">
        <v>28</v>
      </c>
      <c r="C481" s="1" t="n">
        <v>54</v>
      </c>
      <c r="D481" s="1" t="s">
        <v>22</v>
      </c>
      <c r="E481" s="1" t="n">
        <v>-39278.308</v>
      </c>
      <c r="F481" s="1" t="n">
        <v>4.657</v>
      </c>
      <c r="G481" s="1" t="n">
        <f aca="false">IF(ISNUMBER(E481),E481,VALUE(SUBSTITUTE(E481,"#",".01")))</f>
        <v>-39278.308</v>
      </c>
    </row>
    <row r="482" customFormat="false" ht="12.75" hidden="false" customHeight="false" outlineLevel="0" collapsed="false">
      <c r="A482" s="1" t="n">
        <v>25</v>
      </c>
      <c r="B482" s="1" t="n">
        <v>29</v>
      </c>
      <c r="C482" s="1" t="n">
        <v>54</v>
      </c>
      <c r="D482" s="1" t="s">
        <v>437</v>
      </c>
      <c r="E482" s="1" t="s">
        <v>442</v>
      </c>
      <c r="F482" s="1" t="s">
        <v>378</v>
      </c>
      <c r="G482" s="1" t="n">
        <f aca="false">IF(ISNUMBER(E482),E482,VALUE(SUBSTITUTE(E482,"#",".01")))</f>
        <v>-21410.01</v>
      </c>
    </row>
    <row r="483" customFormat="false" ht="12.75" hidden="false" customHeight="false" outlineLevel="0" collapsed="false">
      <c r="A483" s="1" t="n">
        <v>24</v>
      </c>
      <c r="B483" s="1" t="n">
        <v>30</v>
      </c>
      <c r="C483" s="1" t="n">
        <v>54</v>
      </c>
      <c r="D483" s="1" t="s">
        <v>443</v>
      </c>
      <c r="E483" s="1" t="s">
        <v>444</v>
      </c>
      <c r="F483" s="1" t="s">
        <v>378</v>
      </c>
      <c r="G483" s="1" t="n">
        <f aca="false">IF(ISNUMBER(E483),E483,VALUE(SUBSTITUTE(E483,"#",".01")))</f>
        <v>-6272.01</v>
      </c>
    </row>
    <row r="484" customFormat="false" ht="12.75" hidden="false" customHeight="false" outlineLevel="0" collapsed="false">
      <c r="A484" s="1" t="n">
        <v>36</v>
      </c>
      <c r="B484" s="1" t="n">
        <v>19</v>
      </c>
      <c r="C484" s="1" t="n">
        <v>55</v>
      </c>
      <c r="D484" s="1" t="s">
        <v>351</v>
      </c>
      <c r="E484" s="1" t="s">
        <v>445</v>
      </c>
      <c r="F484" s="1" t="s">
        <v>340</v>
      </c>
      <c r="G484" s="1" t="n">
        <f aca="false">IF(ISNUMBER(E484),E484,VALUE(SUBSTITUTE(E484,"#",".01")))</f>
        <v>708.01</v>
      </c>
    </row>
    <row r="485" customFormat="false" ht="12.75" hidden="false" customHeight="false" outlineLevel="0" collapsed="false">
      <c r="A485" s="1" t="n">
        <v>35</v>
      </c>
      <c r="B485" s="1" t="n">
        <v>20</v>
      </c>
      <c r="C485" s="1" t="n">
        <v>55</v>
      </c>
      <c r="D485" s="1" t="s">
        <v>358</v>
      </c>
      <c r="E485" s="1" t="s">
        <v>446</v>
      </c>
      <c r="F485" s="1" t="s">
        <v>371</v>
      </c>
      <c r="G485" s="1" t="n">
        <f aca="false">IF(ISNUMBER(E485),E485,VALUE(SUBSTITUTE(E485,"#",".01")))</f>
        <v>-18350.01</v>
      </c>
    </row>
    <row r="486" customFormat="false" ht="12.75" hidden="false" customHeight="false" outlineLevel="0" collapsed="false">
      <c r="A486" s="1" t="n">
        <v>34</v>
      </c>
      <c r="B486" s="1" t="n">
        <v>21</v>
      </c>
      <c r="C486" s="1" t="n">
        <v>55</v>
      </c>
      <c r="D486" s="1" t="s">
        <v>366</v>
      </c>
      <c r="E486" s="1" t="n">
        <v>-30159.352</v>
      </c>
      <c r="F486" s="1" t="n">
        <v>454.342</v>
      </c>
      <c r="G486" s="1" t="n">
        <f aca="false">IF(ISNUMBER(E486),E486,VALUE(SUBSTITUTE(E486,"#",".01")))</f>
        <v>-30159.352</v>
      </c>
    </row>
    <row r="487" customFormat="false" ht="12.75" hidden="false" customHeight="false" outlineLevel="0" collapsed="false">
      <c r="A487" s="1" t="n">
        <v>33</v>
      </c>
      <c r="B487" s="1" t="n">
        <v>22</v>
      </c>
      <c r="C487" s="1" t="n">
        <v>55</v>
      </c>
      <c r="D487" s="1" t="s">
        <v>374</v>
      </c>
      <c r="E487" s="1" t="n">
        <v>-41668.088</v>
      </c>
      <c r="F487" s="1" t="n">
        <v>161.602</v>
      </c>
      <c r="G487" s="1" t="n">
        <f aca="false">IF(ISNUMBER(E487),E487,VALUE(SUBSTITUTE(E487,"#",".01")))</f>
        <v>-41668.088</v>
      </c>
    </row>
    <row r="488" customFormat="false" ht="12.75" hidden="false" customHeight="false" outlineLevel="0" collapsed="false">
      <c r="A488" s="1" t="n">
        <v>32</v>
      </c>
      <c r="B488" s="1" t="n">
        <v>23</v>
      </c>
      <c r="C488" s="1" t="n">
        <v>55</v>
      </c>
      <c r="D488" s="1" t="s">
        <v>382</v>
      </c>
      <c r="E488" s="1" t="n">
        <v>-49144.586</v>
      </c>
      <c r="F488" s="1" t="n">
        <v>95.104</v>
      </c>
      <c r="G488" s="1" t="n">
        <f aca="false">IF(ISNUMBER(E488),E488,VALUE(SUBSTITUTE(E488,"#",".01")))</f>
        <v>-49144.586</v>
      </c>
    </row>
    <row r="489" customFormat="false" ht="12.75" hidden="false" customHeight="false" outlineLevel="0" collapsed="false">
      <c r="A489" s="1" t="n">
        <v>31</v>
      </c>
      <c r="B489" s="1" t="n">
        <v>24</v>
      </c>
      <c r="C489" s="1" t="n">
        <v>55</v>
      </c>
      <c r="D489" s="1" t="s">
        <v>390</v>
      </c>
      <c r="E489" s="1" t="n">
        <v>-55109.71</v>
      </c>
      <c r="F489" s="1" t="n">
        <v>0.399</v>
      </c>
      <c r="G489" s="1" t="n">
        <f aca="false">IF(ISNUMBER(E489),E489,VALUE(SUBSTITUTE(E489,"#",".01")))</f>
        <v>-55109.71</v>
      </c>
    </row>
    <row r="490" customFormat="false" ht="12.75" hidden="false" customHeight="false" outlineLevel="0" collapsed="false">
      <c r="A490" s="1" t="n">
        <v>30</v>
      </c>
      <c r="B490" s="1" t="n">
        <v>25</v>
      </c>
      <c r="C490" s="1" t="n">
        <v>55</v>
      </c>
      <c r="D490" s="1" t="s">
        <v>398</v>
      </c>
      <c r="E490" s="1" t="n">
        <v>-57712.413</v>
      </c>
      <c r="F490" s="1" t="n">
        <v>0.303</v>
      </c>
      <c r="G490" s="1" t="n">
        <f aca="false">IF(ISNUMBER(E490),E490,VALUE(SUBSTITUTE(E490,"#",".01")))</f>
        <v>-57712.413</v>
      </c>
    </row>
    <row r="491" customFormat="false" ht="12.75" hidden="false" customHeight="false" outlineLevel="0" collapsed="false">
      <c r="A491" s="1" t="n">
        <v>29</v>
      </c>
      <c r="B491" s="1" t="n">
        <v>26</v>
      </c>
      <c r="C491" s="1" t="n">
        <v>55</v>
      </c>
      <c r="D491" s="1" t="s">
        <v>404</v>
      </c>
      <c r="E491" s="1" t="n">
        <v>-57481.3</v>
      </c>
      <c r="F491" s="1" t="n">
        <v>0.342</v>
      </c>
      <c r="G491" s="1" t="n">
        <f aca="false">IF(ISNUMBER(E491),E491,VALUE(SUBSTITUTE(E491,"#",".01")))</f>
        <v>-57481.3</v>
      </c>
    </row>
    <row r="492" customFormat="false" ht="12.75" hidden="false" customHeight="false" outlineLevel="0" collapsed="false">
      <c r="A492" s="1" t="n">
        <v>28</v>
      </c>
      <c r="B492" s="1" t="n">
        <v>27</v>
      </c>
      <c r="C492" s="1" t="n">
        <v>55</v>
      </c>
      <c r="D492" s="1" t="s">
        <v>414</v>
      </c>
      <c r="E492" s="1" t="n">
        <v>-54029.883</v>
      </c>
      <c r="F492" s="1" t="n">
        <v>0.428</v>
      </c>
      <c r="G492" s="1" t="n">
        <f aca="false">IF(ISNUMBER(E492),E492,VALUE(SUBSTITUTE(E492,"#",".01")))</f>
        <v>-54029.883</v>
      </c>
    </row>
    <row r="493" customFormat="false" ht="12.75" hidden="false" customHeight="false" outlineLevel="0" collapsed="false">
      <c r="A493" s="1" t="n">
        <v>27</v>
      </c>
      <c r="B493" s="1" t="n">
        <v>28</v>
      </c>
      <c r="C493" s="1" t="n">
        <v>55</v>
      </c>
      <c r="D493" s="1" t="s">
        <v>22</v>
      </c>
      <c r="E493" s="1" t="n">
        <v>-45335.849</v>
      </c>
      <c r="F493" s="1" t="n">
        <v>0.719</v>
      </c>
      <c r="G493" s="1" t="n">
        <f aca="false">IF(ISNUMBER(E493),E493,VALUE(SUBSTITUTE(E493,"#",".01")))</f>
        <v>-45335.849</v>
      </c>
    </row>
    <row r="494" customFormat="false" ht="12.75" hidden="false" customHeight="false" outlineLevel="0" collapsed="false">
      <c r="A494" s="1" t="n">
        <v>26</v>
      </c>
      <c r="B494" s="1" t="n">
        <v>29</v>
      </c>
      <c r="C494" s="1" t="n">
        <v>55</v>
      </c>
      <c r="D494" s="1" t="s">
        <v>437</v>
      </c>
      <c r="E494" s="1" t="n">
        <v>-31635.399</v>
      </c>
      <c r="F494" s="1" t="n">
        <v>155.559</v>
      </c>
      <c r="G494" s="1" t="n">
        <f aca="false">IF(ISNUMBER(E494),E494,VALUE(SUBSTITUTE(E494,"#",".01")))</f>
        <v>-31635.399</v>
      </c>
    </row>
    <row r="495" customFormat="false" ht="12.75" hidden="false" customHeight="false" outlineLevel="0" collapsed="false">
      <c r="A495" s="1" t="n">
        <v>25</v>
      </c>
      <c r="B495" s="1" t="n">
        <v>30</v>
      </c>
      <c r="C495" s="1" t="n">
        <v>55</v>
      </c>
      <c r="D495" s="1" t="s">
        <v>443</v>
      </c>
      <c r="E495" s="1" t="s">
        <v>447</v>
      </c>
      <c r="F495" s="1" t="s">
        <v>378</v>
      </c>
      <c r="G495" s="1" t="n">
        <f aca="false">IF(ISNUMBER(E495),E495,VALUE(SUBSTITUTE(E495,"#",".01")))</f>
        <v>-14570.01</v>
      </c>
    </row>
    <row r="496" customFormat="false" ht="12.75" hidden="false" customHeight="false" outlineLevel="0" collapsed="false">
      <c r="A496" s="1" t="n">
        <v>37</v>
      </c>
      <c r="B496" s="1" t="n">
        <v>19</v>
      </c>
      <c r="C496" s="1" t="n">
        <v>56</v>
      </c>
      <c r="D496" s="1" t="s">
        <v>351</v>
      </c>
      <c r="E496" s="1" t="s">
        <v>448</v>
      </c>
      <c r="F496" s="1" t="s">
        <v>449</v>
      </c>
      <c r="G496" s="1" t="n">
        <f aca="false">IF(ISNUMBER(E496),E496,VALUE(SUBSTITUTE(E496,"#",".01")))</f>
        <v>7927.01</v>
      </c>
    </row>
    <row r="497" customFormat="false" ht="12.75" hidden="false" customHeight="false" outlineLevel="0" collapsed="false">
      <c r="A497" s="1" t="n">
        <v>36</v>
      </c>
      <c r="B497" s="1" t="n">
        <v>20</v>
      </c>
      <c r="C497" s="1" t="n">
        <v>56</v>
      </c>
      <c r="D497" s="1" t="s">
        <v>358</v>
      </c>
      <c r="E497" s="1" t="s">
        <v>450</v>
      </c>
      <c r="F497" s="1" t="s">
        <v>378</v>
      </c>
      <c r="G497" s="1" t="n">
        <f aca="false">IF(ISNUMBER(E497),E497,VALUE(SUBSTITUTE(E497,"#",".01")))</f>
        <v>-13898.01</v>
      </c>
    </row>
    <row r="498" customFormat="false" ht="12.75" hidden="false" customHeight="false" outlineLevel="0" collapsed="false">
      <c r="A498" s="1" t="n">
        <v>35</v>
      </c>
      <c r="B498" s="1" t="n">
        <v>21</v>
      </c>
      <c r="C498" s="1" t="n">
        <v>56</v>
      </c>
      <c r="D498" s="1" t="s">
        <v>366</v>
      </c>
      <c r="E498" s="1" t="n">
        <v>-24852.26</v>
      </c>
      <c r="F498" s="1" t="n">
        <v>586.841</v>
      </c>
      <c r="G498" s="1" t="n">
        <f aca="false">IF(ISNUMBER(E498),E498,VALUE(SUBSTITUTE(E498,"#",".01")))</f>
        <v>-24852.26</v>
      </c>
    </row>
    <row r="499" customFormat="false" ht="12.75" hidden="false" customHeight="false" outlineLevel="0" collapsed="false">
      <c r="A499" s="1" t="n">
        <v>34</v>
      </c>
      <c r="B499" s="1" t="n">
        <v>22</v>
      </c>
      <c r="C499" s="1" t="n">
        <v>56</v>
      </c>
      <c r="D499" s="1" t="s">
        <v>374</v>
      </c>
      <c r="E499" s="1" t="n">
        <v>-39320.048</v>
      </c>
      <c r="F499" s="1" t="n">
        <v>121.247</v>
      </c>
      <c r="G499" s="1" t="n">
        <f aca="false">IF(ISNUMBER(E499),E499,VALUE(SUBSTITUTE(E499,"#",".01")))</f>
        <v>-39320.048</v>
      </c>
    </row>
    <row r="500" customFormat="false" ht="12.75" hidden="false" customHeight="false" outlineLevel="0" collapsed="false">
      <c r="A500" s="1" t="n">
        <v>33</v>
      </c>
      <c r="B500" s="1" t="n">
        <v>23</v>
      </c>
      <c r="C500" s="1" t="n">
        <v>56</v>
      </c>
      <c r="D500" s="1" t="s">
        <v>382</v>
      </c>
      <c r="E500" s="1" t="n">
        <v>-46154.881</v>
      </c>
      <c r="F500" s="1" t="n">
        <v>176.898</v>
      </c>
      <c r="G500" s="1" t="n">
        <f aca="false">IF(ISNUMBER(E500),E500,VALUE(SUBSTITUTE(E500,"#",".01")))</f>
        <v>-46154.881</v>
      </c>
    </row>
    <row r="501" customFormat="false" ht="12.75" hidden="false" customHeight="false" outlineLevel="0" collapsed="false">
      <c r="A501" s="1" t="n">
        <v>32</v>
      </c>
      <c r="B501" s="1" t="n">
        <v>24</v>
      </c>
      <c r="C501" s="1" t="n">
        <v>56</v>
      </c>
      <c r="D501" s="1" t="s">
        <v>390</v>
      </c>
      <c r="E501" s="1" t="n">
        <v>-55285.001</v>
      </c>
      <c r="F501" s="1" t="n">
        <v>0.603</v>
      </c>
      <c r="G501" s="1" t="n">
        <f aca="false">IF(ISNUMBER(E501),E501,VALUE(SUBSTITUTE(E501,"#",".01")))</f>
        <v>-55285.001</v>
      </c>
    </row>
    <row r="502" customFormat="false" ht="12.75" hidden="false" customHeight="false" outlineLevel="0" collapsed="false">
      <c r="A502" s="1" t="n">
        <v>31</v>
      </c>
      <c r="B502" s="1" t="n">
        <v>25</v>
      </c>
      <c r="C502" s="1" t="n">
        <v>56</v>
      </c>
      <c r="D502" s="1" t="s">
        <v>398</v>
      </c>
      <c r="E502" s="1" t="n">
        <v>-56911.538</v>
      </c>
      <c r="F502" s="1" t="n">
        <v>0.331</v>
      </c>
      <c r="G502" s="1" t="n">
        <f aca="false">IF(ISNUMBER(E502),E502,VALUE(SUBSTITUTE(E502,"#",".01")))</f>
        <v>-56911.538</v>
      </c>
    </row>
    <row r="503" customFormat="false" ht="12.75" hidden="false" customHeight="false" outlineLevel="0" collapsed="false">
      <c r="A503" s="1" t="n">
        <v>30</v>
      </c>
      <c r="B503" s="1" t="n">
        <v>26</v>
      </c>
      <c r="C503" s="1" t="n">
        <v>56</v>
      </c>
      <c r="D503" s="1" t="s">
        <v>404</v>
      </c>
      <c r="E503" s="1" t="n">
        <v>-60607.082</v>
      </c>
      <c r="F503" s="1" t="n">
        <v>0.302</v>
      </c>
      <c r="G503" s="1" t="n">
        <f aca="false">IF(ISNUMBER(E503),E503,VALUE(SUBSTITUTE(E503,"#",".01")))</f>
        <v>-60607.082</v>
      </c>
    </row>
    <row r="504" customFormat="false" ht="12.75" hidden="false" customHeight="false" outlineLevel="0" collapsed="false">
      <c r="A504" s="1" t="n">
        <v>29</v>
      </c>
      <c r="B504" s="1" t="n">
        <v>27</v>
      </c>
      <c r="C504" s="1" t="n">
        <v>56</v>
      </c>
      <c r="D504" s="1" t="s">
        <v>414</v>
      </c>
      <c r="E504" s="1" t="n">
        <v>-56040.402</v>
      </c>
      <c r="F504" s="1" t="n">
        <v>0.493</v>
      </c>
      <c r="G504" s="1" t="n">
        <f aca="false">IF(ISNUMBER(E504),E504,VALUE(SUBSTITUTE(E504,"#",".01")))</f>
        <v>-56040.402</v>
      </c>
    </row>
    <row r="505" customFormat="false" ht="12.75" hidden="false" customHeight="false" outlineLevel="0" collapsed="false">
      <c r="A505" s="1" t="n">
        <v>28</v>
      </c>
      <c r="B505" s="1" t="n">
        <v>28</v>
      </c>
      <c r="C505" s="1" t="n">
        <v>56</v>
      </c>
      <c r="D505" s="1" t="s">
        <v>22</v>
      </c>
      <c r="E505" s="1" t="n">
        <v>-53907.539</v>
      </c>
      <c r="F505" s="1" t="n">
        <v>0.422</v>
      </c>
      <c r="G505" s="1" t="n">
        <f aca="false">IF(ISNUMBER(E505),E505,VALUE(SUBSTITUTE(E505,"#",".01")))</f>
        <v>-53907.539</v>
      </c>
    </row>
    <row r="506" customFormat="false" ht="12.75" hidden="false" customHeight="false" outlineLevel="0" collapsed="false">
      <c r="A506" s="1" t="n">
        <v>27</v>
      </c>
      <c r="B506" s="1" t="n">
        <v>29</v>
      </c>
      <c r="C506" s="1" t="n">
        <v>56</v>
      </c>
      <c r="D506" s="1" t="s">
        <v>437</v>
      </c>
      <c r="E506" s="1" t="n">
        <v>-38643.029</v>
      </c>
      <c r="F506" s="1" t="n">
        <v>14.904</v>
      </c>
      <c r="G506" s="1" t="n">
        <f aca="false">IF(ISNUMBER(E506),E506,VALUE(SUBSTITUTE(E506,"#",".01")))</f>
        <v>-38643.029</v>
      </c>
    </row>
    <row r="507" customFormat="false" ht="12.75" hidden="false" customHeight="false" outlineLevel="0" collapsed="false">
      <c r="A507" s="1" t="n">
        <v>26</v>
      </c>
      <c r="B507" s="1" t="n">
        <v>30</v>
      </c>
      <c r="C507" s="1" t="n">
        <v>56</v>
      </c>
      <c r="D507" s="1" t="s">
        <v>443</v>
      </c>
      <c r="E507" s="1" t="s">
        <v>451</v>
      </c>
      <c r="F507" s="1" t="s">
        <v>378</v>
      </c>
      <c r="G507" s="1" t="n">
        <f aca="false">IF(ISNUMBER(E507),E507,VALUE(SUBSTITUTE(E507,"#",".01")))</f>
        <v>-25390.01</v>
      </c>
    </row>
    <row r="508" customFormat="false" ht="12.75" hidden="false" customHeight="false" outlineLevel="0" collapsed="false">
      <c r="A508" s="1" t="n">
        <v>25</v>
      </c>
      <c r="B508" s="1" t="n">
        <v>31</v>
      </c>
      <c r="C508" s="1" t="n">
        <v>56</v>
      </c>
      <c r="D508" s="1" t="s">
        <v>452</v>
      </c>
      <c r="E508" s="1" t="s">
        <v>453</v>
      </c>
      <c r="F508" s="1" t="s">
        <v>337</v>
      </c>
      <c r="G508" s="1" t="n">
        <f aca="false">IF(ISNUMBER(E508),E508,VALUE(SUBSTITUTE(E508,"#",".01")))</f>
        <v>-3390.01</v>
      </c>
    </row>
    <row r="509" customFormat="false" ht="12.75" hidden="false" customHeight="false" outlineLevel="0" collapsed="false">
      <c r="A509" s="1" t="n">
        <v>37</v>
      </c>
      <c r="B509" s="1" t="n">
        <v>20</v>
      </c>
      <c r="C509" s="1" t="n">
        <v>57</v>
      </c>
      <c r="D509" s="1" t="s">
        <v>358</v>
      </c>
      <c r="E509" s="1" t="s">
        <v>454</v>
      </c>
      <c r="F509" s="1" t="s">
        <v>378</v>
      </c>
      <c r="G509" s="1" t="n">
        <f aca="false">IF(ISNUMBER(E509),E509,VALUE(SUBSTITUTE(E509,"#",".01")))</f>
        <v>-6874.01</v>
      </c>
    </row>
    <row r="510" customFormat="false" ht="12.75" hidden="false" customHeight="false" outlineLevel="0" collapsed="false">
      <c r="A510" s="1" t="n">
        <v>36</v>
      </c>
      <c r="B510" s="1" t="n">
        <v>21</v>
      </c>
      <c r="C510" s="1" t="n">
        <v>57</v>
      </c>
      <c r="D510" s="1" t="s">
        <v>366</v>
      </c>
      <c r="E510" s="1" t="n">
        <v>-20995.875</v>
      </c>
      <c r="F510" s="1" t="n">
        <v>1304.092</v>
      </c>
      <c r="G510" s="1" t="n">
        <f aca="false">IF(ISNUMBER(E510),E510,VALUE(SUBSTITUTE(E510,"#",".01")))</f>
        <v>-20995.875</v>
      </c>
    </row>
    <row r="511" customFormat="false" ht="12.75" hidden="false" customHeight="false" outlineLevel="0" collapsed="false">
      <c r="A511" s="1" t="n">
        <v>35</v>
      </c>
      <c r="B511" s="1" t="n">
        <v>22</v>
      </c>
      <c r="C511" s="1" t="n">
        <v>57</v>
      </c>
      <c r="D511" s="1" t="s">
        <v>374</v>
      </c>
      <c r="E511" s="1" t="n">
        <v>-33915.633</v>
      </c>
      <c r="F511" s="1" t="n">
        <v>256.417</v>
      </c>
      <c r="G511" s="1" t="n">
        <f aca="false">IF(ISNUMBER(E511),E511,VALUE(SUBSTITUTE(E511,"#",".01")))</f>
        <v>-33915.633</v>
      </c>
    </row>
    <row r="512" customFormat="false" ht="12.75" hidden="false" customHeight="false" outlineLevel="0" collapsed="false">
      <c r="A512" s="1" t="n">
        <v>34</v>
      </c>
      <c r="B512" s="1" t="n">
        <v>23</v>
      </c>
      <c r="C512" s="1" t="n">
        <v>57</v>
      </c>
      <c r="D512" s="1" t="s">
        <v>382</v>
      </c>
      <c r="E512" s="1" t="n">
        <v>-44413.45</v>
      </c>
      <c r="F512" s="1" t="n">
        <v>80.479</v>
      </c>
      <c r="G512" s="1" t="n">
        <f aca="false">IF(ISNUMBER(E512),E512,VALUE(SUBSTITUTE(E512,"#",".01")))</f>
        <v>-44413.45</v>
      </c>
    </row>
    <row r="513" customFormat="false" ht="12.75" hidden="false" customHeight="false" outlineLevel="0" collapsed="false">
      <c r="A513" s="1" t="n">
        <v>33</v>
      </c>
      <c r="B513" s="1" t="n">
        <v>24</v>
      </c>
      <c r="C513" s="1" t="n">
        <v>57</v>
      </c>
      <c r="D513" s="1" t="s">
        <v>390</v>
      </c>
      <c r="E513" s="1" t="n">
        <v>-52524.702</v>
      </c>
      <c r="F513" s="1" t="n">
        <v>1.068</v>
      </c>
      <c r="G513" s="1" t="n">
        <f aca="false">IF(ISNUMBER(E513),E513,VALUE(SUBSTITUTE(E513,"#",".01")))</f>
        <v>-52524.702</v>
      </c>
    </row>
    <row r="514" customFormat="false" ht="12.75" hidden="false" customHeight="false" outlineLevel="0" collapsed="false">
      <c r="A514" s="1" t="n">
        <v>32</v>
      </c>
      <c r="B514" s="1" t="n">
        <v>25</v>
      </c>
      <c r="C514" s="1" t="n">
        <v>57</v>
      </c>
      <c r="D514" s="1" t="s">
        <v>398</v>
      </c>
      <c r="E514" s="1" t="n">
        <v>-57486.251</v>
      </c>
      <c r="F514" s="1" t="n">
        <v>1.505</v>
      </c>
      <c r="G514" s="1" t="n">
        <f aca="false">IF(ISNUMBER(E514),E514,VALUE(SUBSTITUTE(E514,"#",".01")))</f>
        <v>-57486.251</v>
      </c>
    </row>
    <row r="515" customFormat="false" ht="12.75" hidden="false" customHeight="false" outlineLevel="0" collapsed="false">
      <c r="A515" s="1" t="n">
        <v>31</v>
      </c>
      <c r="B515" s="1" t="n">
        <v>26</v>
      </c>
      <c r="C515" s="1" t="n">
        <v>57</v>
      </c>
      <c r="D515" s="1" t="s">
        <v>404</v>
      </c>
      <c r="E515" s="1" t="n">
        <v>-60181.839</v>
      </c>
      <c r="F515" s="1" t="n">
        <v>0.304</v>
      </c>
      <c r="G515" s="1" t="n">
        <f aca="false">IF(ISNUMBER(E515),E515,VALUE(SUBSTITUTE(E515,"#",".01")))</f>
        <v>-60181.839</v>
      </c>
    </row>
    <row r="516" customFormat="false" ht="12.75" hidden="false" customHeight="false" outlineLevel="0" collapsed="false">
      <c r="A516" s="1" t="n">
        <v>30</v>
      </c>
      <c r="B516" s="1" t="n">
        <v>27</v>
      </c>
      <c r="C516" s="1" t="n">
        <v>57</v>
      </c>
      <c r="D516" s="1" t="s">
        <v>414</v>
      </c>
      <c r="E516" s="1" t="n">
        <v>-59345.564</v>
      </c>
      <c r="F516" s="1" t="n">
        <v>0.533</v>
      </c>
      <c r="G516" s="1" t="n">
        <f aca="false">IF(ISNUMBER(E516),E516,VALUE(SUBSTITUTE(E516,"#",".01")))</f>
        <v>-59345.564</v>
      </c>
    </row>
    <row r="517" customFormat="false" ht="12.75" hidden="false" customHeight="false" outlineLevel="0" collapsed="false">
      <c r="A517" s="1" t="n">
        <v>29</v>
      </c>
      <c r="B517" s="1" t="n">
        <v>28</v>
      </c>
      <c r="C517" s="1" t="n">
        <v>57</v>
      </c>
      <c r="D517" s="1" t="s">
        <v>22</v>
      </c>
      <c r="E517" s="1" t="n">
        <v>-56083.833</v>
      </c>
      <c r="F517" s="1" t="n">
        <v>0.582</v>
      </c>
      <c r="G517" s="1" t="n">
        <f aca="false">IF(ISNUMBER(E517),E517,VALUE(SUBSTITUTE(E517,"#",".01")))</f>
        <v>-56083.833</v>
      </c>
    </row>
    <row r="518" customFormat="false" ht="12.75" hidden="false" customHeight="false" outlineLevel="0" collapsed="false">
      <c r="A518" s="1" t="n">
        <v>28</v>
      </c>
      <c r="B518" s="1" t="n">
        <v>29</v>
      </c>
      <c r="C518" s="1" t="n">
        <v>57</v>
      </c>
      <c r="D518" s="1" t="s">
        <v>437</v>
      </c>
      <c r="E518" s="1" t="n">
        <v>-47308.886</v>
      </c>
      <c r="F518" s="1" t="n">
        <v>0.519</v>
      </c>
      <c r="G518" s="1" t="n">
        <f aca="false">IF(ISNUMBER(E518),E518,VALUE(SUBSTITUTE(E518,"#",".01")))</f>
        <v>-47308.886</v>
      </c>
    </row>
    <row r="519" customFormat="false" ht="12.75" hidden="false" customHeight="false" outlineLevel="0" collapsed="false">
      <c r="A519" s="1" t="n">
        <v>27</v>
      </c>
      <c r="B519" s="1" t="n">
        <v>30</v>
      </c>
      <c r="C519" s="1" t="n">
        <v>57</v>
      </c>
      <c r="D519" s="1" t="s">
        <v>443</v>
      </c>
      <c r="E519" s="1" t="s">
        <v>455</v>
      </c>
      <c r="F519" s="1" t="s">
        <v>349</v>
      </c>
      <c r="G519" s="1" t="n">
        <f aca="false">IF(ISNUMBER(E519),E519,VALUE(SUBSTITUTE(E519,"#",".01")))</f>
        <v>-32550.01</v>
      </c>
    </row>
    <row r="520" customFormat="false" ht="12.75" hidden="false" customHeight="false" outlineLevel="0" collapsed="false">
      <c r="A520" s="1" t="n">
        <v>26</v>
      </c>
      <c r="B520" s="1" t="n">
        <v>31</v>
      </c>
      <c r="C520" s="1" t="n">
        <v>57</v>
      </c>
      <c r="D520" s="1" t="s">
        <v>452</v>
      </c>
      <c r="E520" s="1" t="s">
        <v>456</v>
      </c>
      <c r="F520" s="1" t="s">
        <v>378</v>
      </c>
      <c r="G520" s="1" t="n">
        <f aca="false">IF(ISNUMBER(E520),E520,VALUE(SUBSTITUTE(E520,"#",".01")))</f>
        <v>-15010.01</v>
      </c>
    </row>
    <row r="521" customFormat="false" ht="12.75" hidden="false" customHeight="false" outlineLevel="0" collapsed="false">
      <c r="A521" s="1" t="n">
        <v>38</v>
      </c>
      <c r="B521" s="1" t="n">
        <v>20</v>
      </c>
      <c r="C521" s="1" t="n">
        <v>58</v>
      </c>
      <c r="D521" s="1" t="s">
        <v>358</v>
      </c>
      <c r="E521" s="1" t="s">
        <v>457</v>
      </c>
      <c r="F521" s="1" t="s">
        <v>337</v>
      </c>
      <c r="G521" s="1" t="n">
        <f aca="false">IF(ISNUMBER(E521),E521,VALUE(SUBSTITUTE(E521,"#",".01")))</f>
        <v>-1919.01</v>
      </c>
    </row>
    <row r="522" customFormat="false" ht="12.75" hidden="false" customHeight="false" outlineLevel="0" collapsed="false">
      <c r="A522" s="1" t="n">
        <v>37</v>
      </c>
      <c r="B522" s="1" t="n">
        <v>21</v>
      </c>
      <c r="C522" s="1" t="n">
        <v>58</v>
      </c>
      <c r="D522" s="1" t="s">
        <v>366</v>
      </c>
      <c r="E522" s="1" t="s">
        <v>458</v>
      </c>
      <c r="F522" s="1" t="s">
        <v>378</v>
      </c>
      <c r="G522" s="1" t="n">
        <f aca="false">IF(ISNUMBER(E522),E522,VALUE(SUBSTITUTE(E522,"#",".01")))</f>
        <v>-14876.01</v>
      </c>
    </row>
    <row r="523" customFormat="false" ht="12.75" hidden="false" customHeight="false" outlineLevel="0" collapsed="false">
      <c r="A523" s="1" t="n">
        <v>36</v>
      </c>
      <c r="B523" s="1" t="n">
        <v>22</v>
      </c>
      <c r="C523" s="1" t="n">
        <v>58</v>
      </c>
      <c r="D523" s="1" t="s">
        <v>374</v>
      </c>
      <c r="E523" s="1" t="s">
        <v>459</v>
      </c>
      <c r="F523" s="1" t="s">
        <v>349</v>
      </c>
      <c r="G523" s="1" t="n">
        <f aca="false">IF(ISNUMBER(E523),E523,VALUE(SUBSTITUTE(E523,"#",".01")))</f>
        <v>-31110.01</v>
      </c>
    </row>
    <row r="524" customFormat="false" ht="12.75" hidden="false" customHeight="false" outlineLevel="0" collapsed="false">
      <c r="A524" s="1" t="n">
        <v>35</v>
      </c>
      <c r="B524" s="1" t="n">
        <v>23</v>
      </c>
      <c r="C524" s="1" t="n">
        <v>58</v>
      </c>
      <c r="D524" s="1" t="s">
        <v>382</v>
      </c>
      <c r="E524" s="1" t="n">
        <v>-40401.753</v>
      </c>
      <c r="F524" s="1" t="n">
        <v>89.374</v>
      </c>
      <c r="G524" s="1" t="n">
        <f aca="false">IF(ISNUMBER(E524),E524,VALUE(SUBSTITUTE(E524,"#",".01")))</f>
        <v>-40401.753</v>
      </c>
    </row>
    <row r="525" customFormat="false" ht="12.75" hidden="false" customHeight="false" outlineLevel="0" collapsed="false">
      <c r="A525" s="1" t="n">
        <v>34</v>
      </c>
      <c r="B525" s="1" t="n">
        <v>24</v>
      </c>
      <c r="C525" s="1" t="n">
        <v>58</v>
      </c>
      <c r="D525" s="1" t="s">
        <v>390</v>
      </c>
      <c r="E525" s="1" t="n">
        <v>-51991.801</v>
      </c>
      <c r="F525" s="1" t="n">
        <v>1.49</v>
      </c>
      <c r="G525" s="1" t="n">
        <f aca="false">IF(ISNUMBER(E525),E525,VALUE(SUBSTITUTE(E525,"#",".01")))</f>
        <v>-51991.801</v>
      </c>
    </row>
    <row r="526" customFormat="false" ht="12.75" hidden="false" customHeight="false" outlineLevel="0" collapsed="false">
      <c r="A526" s="1" t="n">
        <v>33</v>
      </c>
      <c r="B526" s="1" t="n">
        <v>25</v>
      </c>
      <c r="C526" s="1" t="n">
        <v>58</v>
      </c>
      <c r="D526" s="1" t="s">
        <v>398</v>
      </c>
      <c r="E526" s="1" t="n">
        <v>-55827.56</v>
      </c>
      <c r="F526" s="1" t="n">
        <v>2.701</v>
      </c>
      <c r="G526" s="1" t="n">
        <f aca="false">IF(ISNUMBER(E526),E526,VALUE(SUBSTITUTE(E526,"#",".01")))</f>
        <v>-55827.56</v>
      </c>
    </row>
    <row r="527" customFormat="false" ht="12.75" hidden="false" customHeight="false" outlineLevel="0" collapsed="false">
      <c r="A527" s="1" t="n">
        <v>32</v>
      </c>
      <c r="B527" s="1" t="n">
        <v>26</v>
      </c>
      <c r="C527" s="1" t="n">
        <v>58</v>
      </c>
      <c r="D527" s="1" t="s">
        <v>404</v>
      </c>
      <c r="E527" s="1" t="n">
        <v>-62155.113</v>
      </c>
      <c r="F527" s="1" t="n">
        <v>0.343</v>
      </c>
      <c r="G527" s="1" t="n">
        <f aca="false">IF(ISNUMBER(E527),E527,VALUE(SUBSTITUTE(E527,"#",".01")))</f>
        <v>-62155.113</v>
      </c>
    </row>
    <row r="528" customFormat="false" ht="12.75" hidden="false" customHeight="false" outlineLevel="0" collapsed="false">
      <c r="A528" s="1" t="n">
        <v>31</v>
      </c>
      <c r="B528" s="1" t="n">
        <v>27</v>
      </c>
      <c r="C528" s="1" t="n">
        <v>58</v>
      </c>
      <c r="D528" s="1" t="s">
        <v>414</v>
      </c>
      <c r="E528" s="1" t="n">
        <v>-59847.158</v>
      </c>
      <c r="F528" s="1" t="n">
        <v>1.16</v>
      </c>
      <c r="G528" s="1" t="n">
        <f aca="false">IF(ISNUMBER(E528),E528,VALUE(SUBSTITUTE(E528,"#",".01")))</f>
        <v>-59847.158</v>
      </c>
    </row>
    <row r="529" customFormat="false" ht="12.75" hidden="false" customHeight="false" outlineLevel="0" collapsed="false">
      <c r="A529" s="1" t="n">
        <v>30</v>
      </c>
      <c r="B529" s="1" t="n">
        <v>28</v>
      </c>
      <c r="C529" s="1" t="n">
        <v>58</v>
      </c>
      <c r="D529" s="1" t="s">
        <v>22</v>
      </c>
      <c r="E529" s="1" t="n">
        <v>-60228.744</v>
      </c>
      <c r="F529" s="1" t="n">
        <v>0.373</v>
      </c>
      <c r="G529" s="1" t="n">
        <f aca="false">IF(ISNUMBER(E529),E529,VALUE(SUBSTITUTE(E529,"#",".01")))</f>
        <v>-60228.744</v>
      </c>
    </row>
    <row r="530" customFormat="false" ht="12.75" hidden="false" customHeight="false" outlineLevel="0" collapsed="false">
      <c r="A530" s="1" t="n">
        <v>29</v>
      </c>
      <c r="B530" s="1" t="n">
        <v>29</v>
      </c>
      <c r="C530" s="1" t="n">
        <v>58</v>
      </c>
      <c r="D530" s="1" t="s">
        <v>437</v>
      </c>
      <c r="E530" s="1" t="n">
        <v>-51667.725</v>
      </c>
      <c r="F530" s="1" t="n">
        <v>0.578</v>
      </c>
      <c r="G530" s="1" t="n">
        <f aca="false">IF(ISNUMBER(E530),E530,VALUE(SUBSTITUTE(E530,"#",".01")))</f>
        <v>-51667.725</v>
      </c>
    </row>
    <row r="531" customFormat="false" ht="12.75" hidden="false" customHeight="false" outlineLevel="0" collapsed="false">
      <c r="A531" s="1" t="n">
        <v>28</v>
      </c>
      <c r="B531" s="1" t="n">
        <v>30</v>
      </c>
      <c r="C531" s="1" t="n">
        <v>58</v>
      </c>
      <c r="D531" s="1" t="s">
        <v>443</v>
      </c>
      <c r="E531" s="1" t="n">
        <v>-42298.744</v>
      </c>
      <c r="F531" s="1" t="n">
        <v>50.001</v>
      </c>
      <c r="G531" s="1" t="n">
        <f aca="false">IF(ISNUMBER(E531),E531,VALUE(SUBSTITUTE(E531,"#",".01")))</f>
        <v>-42298.744</v>
      </c>
    </row>
    <row r="532" customFormat="false" ht="12.75" hidden="false" customHeight="false" outlineLevel="0" collapsed="false">
      <c r="A532" s="1" t="n">
        <v>27</v>
      </c>
      <c r="B532" s="1" t="n">
        <v>31</v>
      </c>
      <c r="C532" s="1" t="n">
        <v>58</v>
      </c>
      <c r="D532" s="1" t="s">
        <v>452</v>
      </c>
      <c r="E532" s="1" t="s">
        <v>460</v>
      </c>
      <c r="F532" s="1" t="s">
        <v>371</v>
      </c>
      <c r="G532" s="1" t="n">
        <f aca="false">IF(ISNUMBER(E532),E532,VALUE(SUBSTITUTE(E532,"#",".01")))</f>
        <v>-23540.01</v>
      </c>
    </row>
    <row r="533" customFormat="false" ht="12.75" hidden="false" customHeight="false" outlineLevel="0" collapsed="false">
      <c r="A533" s="1" t="n">
        <v>26</v>
      </c>
      <c r="B533" s="1" t="n">
        <v>32</v>
      </c>
      <c r="C533" s="1" t="n">
        <v>58</v>
      </c>
      <c r="D533" s="1" t="s">
        <v>461</v>
      </c>
      <c r="E533" s="1" t="s">
        <v>462</v>
      </c>
      <c r="F533" s="1" t="s">
        <v>337</v>
      </c>
      <c r="G533" s="1" t="n">
        <f aca="false">IF(ISNUMBER(E533),E533,VALUE(SUBSTITUTE(E533,"#",".01")))</f>
        <v>-7080.01</v>
      </c>
    </row>
    <row r="534" customFormat="false" ht="12.75" hidden="false" customHeight="false" outlineLevel="0" collapsed="false">
      <c r="A534" s="1" t="n">
        <v>38</v>
      </c>
      <c r="B534" s="1" t="n">
        <v>21</v>
      </c>
      <c r="C534" s="1" t="n">
        <v>59</v>
      </c>
      <c r="D534" s="1" t="s">
        <v>366</v>
      </c>
      <c r="E534" s="1" t="s">
        <v>463</v>
      </c>
      <c r="F534" s="1" t="s">
        <v>378</v>
      </c>
      <c r="G534" s="1" t="n">
        <f aca="false">IF(ISNUMBER(E534),E534,VALUE(SUBSTITUTE(E534,"#",".01")))</f>
        <v>-10302.01</v>
      </c>
    </row>
    <row r="535" customFormat="false" ht="12.75" hidden="false" customHeight="false" outlineLevel="0" collapsed="false">
      <c r="A535" s="1" t="n">
        <v>37</v>
      </c>
      <c r="B535" s="1" t="n">
        <v>22</v>
      </c>
      <c r="C535" s="1" t="n">
        <v>59</v>
      </c>
      <c r="D535" s="1" t="s">
        <v>374</v>
      </c>
      <c r="E535" s="1" t="s">
        <v>464</v>
      </c>
      <c r="F535" s="1" t="s">
        <v>349</v>
      </c>
      <c r="G535" s="1" t="n">
        <f aca="false">IF(ISNUMBER(E535),E535,VALUE(SUBSTITUTE(E535,"#",".01")))</f>
        <v>-25510.01</v>
      </c>
    </row>
    <row r="536" customFormat="false" ht="12.75" hidden="false" customHeight="false" outlineLevel="0" collapsed="false">
      <c r="A536" s="1" t="n">
        <v>36</v>
      </c>
      <c r="B536" s="1" t="n">
        <v>23</v>
      </c>
      <c r="C536" s="1" t="n">
        <v>59</v>
      </c>
      <c r="D536" s="1" t="s">
        <v>382</v>
      </c>
      <c r="E536" s="1" t="n">
        <v>-37832.015</v>
      </c>
      <c r="F536" s="1" t="n">
        <v>161.874</v>
      </c>
      <c r="G536" s="1" t="n">
        <f aca="false">IF(ISNUMBER(E536),E536,VALUE(SUBSTITUTE(E536,"#",".01")))</f>
        <v>-37832.015</v>
      </c>
    </row>
    <row r="537" customFormat="false" ht="12.75" hidden="false" customHeight="false" outlineLevel="0" collapsed="false">
      <c r="A537" s="1" t="n">
        <v>35</v>
      </c>
      <c r="B537" s="1" t="n">
        <v>24</v>
      </c>
      <c r="C537" s="1" t="n">
        <v>59</v>
      </c>
      <c r="D537" s="1" t="s">
        <v>390</v>
      </c>
      <c r="E537" s="1" t="n">
        <v>-48085.76</v>
      </c>
      <c r="F537" s="1" t="n">
        <v>216.367</v>
      </c>
      <c r="G537" s="1" t="n">
        <f aca="false">IF(ISNUMBER(E537),E537,VALUE(SUBSTITUTE(E537,"#",".01")))</f>
        <v>-48085.76</v>
      </c>
    </row>
    <row r="538" customFormat="false" ht="12.75" hidden="false" customHeight="false" outlineLevel="0" collapsed="false">
      <c r="A538" s="1" t="n">
        <v>34</v>
      </c>
      <c r="B538" s="1" t="n">
        <v>25</v>
      </c>
      <c r="C538" s="1" t="n">
        <v>59</v>
      </c>
      <c r="D538" s="1" t="s">
        <v>398</v>
      </c>
      <c r="E538" s="1" t="n">
        <v>-55525.32</v>
      </c>
      <c r="F538" s="1" t="n">
        <v>2.329</v>
      </c>
      <c r="G538" s="1" t="n">
        <f aca="false">IF(ISNUMBER(E538),E538,VALUE(SUBSTITUTE(E538,"#",".01")))</f>
        <v>-55525.32</v>
      </c>
    </row>
    <row r="539" customFormat="false" ht="12.75" hidden="false" customHeight="false" outlineLevel="0" collapsed="false">
      <c r="A539" s="1" t="n">
        <v>33</v>
      </c>
      <c r="B539" s="1" t="n">
        <v>26</v>
      </c>
      <c r="C539" s="1" t="n">
        <v>59</v>
      </c>
      <c r="D539" s="1" t="s">
        <v>404</v>
      </c>
      <c r="E539" s="1" t="n">
        <v>-60664.805</v>
      </c>
      <c r="F539" s="1" t="n">
        <v>0.355</v>
      </c>
      <c r="G539" s="1" t="n">
        <f aca="false">IF(ISNUMBER(E539),E539,VALUE(SUBSTITUTE(E539,"#",".01")))</f>
        <v>-60664.805</v>
      </c>
    </row>
    <row r="540" customFormat="false" ht="12.75" hidden="false" customHeight="false" outlineLevel="0" collapsed="false">
      <c r="A540" s="1" t="n">
        <v>32</v>
      </c>
      <c r="B540" s="1" t="n">
        <v>27</v>
      </c>
      <c r="C540" s="1" t="n">
        <v>59</v>
      </c>
      <c r="D540" s="1" t="s">
        <v>414</v>
      </c>
      <c r="E540" s="1" t="n">
        <v>-62229.709</v>
      </c>
      <c r="F540" s="1" t="n">
        <v>0.418</v>
      </c>
      <c r="G540" s="1" t="n">
        <f aca="false">IF(ISNUMBER(E540),E540,VALUE(SUBSTITUTE(E540,"#",".01")))</f>
        <v>-62229.709</v>
      </c>
    </row>
    <row r="541" customFormat="false" ht="12.75" hidden="false" customHeight="false" outlineLevel="0" collapsed="false">
      <c r="A541" s="1" t="n">
        <v>31</v>
      </c>
      <c r="B541" s="1" t="n">
        <v>28</v>
      </c>
      <c r="C541" s="1" t="n">
        <v>59</v>
      </c>
      <c r="D541" s="1" t="s">
        <v>22</v>
      </c>
      <c r="E541" s="1" t="n">
        <v>-61156.707</v>
      </c>
      <c r="F541" s="1" t="n">
        <v>0.374</v>
      </c>
      <c r="G541" s="1" t="n">
        <f aca="false">IF(ISNUMBER(E541),E541,VALUE(SUBSTITUTE(E541,"#",".01")))</f>
        <v>-61156.707</v>
      </c>
    </row>
    <row r="542" customFormat="false" ht="12.75" hidden="false" customHeight="false" outlineLevel="0" collapsed="false">
      <c r="A542" s="1" t="n">
        <v>30</v>
      </c>
      <c r="B542" s="1" t="n">
        <v>29</v>
      </c>
      <c r="C542" s="1" t="n">
        <v>59</v>
      </c>
      <c r="D542" s="1" t="s">
        <v>437</v>
      </c>
      <c r="E542" s="1" t="n">
        <v>-56358.327</v>
      </c>
      <c r="F542" s="1" t="n">
        <v>0.544</v>
      </c>
      <c r="G542" s="1" t="n">
        <f aca="false">IF(ISNUMBER(E542),E542,VALUE(SUBSTITUTE(E542,"#",".01")))</f>
        <v>-56358.327</v>
      </c>
    </row>
    <row r="543" customFormat="false" ht="12.75" hidden="false" customHeight="false" outlineLevel="0" collapsed="false">
      <c r="A543" s="1" t="n">
        <v>29</v>
      </c>
      <c r="B543" s="1" t="n">
        <v>30</v>
      </c>
      <c r="C543" s="1" t="n">
        <v>59</v>
      </c>
      <c r="D543" s="1" t="s">
        <v>443</v>
      </c>
      <c r="E543" s="1" t="n">
        <v>-47215.551</v>
      </c>
      <c r="F543" s="1" t="n">
        <v>0.771</v>
      </c>
      <c r="G543" s="1" t="n">
        <f aca="false">IF(ISNUMBER(E543),E543,VALUE(SUBSTITUTE(E543,"#",".01")))</f>
        <v>-47215.551</v>
      </c>
    </row>
    <row r="544" customFormat="false" ht="12.75" hidden="false" customHeight="false" outlineLevel="0" collapsed="false">
      <c r="A544" s="1" t="n">
        <v>28</v>
      </c>
      <c r="B544" s="1" t="n">
        <v>31</v>
      </c>
      <c r="C544" s="1" t="n">
        <v>59</v>
      </c>
      <c r="D544" s="1" t="s">
        <v>452</v>
      </c>
      <c r="E544" s="1" t="s">
        <v>465</v>
      </c>
      <c r="F544" s="1" t="s">
        <v>466</v>
      </c>
      <c r="G544" s="1" t="n">
        <f aca="false">IF(ISNUMBER(E544),E544,VALUE(SUBSTITUTE(E544,"#",".01")))</f>
        <v>-33760.01</v>
      </c>
    </row>
    <row r="545" customFormat="false" ht="12.75" hidden="false" customHeight="false" outlineLevel="0" collapsed="false">
      <c r="A545" s="1" t="n">
        <v>27</v>
      </c>
      <c r="B545" s="1" t="n">
        <v>32</v>
      </c>
      <c r="C545" s="1" t="n">
        <v>59</v>
      </c>
      <c r="D545" s="1" t="s">
        <v>461</v>
      </c>
      <c r="E545" s="1" t="s">
        <v>467</v>
      </c>
      <c r="F545" s="1" t="s">
        <v>378</v>
      </c>
      <c r="G545" s="1" t="n">
        <f aca="false">IF(ISNUMBER(E545),E545,VALUE(SUBSTITUTE(E545,"#",".01")))</f>
        <v>-15870.01</v>
      </c>
    </row>
    <row r="546" customFormat="false" ht="12.75" hidden="false" customHeight="false" outlineLevel="0" collapsed="false">
      <c r="A546" s="1" t="n">
        <v>39</v>
      </c>
      <c r="B546" s="1" t="n">
        <v>21</v>
      </c>
      <c r="C546" s="1" t="n">
        <v>60</v>
      </c>
      <c r="D546" s="1" t="s">
        <v>366</v>
      </c>
      <c r="E546" s="1" t="s">
        <v>468</v>
      </c>
      <c r="F546" s="1" t="s">
        <v>337</v>
      </c>
      <c r="G546" s="1" t="n">
        <f aca="false">IF(ISNUMBER(E546),E546,VALUE(SUBSTITUTE(E546,"#",".01")))</f>
        <v>-4052.01</v>
      </c>
    </row>
    <row r="547" customFormat="false" ht="12.75" hidden="false" customHeight="false" outlineLevel="0" collapsed="false">
      <c r="A547" s="1" t="n">
        <v>38</v>
      </c>
      <c r="B547" s="1" t="n">
        <v>22</v>
      </c>
      <c r="C547" s="1" t="n">
        <v>60</v>
      </c>
      <c r="D547" s="1" t="s">
        <v>374</v>
      </c>
      <c r="E547" s="1" t="s">
        <v>436</v>
      </c>
      <c r="F547" s="1" t="s">
        <v>371</v>
      </c>
      <c r="G547" s="1" t="n">
        <f aca="false">IF(ISNUMBER(E547),E547,VALUE(SUBSTITUTE(E547,"#",".01")))</f>
        <v>-22330.01</v>
      </c>
    </row>
    <row r="548" customFormat="false" ht="12.75" hidden="false" customHeight="false" outlineLevel="0" collapsed="false">
      <c r="A548" s="1" t="n">
        <v>37</v>
      </c>
      <c r="B548" s="1" t="n">
        <v>23</v>
      </c>
      <c r="C548" s="1" t="n">
        <v>60</v>
      </c>
      <c r="D548" s="1" t="s">
        <v>382</v>
      </c>
      <c r="E548" s="1" t="n">
        <v>-33241.956</v>
      </c>
      <c r="F548" s="1" t="n">
        <v>220.159</v>
      </c>
      <c r="G548" s="1" t="n">
        <f aca="false">IF(ISNUMBER(E548),E548,VALUE(SUBSTITUTE(E548,"#",".01")))</f>
        <v>-33241.956</v>
      </c>
    </row>
    <row r="549" customFormat="false" ht="12.75" hidden="false" customHeight="false" outlineLevel="0" collapsed="false">
      <c r="A549" s="1" t="n">
        <v>36</v>
      </c>
      <c r="B549" s="1" t="n">
        <v>24</v>
      </c>
      <c r="C549" s="1" t="n">
        <v>60</v>
      </c>
      <c r="D549" s="1" t="s">
        <v>390</v>
      </c>
      <c r="E549" s="1" t="n">
        <v>-46669.576</v>
      </c>
      <c r="F549" s="1" t="n">
        <v>193.593</v>
      </c>
      <c r="G549" s="1" t="n">
        <f aca="false">IF(ISNUMBER(E549),E549,VALUE(SUBSTITUTE(E549,"#",".01")))</f>
        <v>-46669.576</v>
      </c>
    </row>
    <row r="550" customFormat="false" ht="12.75" hidden="false" customHeight="false" outlineLevel="0" collapsed="false">
      <c r="A550" s="1" t="n">
        <v>35</v>
      </c>
      <c r="B550" s="1" t="n">
        <v>25</v>
      </c>
      <c r="C550" s="1" t="n">
        <v>60</v>
      </c>
      <c r="D550" s="1" t="s">
        <v>398</v>
      </c>
      <c r="E550" s="1" t="n">
        <v>-52967.938</v>
      </c>
      <c r="F550" s="1" t="n">
        <v>2.329</v>
      </c>
      <c r="G550" s="1" t="n">
        <f aca="false">IF(ISNUMBER(E550),E550,VALUE(SUBSTITUTE(E550,"#",".01")))</f>
        <v>-52967.938</v>
      </c>
    </row>
    <row r="551" customFormat="false" ht="12.75" hidden="false" customHeight="false" outlineLevel="0" collapsed="false">
      <c r="A551" s="1" t="n">
        <v>34</v>
      </c>
      <c r="B551" s="1" t="n">
        <v>26</v>
      </c>
      <c r="C551" s="1" t="n">
        <v>60</v>
      </c>
      <c r="D551" s="1" t="s">
        <v>404</v>
      </c>
      <c r="E551" s="1" t="n">
        <v>-61413.017</v>
      </c>
      <c r="F551" s="1" t="n">
        <v>3.409</v>
      </c>
      <c r="G551" s="1" t="n">
        <f aca="false">IF(ISNUMBER(E551),E551,VALUE(SUBSTITUTE(E551,"#",".01")))</f>
        <v>-61413.017</v>
      </c>
    </row>
    <row r="552" customFormat="false" ht="12.75" hidden="false" customHeight="false" outlineLevel="0" collapsed="false">
      <c r="A552" s="1" t="n">
        <v>33</v>
      </c>
      <c r="B552" s="1" t="n">
        <v>27</v>
      </c>
      <c r="C552" s="1" t="n">
        <v>60</v>
      </c>
      <c r="D552" s="1" t="s">
        <v>414</v>
      </c>
      <c r="E552" s="1" t="n">
        <v>-61650.309</v>
      </c>
      <c r="F552" s="1" t="n">
        <v>0.424</v>
      </c>
      <c r="G552" s="1" t="n">
        <f aca="false">IF(ISNUMBER(E552),E552,VALUE(SUBSTITUTE(E552,"#",".01")))</f>
        <v>-61650.309</v>
      </c>
    </row>
    <row r="553" customFormat="false" ht="12.75" hidden="false" customHeight="false" outlineLevel="0" collapsed="false">
      <c r="A553" s="1" t="n">
        <v>32</v>
      </c>
      <c r="B553" s="1" t="n">
        <v>28</v>
      </c>
      <c r="C553" s="1" t="n">
        <v>60</v>
      </c>
      <c r="D553" s="1" t="s">
        <v>22</v>
      </c>
      <c r="E553" s="1" t="n">
        <v>-64473.118</v>
      </c>
      <c r="F553" s="1" t="n">
        <v>0.376</v>
      </c>
      <c r="G553" s="1" t="n">
        <f aca="false">IF(ISNUMBER(E553),E553,VALUE(SUBSTITUTE(E553,"#",".01")))</f>
        <v>-64473.118</v>
      </c>
    </row>
    <row r="554" customFormat="false" ht="12.75" hidden="false" customHeight="false" outlineLevel="0" collapsed="false">
      <c r="A554" s="1" t="n">
        <v>31</v>
      </c>
      <c r="B554" s="1" t="n">
        <v>29</v>
      </c>
      <c r="C554" s="1" t="n">
        <v>60</v>
      </c>
      <c r="D554" s="1" t="s">
        <v>437</v>
      </c>
      <c r="E554" s="1" t="n">
        <v>-58345.137</v>
      </c>
      <c r="F554" s="1" t="n">
        <v>1.618</v>
      </c>
      <c r="G554" s="1" t="n">
        <f aca="false">IF(ISNUMBER(E554),E554,VALUE(SUBSTITUTE(E554,"#",".01")))</f>
        <v>-58345.137</v>
      </c>
    </row>
    <row r="555" customFormat="false" ht="12.75" hidden="false" customHeight="false" outlineLevel="0" collapsed="false">
      <c r="A555" s="1" t="n">
        <v>30</v>
      </c>
      <c r="B555" s="1" t="n">
        <v>30</v>
      </c>
      <c r="C555" s="1" t="n">
        <v>60</v>
      </c>
      <c r="D555" s="1" t="s">
        <v>443</v>
      </c>
      <c r="E555" s="1" t="n">
        <v>-54174.34</v>
      </c>
      <c r="F555" s="1" t="n">
        <v>0.564</v>
      </c>
      <c r="G555" s="1" t="n">
        <f aca="false">IF(ISNUMBER(E555),E555,VALUE(SUBSTITUTE(E555,"#",".01")))</f>
        <v>-54174.34</v>
      </c>
    </row>
    <row r="556" customFormat="false" ht="12.75" hidden="false" customHeight="false" outlineLevel="0" collapsed="false">
      <c r="A556" s="1" t="n">
        <v>29</v>
      </c>
      <c r="B556" s="1" t="n">
        <v>31</v>
      </c>
      <c r="C556" s="1" t="n">
        <v>60</v>
      </c>
      <c r="D556" s="1" t="s">
        <v>452</v>
      </c>
      <c r="E556" s="1" t="s">
        <v>469</v>
      </c>
      <c r="F556" s="1" t="s">
        <v>349</v>
      </c>
      <c r="G556" s="1" t="n">
        <f aca="false">IF(ISNUMBER(E556),E556,VALUE(SUBSTITUTE(E556,"#",".01")))</f>
        <v>-39590.01</v>
      </c>
    </row>
    <row r="557" customFormat="false" ht="12.75" hidden="false" customHeight="false" outlineLevel="0" collapsed="false">
      <c r="A557" s="1" t="n">
        <v>28</v>
      </c>
      <c r="B557" s="1" t="n">
        <v>32</v>
      </c>
      <c r="C557" s="1" t="n">
        <v>60</v>
      </c>
      <c r="D557" s="1" t="s">
        <v>461</v>
      </c>
      <c r="E557" s="1" t="s">
        <v>470</v>
      </c>
      <c r="F557" s="1" t="s">
        <v>371</v>
      </c>
      <c r="G557" s="1" t="n">
        <f aca="false">IF(ISNUMBER(E557),E557,VALUE(SUBSTITUTE(E557,"#",".01")))</f>
        <v>-27090.01</v>
      </c>
    </row>
    <row r="558" customFormat="false" ht="12.75" hidden="false" customHeight="false" outlineLevel="0" collapsed="false">
      <c r="A558" s="1" t="n">
        <v>27</v>
      </c>
      <c r="B558" s="1" t="n">
        <v>33</v>
      </c>
      <c r="C558" s="1" t="n">
        <v>60</v>
      </c>
      <c r="D558" s="1" t="s">
        <v>471</v>
      </c>
      <c r="E558" s="1" t="s">
        <v>472</v>
      </c>
      <c r="F558" s="1" t="s">
        <v>378</v>
      </c>
      <c r="G558" s="1" t="n">
        <f aca="false">IF(ISNUMBER(E558),E558,VALUE(SUBSTITUTE(E558,"#",".01")))</f>
        <v>-5470.01</v>
      </c>
    </row>
    <row r="559" customFormat="false" ht="12.75" hidden="false" customHeight="false" outlineLevel="0" collapsed="false">
      <c r="A559" s="1" t="n">
        <v>40</v>
      </c>
      <c r="B559" s="1" t="n">
        <v>21</v>
      </c>
      <c r="C559" s="1" t="n">
        <v>61</v>
      </c>
      <c r="D559" s="1" t="s">
        <v>366</v>
      </c>
      <c r="E559" s="1" t="s">
        <v>473</v>
      </c>
      <c r="F559" s="1" t="s">
        <v>387</v>
      </c>
      <c r="G559" s="1" t="n">
        <f aca="false">IF(ISNUMBER(E559),E559,VALUE(SUBSTITUTE(E559,"#",".01")))</f>
        <v>931.01</v>
      </c>
    </row>
    <row r="560" customFormat="false" ht="12.75" hidden="false" customHeight="false" outlineLevel="0" collapsed="false">
      <c r="A560" s="1" t="n">
        <v>39</v>
      </c>
      <c r="B560" s="1" t="n">
        <v>22</v>
      </c>
      <c r="C560" s="1" t="n">
        <v>61</v>
      </c>
      <c r="D560" s="1" t="s">
        <v>374</v>
      </c>
      <c r="E560" s="1" t="s">
        <v>474</v>
      </c>
      <c r="F560" s="1" t="s">
        <v>378</v>
      </c>
      <c r="G560" s="1" t="n">
        <f aca="false">IF(ISNUMBER(E560),E560,VALUE(SUBSTITUTE(E560,"#",".01")))</f>
        <v>-16350.01</v>
      </c>
    </row>
    <row r="561" customFormat="false" ht="12.75" hidden="false" customHeight="false" outlineLevel="0" collapsed="false">
      <c r="A561" s="1" t="n">
        <v>38</v>
      </c>
      <c r="B561" s="1" t="n">
        <v>23</v>
      </c>
      <c r="C561" s="1" t="n">
        <v>61</v>
      </c>
      <c r="D561" s="1" t="s">
        <v>382</v>
      </c>
      <c r="E561" s="1" t="n">
        <v>-30506.429</v>
      </c>
      <c r="F561" s="1" t="n">
        <v>894.234</v>
      </c>
      <c r="G561" s="1" t="n">
        <f aca="false">IF(ISNUMBER(E561),E561,VALUE(SUBSTITUTE(E561,"#",".01")))</f>
        <v>-30506.429</v>
      </c>
    </row>
    <row r="562" customFormat="false" ht="12.75" hidden="false" customHeight="false" outlineLevel="0" collapsed="false">
      <c r="A562" s="1" t="n">
        <v>37</v>
      </c>
      <c r="B562" s="1" t="n">
        <v>24</v>
      </c>
      <c r="C562" s="1" t="n">
        <v>61</v>
      </c>
      <c r="D562" s="1" t="s">
        <v>390</v>
      </c>
      <c r="E562" s="1" t="n">
        <v>-42475.229</v>
      </c>
      <c r="F562" s="1" t="n">
        <v>101.341</v>
      </c>
      <c r="G562" s="1" t="n">
        <f aca="false">IF(ISNUMBER(E562),E562,VALUE(SUBSTITUTE(E562,"#",".01")))</f>
        <v>-42475.229</v>
      </c>
    </row>
    <row r="563" customFormat="false" ht="12.75" hidden="false" customHeight="false" outlineLevel="0" collapsed="false">
      <c r="A563" s="1" t="n">
        <v>36</v>
      </c>
      <c r="B563" s="1" t="n">
        <v>25</v>
      </c>
      <c r="C563" s="1" t="n">
        <v>61</v>
      </c>
      <c r="D563" s="1" t="s">
        <v>398</v>
      </c>
      <c r="E563" s="1" t="n">
        <v>-51742.122</v>
      </c>
      <c r="F563" s="1" t="n">
        <v>2.329</v>
      </c>
      <c r="G563" s="1" t="n">
        <f aca="false">IF(ISNUMBER(E563),E563,VALUE(SUBSTITUTE(E563,"#",".01")))</f>
        <v>-51742.122</v>
      </c>
    </row>
    <row r="564" customFormat="false" ht="12.75" hidden="false" customHeight="false" outlineLevel="0" collapsed="false">
      <c r="A564" s="1" t="n">
        <v>35</v>
      </c>
      <c r="B564" s="1" t="n">
        <v>26</v>
      </c>
      <c r="C564" s="1" t="n">
        <v>61</v>
      </c>
      <c r="D564" s="1" t="s">
        <v>404</v>
      </c>
      <c r="E564" s="1" t="n">
        <v>-58920.494</v>
      </c>
      <c r="F564" s="1" t="n">
        <v>2.608</v>
      </c>
      <c r="G564" s="1" t="n">
        <f aca="false">IF(ISNUMBER(E564),E564,VALUE(SUBSTITUTE(E564,"#",".01")))</f>
        <v>-58920.494</v>
      </c>
    </row>
    <row r="565" customFormat="false" ht="12.75" hidden="false" customHeight="false" outlineLevel="0" collapsed="false">
      <c r="A565" s="1" t="n">
        <v>34</v>
      </c>
      <c r="B565" s="1" t="n">
        <v>27</v>
      </c>
      <c r="C565" s="1" t="n">
        <v>61</v>
      </c>
      <c r="D565" s="1" t="s">
        <v>414</v>
      </c>
      <c r="E565" s="1" t="n">
        <v>-62898.066</v>
      </c>
      <c r="F565" s="1" t="n">
        <v>0.846</v>
      </c>
      <c r="G565" s="1" t="n">
        <f aca="false">IF(ISNUMBER(E565),E565,VALUE(SUBSTITUTE(E565,"#",".01")))</f>
        <v>-62898.066</v>
      </c>
    </row>
    <row r="566" customFormat="false" ht="12.75" hidden="false" customHeight="false" outlineLevel="0" collapsed="false">
      <c r="A566" s="1" t="n">
        <v>33</v>
      </c>
      <c r="B566" s="1" t="n">
        <v>28</v>
      </c>
      <c r="C566" s="1" t="n">
        <v>61</v>
      </c>
      <c r="D566" s="1" t="s">
        <v>22</v>
      </c>
      <c r="E566" s="1" t="n">
        <v>-64221.905</v>
      </c>
      <c r="F566" s="1" t="n">
        <v>0.378</v>
      </c>
      <c r="G566" s="1" t="n">
        <f aca="false">IF(ISNUMBER(E566),E566,VALUE(SUBSTITUTE(E566,"#",".01")))</f>
        <v>-64221.905</v>
      </c>
    </row>
    <row r="567" customFormat="false" ht="12.75" hidden="false" customHeight="false" outlineLevel="0" collapsed="false">
      <c r="A567" s="1" t="n">
        <v>32</v>
      </c>
      <c r="B567" s="1" t="n">
        <v>29</v>
      </c>
      <c r="C567" s="1" t="n">
        <v>61</v>
      </c>
      <c r="D567" s="1" t="s">
        <v>437</v>
      </c>
      <c r="E567" s="1" t="n">
        <v>-61984.059</v>
      </c>
      <c r="F567" s="1" t="n">
        <v>0.953</v>
      </c>
      <c r="G567" s="1" t="n">
        <f aca="false">IF(ISNUMBER(E567),E567,VALUE(SUBSTITUTE(E567,"#",".01")))</f>
        <v>-61984.059</v>
      </c>
    </row>
    <row r="568" customFormat="false" ht="12.75" hidden="false" customHeight="false" outlineLevel="0" collapsed="false">
      <c r="A568" s="1" t="n">
        <v>31</v>
      </c>
      <c r="B568" s="1" t="n">
        <v>30</v>
      </c>
      <c r="C568" s="1" t="n">
        <v>61</v>
      </c>
      <c r="D568" s="1" t="s">
        <v>443</v>
      </c>
      <c r="E568" s="1" t="n">
        <v>-56348.903</v>
      </c>
      <c r="F568" s="1" t="n">
        <v>15.899</v>
      </c>
      <c r="G568" s="1" t="n">
        <f aca="false">IF(ISNUMBER(E568),E568,VALUE(SUBSTITUTE(E568,"#",".01")))</f>
        <v>-56348.903</v>
      </c>
    </row>
    <row r="569" customFormat="false" ht="12.75" hidden="false" customHeight="false" outlineLevel="0" collapsed="false">
      <c r="A569" s="1" t="n">
        <v>30</v>
      </c>
      <c r="B569" s="1" t="n">
        <v>31</v>
      </c>
      <c r="C569" s="1" t="n">
        <v>61</v>
      </c>
      <c r="D569" s="1" t="s">
        <v>452</v>
      </c>
      <c r="E569" s="1" t="n">
        <v>-47134.659</v>
      </c>
      <c r="F569" s="1" t="n">
        <v>37.994</v>
      </c>
      <c r="G569" s="1" t="n">
        <f aca="false">IF(ISNUMBER(E569),E569,VALUE(SUBSTITUTE(E569,"#",".01")))</f>
        <v>-47134.659</v>
      </c>
    </row>
    <row r="570" customFormat="false" ht="12.75" hidden="false" customHeight="false" outlineLevel="0" collapsed="false">
      <c r="A570" s="1" t="n">
        <v>29</v>
      </c>
      <c r="B570" s="1" t="n">
        <v>32</v>
      </c>
      <c r="C570" s="1" t="n">
        <v>61</v>
      </c>
      <c r="D570" s="1" t="s">
        <v>461</v>
      </c>
      <c r="E570" s="1" t="s">
        <v>475</v>
      </c>
      <c r="F570" s="1" t="s">
        <v>371</v>
      </c>
      <c r="G570" s="1" t="n">
        <f aca="false">IF(ISNUMBER(E570),E570,VALUE(SUBSTITUTE(E570,"#",".01")))</f>
        <v>-33360.01</v>
      </c>
    </row>
    <row r="571" customFormat="false" ht="12.75" hidden="false" customHeight="false" outlineLevel="0" collapsed="false">
      <c r="A571" s="1" t="n">
        <v>28</v>
      </c>
      <c r="B571" s="1" t="n">
        <v>33</v>
      </c>
      <c r="C571" s="1" t="n">
        <v>61</v>
      </c>
      <c r="D571" s="1" t="s">
        <v>471</v>
      </c>
      <c r="E571" s="1" t="s">
        <v>476</v>
      </c>
      <c r="F571" s="1" t="s">
        <v>371</v>
      </c>
      <c r="G571" s="1" t="n">
        <f aca="false">IF(ISNUMBER(E571),E571,VALUE(SUBSTITUTE(E571,"#",".01")))</f>
        <v>-16900.01</v>
      </c>
    </row>
    <row r="572" customFormat="false" ht="12.75" hidden="false" customHeight="false" outlineLevel="0" collapsed="false">
      <c r="A572" s="1" t="n">
        <v>40</v>
      </c>
      <c r="B572" s="1" t="n">
        <v>22</v>
      </c>
      <c r="C572" s="1" t="n">
        <v>62</v>
      </c>
      <c r="D572" s="1" t="s">
        <v>374</v>
      </c>
      <c r="E572" s="1" t="s">
        <v>477</v>
      </c>
      <c r="F572" s="1" t="s">
        <v>378</v>
      </c>
      <c r="G572" s="1" t="n">
        <f aca="false">IF(ISNUMBER(E572),E572,VALUE(SUBSTITUTE(E572,"#",".01")))</f>
        <v>-12500.01</v>
      </c>
    </row>
    <row r="573" customFormat="false" ht="12.75" hidden="false" customHeight="false" outlineLevel="0" collapsed="false">
      <c r="A573" s="1" t="n">
        <v>39</v>
      </c>
      <c r="B573" s="1" t="n">
        <v>23</v>
      </c>
      <c r="C573" s="1" t="n">
        <v>62</v>
      </c>
      <c r="D573" s="1" t="s">
        <v>382</v>
      </c>
      <c r="E573" s="1" t="s">
        <v>478</v>
      </c>
      <c r="F573" s="1" t="s">
        <v>360</v>
      </c>
      <c r="G573" s="1" t="n">
        <f aca="false">IF(ISNUMBER(E573),E573,VALUE(SUBSTITUTE(E573,"#",".01")))</f>
        <v>-25476.01</v>
      </c>
    </row>
    <row r="574" customFormat="false" ht="12.75" hidden="false" customHeight="false" outlineLevel="0" collapsed="false">
      <c r="A574" s="1" t="n">
        <v>38</v>
      </c>
      <c r="B574" s="1" t="n">
        <v>24</v>
      </c>
      <c r="C574" s="1" t="n">
        <v>62</v>
      </c>
      <c r="D574" s="1" t="s">
        <v>390</v>
      </c>
      <c r="E574" s="1" t="n">
        <v>-40894.961</v>
      </c>
      <c r="F574" s="1" t="n">
        <v>148.099</v>
      </c>
      <c r="G574" s="1" t="n">
        <f aca="false">IF(ISNUMBER(E574),E574,VALUE(SUBSTITUTE(E574,"#",".01")))</f>
        <v>-40894.961</v>
      </c>
    </row>
    <row r="575" customFormat="false" ht="12.75" hidden="false" customHeight="false" outlineLevel="0" collapsed="false">
      <c r="A575" s="1" t="n">
        <v>37</v>
      </c>
      <c r="B575" s="1" t="n">
        <v>25</v>
      </c>
      <c r="C575" s="1" t="n">
        <v>62</v>
      </c>
      <c r="D575" s="1" t="s">
        <v>398</v>
      </c>
      <c r="E575" s="1" t="n">
        <v>-48523.957</v>
      </c>
      <c r="F575" s="1" t="n">
        <v>6.542</v>
      </c>
      <c r="G575" s="1" t="n">
        <f aca="false">IF(ISNUMBER(E575),E575,VALUE(SUBSTITUTE(E575,"#",".01")))</f>
        <v>-48523.957</v>
      </c>
    </row>
    <row r="576" customFormat="false" ht="12.75" hidden="false" customHeight="false" outlineLevel="0" collapsed="false">
      <c r="A576" s="1" t="n">
        <v>36</v>
      </c>
      <c r="B576" s="1" t="n">
        <v>26</v>
      </c>
      <c r="C576" s="1" t="n">
        <v>62</v>
      </c>
      <c r="D576" s="1" t="s">
        <v>404</v>
      </c>
      <c r="E576" s="1" t="n">
        <v>-58878.048</v>
      </c>
      <c r="F576" s="1" t="n">
        <v>2.794</v>
      </c>
      <c r="G576" s="1" t="n">
        <f aca="false">IF(ISNUMBER(E576),E576,VALUE(SUBSTITUTE(E576,"#",".01")))</f>
        <v>-58878.048</v>
      </c>
    </row>
    <row r="577" customFormat="false" ht="12.75" hidden="false" customHeight="false" outlineLevel="0" collapsed="false">
      <c r="A577" s="1" t="n">
        <v>35</v>
      </c>
      <c r="B577" s="1" t="n">
        <v>27</v>
      </c>
      <c r="C577" s="1" t="n">
        <v>62</v>
      </c>
      <c r="D577" s="1" t="s">
        <v>414</v>
      </c>
      <c r="E577" s="1" t="n">
        <v>-61424.282</v>
      </c>
      <c r="F577" s="1" t="n">
        <v>18.575</v>
      </c>
      <c r="G577" s="1" t="n">
        <f aca="false">IF(ISNUMBER(E577),E577,VALUE(SUBSTITUTE(E577,"#",".01")))</f>
        <v>-61424.282</v>
      </c>
    </row>
    <row r="578" customFormat="false" ht="12.75" hidden="false" customHeight="false" outlineLevel="0" collapsed="false">
      <c r="A578" s="1" t="n">
        <v>34</v>
      </c>
      <c r="B578" s="1" t="n">
        <v>28</v>
      </c>
      <c r="C578" s="1" t="n">
        <v>62</v>
      </c>
      <c r="D578" s="1" t="s">
        <v>22</v>
      </c>
      <c r="E578" s="1" t="n">
        <v>-66746.323</v>
      </c>
      <c r="F578" s="1" t="n">
        <v>0.439</v>
      </c>
      <c r="G578" s="1" t="n">
        <f aca="false">IF(ISNUMBER(E578),E578,VALUE(SUBSTITUTE(E578,"#",".01")))</f>
        <v>-66746.323</v>
      </c>
    </row>
    <row r="579" customFormat="false" ht="12.75" hidden="false" customHeight="false" outlineLevel="0" collapsed="false">
      <c r="A579" s="1" t="n">
        <v>33</v>
      </c>
      <c r="B579" s="1" t="n">
        <v>29</v>
      </c>
      <c r="C579" s="1" t="n">
        <v>62</v>
      </c>
      <c r="D579" s="1" t="s">
        <v>437</v>
      </c>
      <c r="E579" s="1" t="n">
        <v>-62787.426</v>
      </c>
      <c r="F579" s="1" t="n">
        <v>0.647</v>
      </c>
      <c r="G579" s="1" t="n">
        <f aca="false">IF(ISNUMBER(E579),E579,VALUE(SUBSTITUTE(E579,"#",".01")))</f>
        <v>-62787.426</v>
      </c>
    </row>
    <row r="580" customFormat="false" ht="12.75" hidden="false" customHeight="false" outlineLevel="0" collapsed="false">
      <c r="A580" s="1" t="n">
        <v>32</v>
      </c>
      <c r="B580" s="1" t="n">
        <v>30</v>
      </c>
      <c r="C580" s="1" t="n">
        <v>62</v>
      </c>
      <c r="D580" s="1" t="s">
        <v>443</v>
      </c>
      <c r="E580" s="1" t="n">
        <v>-61167.972</v>
      </c>
      <c r="F580" s="1" t="n">
        <v>0.625</v>
      </c>
      <c r="G580" s="1" t="n">
        <f aca="false">IF(ISNUMBER(E580),E580,VALUE(SUBSTITUTE(E580,"#",".01")))</f>
        <v>-61167.972</v>
      </c>
    </row>
    <row r="581" customFormat="false" ht="12.75" hidden="false" customHeight="false" outlineLevel="0" collapsed="false">
      <c r="A581" s="1" t="n">
        <v>31</v>
      </c>
      <c r="B581" s="1" t="n">
        <v>31</v>
      </c>
      <c r="C581" s="1" t="n">
        <v>62</v>
      </c>
      <c r="D581" s="1" t="s">
        <v>452</v>
      </c>
      <c r="E581" s="1" t="n">
        <v>-51986.906</v>
      </c>
      <c r="F581" s="1" t="n">
        <v>0.647</v>
      </c>
      <c r="G581" s="1" t="n">
        <f aca="false">IF(ISNUMBER(E581),E581,VALUE(SUBSTITUTE(E581,"#",".01")))</f>
        <v>-51986.906</v>
      </c>
    </row>
    <row r="582" customFormat="false" ht="12.75" hidden="false" customHeight="false" outlineLevel="0" collapsed="false">
      <c r="A582" s="1" t="n">
        <v>30</v>
      </c>
      <c r="B582" s="1" t="n">
        <v>32</v>
      </c>
      <c r="C582" s="1" t="n">
        <v>62</v>
      </c>
      <c r="D582" s="1" t="s">
        <v>461</v>
      </c>
      <c r="E582" s="1" t="s">
        <v>479</v>
      </c>
      <c r="F582" s="1" t="s">
        <v>480</v>
      </c>
      <c r="G582" s="1" t="n">
        <f aca="false">IF(ISNUMBER(E582),E582,VALUE(SUBSTITUTE(E582,"#",".01")))</f>
        <v>-41740.01</v>
      </c>
    </row>
    <row r="583" customFormat="false" ht="12.75" hidden="false" customHeight="false" outlineLevel="0" collapsed="false">
      <c r="A583" s="1" t="n">
        <v>29</v>
      </c>
      <c r="B583" s="1" t="n">
        <v>33</v>
      </c>
      <c r="C583" s="1" t="n">
        <v>62</v>
      </c>
      <c r="D583" s="1" t="s">
        <v>471</v>
      </c>
      <c r="E583" s="1" t="s">
        <v>481</v>
      </c>
      <c r="F583" s="1" t="s">
        <v>371</v>
      </c>
      <c r="G583" s="1" t="n">
        <f aca="false">IF(ISNUMBER(E583),E583,VALUE(SUBSTITUTE(E583,"#",".01")))</f>
        <v>-24320.01</v>
      </c>
    </row>
    <row r="584" customFormat="false" ht="12.75" hidden="false" customHeight="false" outlineLevel="0" collapsed="false">
      <c r="A584" s="1" t="n">
        <v>41</v>
      </c>
      <c r="B584" s="1" t="n">
        <v>22</v>
      </c>
      <c r="C584" s="1" t="n">
        <v>63</v>
      </c>
      <c r="D584" s="1" t="s">
        <v>374</v>
      </c>
      <c r="E584" s="1" t="s">
        <v>482</v>
      </c>
      <c r="F584" s="1" t="s">
        <v>337</v>
      </c>
      <c r="G584" s="1" t="n">
        <f aca="false">IF(ISNUMBER(E584),E584,VALUE(SUBSTITUTE(E584,"#",".01")))</f>
        <v>-5750.01</v>
      </c>
    </row>
    <row r="585" customFormat="false" ht="12.75" hidden="false" customHeight="false" outlineLevel="0" collapsed="false">
      <c r="A585" s="1" t="n">
        <v>40</v>
      </c>
      <c r="B585" s="1" t="n">
        <v>23</v>
      </c>
      <c r="C585" s="1" t="n">
        <v>63</v>
      </c>
      <c r="D585" s="1" t="s">
        <v>382</v>
      </c>
      <c r="E585" s="1" t="s">
        <v>483</v>
      </c>
      <c r="F585" s="1" t="s">
        <v>378</v>
      </c>
      <c r="G585" s="1" t="n">
        <f aca="false">IF(ISNUMBER(E585),E585,VALUE(SUBSTITUTE(E585,"#",".01")))</f>
        <v>-21890.01</v>
      </c>
    </row>
    <row r="586" customFormat="false" ht="12.75" hidden="false" customHeight="false" outlineLevel="0" collapsed="false">
      <c r="A586" s="1" t="n">
        <v>39</v>
      </c>
      <c r="B586" s="1" t="n">
        <v>24</v>
      </c>
      <c r="C586" s="1" t="n">
        <v>63</v>
      </c>
      <c r="D586" s="1" t="s">
        <v>390</v>
      </c>
      <c r="E586" s="1" t="n">
        <v>-36007.474</v>
      </c>
      <c r="F586" s="1" t="n">
        <v>358.073</v>
      </c>
      <c r="G586" s="1" t="n">
        <f aca="false">IF(ISNUMBER(E586),E586,VALUE(SUBSTITUTE(E586,"#",".01")))</f>
        <v>-36007.474</v>
      </c>
    </row>
    <row r="587" customFormat="false" ht="12.75" hidden="false" customHeight="false" outlineLevel="0" collapsed="false">
      <c r="A587" s="1" t="n">
        <v>38</v>
      </c>
      <c r="B587" s="1" t="n">
        <v>25</v>
      </c>
      <c r="C587" s="1" t="n">
        <v>63</v>
      </c>
      <c r="D587" s="1" t="s">
        <v>398</v>
      </c>
      <c r="E587" s="1" t="n">
        <v>-46887.053</v>
      </c>
      <c r="F587" s="1" t="n">
        <v>3.726</v>
      </c>
      <c r="G587" s="1" t="n">
        <f aca="false">IF(ISNUMBER(E587),E587,VALUE(SUBSTITUTE(E587,"#",".01")))</f>
        <v>-46887.053</v>
      </c>
    </row>
    <row r="588" customFormat="false" ht="12.75" hidden="false" customHeight="false" outlineLevel="0" collapsed="false">
      <c r="A588" s="1" t="n">
        <v>37</v>
      </c>
      <c r="B588" s="1" t="n">
        <v>26</v>
      </c>
      <c r="C588" s="1" t="n">
        <v>63</v>
      </c>
      <c r="D588" s="1" t="s">
        <v>404</v>
      </c>
      <c r="E588" s="1" t="n">
        <v>-55635.621</v>
      </c>
      <c r="F588" s="1" t="n">
        <v>4.302</v>
      </c>
      <c r="G588" s="1" t="n">
        <f aca="false">IF(ISNUMBER(E588),E588,VALUE(SUBSTITUTE(E588,"#",".01")))</f>
        <v>-55635.621</v>
      </c>
    </row>
    <row r="589" customFormat="false" ht="12.75" hidden="false" customHeight="false" outlineLevel="0" collapsed="false">
      <c r="A589" s="1" t="n">
        <v>36</v>
      </c>
      <c r="B589" s="1" t="n">
        <v>27</v>
      </c>
      <c r="C589" s="1" t="n">
        <v>63</v>
      </c>
      <c r="D589" s="1" t="s">
        <v>414</v>
      </c>
      <c r="E589" s="1" t="n">
        <v>-61851.44</v>
      </c>
      <c r="F589" s="1" t="n">
        <v>18.575</v>
      </c>
      <c r="G589" s="1" t="n">
        <f aca="false">IF(ISNUMBER(E589),E589,VALUE(SUBSTITUTE(E589,"#",".01")))</f>
        <v>-61851.44</v>
      </c>
    </row>
    <row r="590" customFormat="false" ht="12.75" hidden="false" customHeight="false" outlineLevel="0" collapsed="false">
      <c r="A590" s="1" t="n">
        <v>35</v>
      </c>
      <c r="B590" s="1" t="n">
        <v>28</v>
      </c>
      <c r="C590" s="1" t="n">
        <v>63</v>
      </c>
      <c r="D590" s="1" t="s">
        <v>22</v>
      </c>
      <c r="E590" s="1" t="n">
        <v>-65512.775</v>
      </c>
      <c r="F590" s="1" t="n">
        <v>0.44</v>
      </c>
      <c r="G590" s="1" t="n">
        <f aca="false">IF(ISNUMBER(E590),E590,VALUE(SUBSTITUTE(E590,"#",".01")))</f>
        <v>-65512.775</v>
      </c>
    </row>
    <row r="591" customFormat="false" ht="12.75" hidden="false" customHeight="false" outlineLevel="0" collapsed="false">
      <c r="A591" s="1" t="n">
        <v>34</v>
      </c>
      <c r="B591" s="1" t="n">
        <v>29</v>
      </c>
      <c r="C591" s="1" t="n">
        <v>63</v>
      </c>
      <c r="D591" s="1" t="s">
        <v>437</v>
      </c>
      <c r="E591" s="1" t="n">
        <v>-65579.752</v>
      </c>
      <c r="F591" s="1" t="n">
        <v>0.44</v>
      </c>
      <c r="G591" s="1" t="n">
        <f aca="false">IF(ISNUMBER(E591),E591,VALUE(SUBSTITUTE(E591,"#",".01")))</f>
        <v>-65579.752</v>
      </c>
    </row>
    <row r="592" customFormat="false" ht="12.75" hidden="false" customHeight="false" outlineLevel="0" collapsed="false">
      <c r="A592" s="1" t="n">
        <v>33</v>
      </c>
      <c r="B592" s="1" t="n">
        <v>30</v>
      </c>
      <c r="C592" s="1" t="n">
        <v>63</v>
      </c>
      <c r="D592" s="1" t="s">
        <v>443</v>
      </c>
      <c r="E592" s="1" t="n">
        <v>-62213.397</v>
      </c>
      <c r="F592" s="1" t="n">
        <v>1.561</v>
      </c>
      <c r="G592" s="1" t="n">
        <f aca="false">IF(ISNUMBER(E592),E592,VALUE(SUBSTITUTE(E592,"#",".01")))</f>
        <v>-62213.397</v>
      </c>
    </row>
    <row r="593" customFormat="false" ht="12.75" hidden="false" customHeight="false" outlineLevel="0" collapsed="false">
      <c r="A593" s="1" t="n">
        <v>32</v>
      </c>
      <c r="B593" s="1" t="n">
        <v>31</v>
      </c>
      <c r="C593" s="1" t="n">
        <v>63</v>
      </c>
      <c r="D593" s="1" t="s">
        <v>452</v>
      </c>
      <c r="E593" s="1" t="n">
        <v>-56547.093</v>
      </c>
      <c r="F593" s="1" t="n">
        <v>1.304</v>
      </c>
      <c r="G593" s="1" t="n">
        <f aca="false">IF(ISNUMBER(E593),E593,VALUE(SUBSTITUTE(E593,"#",".01")))</f>
        <v>-56547.093</v>
      </c>
    </row>
    <row r="594" customFormat="false" ht="12.75" hidden="false" customHeight="false" outlineLevel="0" collapsed="false">
      <c r="A594" s="1" t="n">
        <v>31</v>
      </c>
      <c r="B594" s="1" t="n">
        <v>32</v>
      </c>
      <c r="C594" s="1" t="n">
        <v>63</v>
      </c>
      <c r="D594" s="1" t="s">
        <v>461</v>
      </c>
      <c r="E594" s="1" t="n">
        <v>-46921.216</v>
      </c>
      <c r="F594" s="1" t="n">
        <v>37.26</v>
      </c>
      <c r="G594" s="1" t="n">
        <f aca="false">IF(ISNUMBER(E594),E594,VALUE(SUBSTITUTE(E594,"#",".01")))</f>
        <v>-46921.216</v>
      </c>
    </row>
    <row r="595" customFormat="false" ht="12.75" hidden="false" customHeight="false" outlineLevel="0" collapsed="false">
      <c r="A595" s="1" t="n">
        <v>30</v>
      </c>
      <c r="B595" s="1" t="n">
        <v>33</v>
      </c>
      <c r="C595" s="1" t="n">
        <v>63</v>
      </c>
      <c r="D595" s="1" t="s">
        <v>471</v>
      </c>
      <c r="E595" s="1" t="s">
        <v>484</v>
      </c>
      <c r="F595" s="1" t="s">
        <v>349</v>
      </c>
      <c r="G595" s="1" t="n">
        <f aca="false">IF(ISNUMBER(E595),E595,VALUE(SUBSTITUTE(E595,"#",".01")))</f>
        <v>-33500.01</v>
      </c>
    </row>
    <row r="596" customFormat="false" ht="12.75" hidden="false" customHeight="false" outlineLevel="0" collapsed="false">
      <c r="A596" s="1" t="n">
        <v>42</v>
      </c>
      <c r="B596" s="1" t="n">
        <v>22</v>
      </c>
      <c r="C596" s="1" t="n">
        <v>64</v>
      </c>
      <c r="D596" s="1" t="s">
        <v>374</v>
      </c>
      <c r="E596" s="1" t="s">
        <v>485</v>
      </c>
      <c r="F596" s="1" t="s">
        <v>387</v>
      </c>
      <c r="G596" s="1" t="n">
        <f aca="false">IF(ISNUMBER(E596),E596,VALUE(SUBSTITUTE(E596,"#",".01")))</f>
        <v>-1025.01</v>
      </c>
    </row>
    <row r="597" customFormat="false" ht="12.75" hidden="false" customHeight="false" outlineLevel="0" collapsed="false">
      <c r="A597" s="1" t="n">
        <v>41</v>
      </c>
      <c r="B597" s="1" t="n">
        <v>23</v>
      </c>
      <c r="C597" s="1" t="n">
        <v>64</v>
      </c>
      <c r="D597" s="1" t="s">
        <v>382</v>
      </c>
      <c r="E597" s="1" t="s">
        <v>486</v>
      </c>
      <c r="F597" s="1" t="s">
        <v>378</v>
      </c>
      <c r="G597" s="1" t="n">
        <f aca="false">IF(ISNUMBER(E597),E597,VALUE(SUBSTITUTE(E597,"#",".01")))</f>
        <v>-16320.01</v>
      </c>
    </row>
    <row r="598" customFormat="false" ht="12.75" hidden="false" customHeight="false" outlineLevel="0" collapsed="false">
      <c r="A598" s="1" t="n">
        <v>40</v>
      </c>
      <c r="B598" s="1" t="n">
        <v>24</v>
      </c>
      <c r="C598" s="1" t="n">
        <v>64</v>
      </c>
      <c r="D598" s="1" t="s">
        <v>390</v>
      </c>
      <c r="E598" s="1" t="n">
        <v>-33479.757</v>
      </c>
      <c r="F598" s="1" t="n">
        <v>439.665</v>
      </c>
      <c r="G598" s="1" t="n">
        <f aca="false">IF(ISNUMBER(E598),E598,VALUE(SUBSTITUTE(E598,"#",".01")))</f>
        <v>-33479.757</v>
      </c>
    </row>
    <row r="599" customFormat="false" ht="12.75" hidden="false" customHeight="false" outlineLevel="0" collapsed="false">
      <c r="A599" s="1" t="n">
        <v>39</v>
      </c>
      <c r="B599" s="1" t="n">
        <v>25</v>
      </c>
      <c r="C599" s="1" t="n">
        <v>64</v>
      </c>
      <c r="D599" s="1" t="s">
        <v>398</v>
      </c>
      <c r="E599" s="1" t="n">
        <v>-42989.035</v>
      </c>
      <c r="F599" s="1" t="n">
        <v>3.54</v>
      </c>
      <c r="G599" s="1" t="n">
        <f aca="false">IF(ISNUMBER(E599),E599,VALUE(SUBSTITUTE(E599,"#",".01")))</f>
        <v>-42989.035</v>
      </c>
    </row>
    <row r="600" customFormat="false" ht="12.75" hidden="false" customHeight="false" outlineLevel="0" collapsed="false">
      <c r="A600" s="1" t="n">
        <v>38</v>
      </c>
      <c r="B600" s="1" t="n">
        <v>26</v>
      </c>
      <c r="C600" s="1" t="n">
        <v>64</v>
      </c>
      <c r="D600" s="1" t="s">
        <v>404</v>
      </c>
      <c r="E600" s="1" t="n">
        <v>-54969.544</v>
      </c>
      <c r="F600" s="1" t="n">
        <v>5.017</v>
      </c>
      <c r="G600" s="1" t="n">
        <f aca="false">IF(ISNUMBER(E600),E600,VALUE(SUBSTITUTE(E600,"#",".01")))</f>
        <v>-54969.544</v>
      </c>
    </row>
    <row r="601" customFormat="false" ht="12.75" hidden="false" customHeight="false" outlineLevel="0" collapsed="false">
      <c r="A601" s="1" t="n">
        <v>37</v>
      </c>
      <c r="B601" s="1" t="n">
        <v>27</v>
      </c>
      <c r="C601" s="1" t="n">
        <v>64</v>
      </c>
      <c r="D601" s="1" t="s">
        <v>414</v>
      </c>
      <c r="E601" s="1" t="n">
        <v>-59792.329</v>
      </c>
      <c r="F601" s="1" t="n">
        <v>20.006</v>
      </c>
      <c r="G601" s="1" t="n">
        <f aca="false">IF(ISNUMBER(E601),E601,VALUE(SUBSTITUTE(E601,"#",".01")))</f>
        <v>-59792.329</v>
      </c>
    </row>
    <row r="602" customFormat="false" ht="12.75" hidden="false" customHeight="false" outlineLevel="0" collapsed="false">
      <c r="A602" s="1" t="n">
        <v>36</v>
      </c>
      <c r="B602" s="1" t="n">
        <v>28</v>
      </c>
      <c r="C602" s="1" t="n">
        <v>64</v>
      </c>
      <c r="D602" s="1" t="s">
        <v>22</v>
      </c>
      <c r="E602" s="1" t="n">
        <v>-67098.921</v>
      </c>
      <c r="F602" s="1" t="n">
        <v>0.475</v>
      </c>
      <c r="G602" s="1" t="n">
        <f aca="false">IF(ISNUMBER(E602),E602,VALUE(SUBSTITUTE(E602,"#",".01")))</f>
        <v>-67098.921</v>
      </c>
    </row>
    <row r="603" customFormat="false" ht="12.75" hidden="false" customHeight="false" outlineLevel="0" collapsed="false">
      <c r="A603" s="1" t="n">
        <v>35</v>
      </c>
      <c r="B603" s="1" t="n">
        <v>29</v>
      </c>
      <c r="C603" s="1" t="n">
        <v>64</v>
      </c>
      <c r="D603" s="1" t="s">
        <v>437</v>
      </c>
      <c r="E603" s="1" t="n">
        <v>-65424.545</v>
      </c>
      <c r="F603" s="1" t="n">
        <v>0.448</v>
      </c>
      <c r="G603" s="1" t="n">
        <f aca="false">IF(ISNUMBER(E603),E603,VALUE(SUBSTITUTE(E603,"#",".01")))</f>
        <v>-65424.545</v>
      </c>
    </row>
    <row r="604" customFormat="false" ht="12.75" hidden="false" customHeight="false" outlineLevel="0" collapsed="false">
      <c r="A604" s="1" t="n">
        <v>34</v>
      </c>
      <c r="B604" s="1" t="n">
        <v>30</v>
      </c>
      <c r="C604" s="1" t="n">
        <v>64</v>
      </c>
      <c r="D604" s="1" t="s">
        <v>443</v>
      </c>
      <c r="E604" s="1" t="n">
        <v>-66004.014</v>
      </c>
      <c r="F604" s="1" t="n">
        <v>0.647</v>
      </c>
      <c r="G604" s="1" t="n">
        <f aca="false">IF(ISNUMBER(E604),E604,VALUE(SUBSTITUTE(E604,"#",".01")))</f>
        <v>-66004.014</v>
      </c>
    </row>
    <row r="605" customFormat="false" ht="12.75" hidden="false" customHeight="false" outlineLevel="0" collapsed="false">
      <c r="A605" s="1" t="n">
        <v>33</v>
      </c>
      <c r="B605" s="1" t="n">
        <v>31</v>
      </c>
      <c r="C605" s="1" t="n">
        <v>64</v>
      </c>
      <c r="D605" s="1" t="s">
        <v>452</v>
      </c>
      <c r="E605" s="1" t="n">
        <v>-58832.821</v>
      </c>
      <c r="F605" s="1" t="n">
        <v>1.429</v>
      </c>
      <c r="G605" s="1" t="n">
        <f aca="false">IF(ISNUMBER(E605),E605,VALUE(SUBSTITUTE(E605,"#",".01")))</f>
        <v>-58832.821</v>
      </c>
    </row>
    <row r="606" customFormat="false" ht="12.75" hidden="false" customHeight="false" outlineLevel="0" collapsed="false">
      <c r="A606" s="1" t="n">
        <v>32</v>
      </c>
      <c r="B606" s="1" t="n">
        <v>32</v>
      </c>
      <c r="C606" s="1" t="n">
        <v>64</v>
      </c>
      <c r="D606" s="1" t="s">
        <v>461</v>
      </c>
      <c r="E606" s="1" t="n">
        <v>-54315.496</v>
      </c>
      <c r="F606" s="1" t="n">
        <v>3.726</v>
      </c>
      <c r="G606" s="1" t="n">
        <f aca="false">IF(ISNUMBER(E606),E606,VALUE(SUBSTITUTE(E606,"#",".01")))</f>
        <v>-54315.496</v>
      </c>
    </row>
    <row r="607" customFormat="false" ht="12.75" hidden="false" customHeight="false" outlineLevel="0" collapsed="false">
      <c r="A607" s="1" t="n">
        <v>31</v>
      </c>
      <c r="B607" s="1" t="n">
        <v>33</v>
      </c>
      <c r="C607" s="1" t="n">
        <v>64</v>
      </c>
      <c r="D607" s="1" t="s">
        <v>471</v>
      </c>
      <c r="E607" s="1" t="s">
        <v>487</v>
      </c>
      <c r="F607" s="1" t="s">
        <v>488</v>
      </c>
      <c r="G607" s="1" t="n">
        <f aca="false">IF(ISNUMBER(E607),E607,VALUE(SUBSTITUTE(E607,"#",".01")))</f>
        <v>-39532.01</v>
      </c>
    </row>
    <row r="608" customFormat="false" ht="12.75" hidden="false" customHeight="false" outlineLevel="0" collapsed="false">
      <c r="A608" s="1" t="n">
        <v>30</v>
      </c>
      <c r="B608" s="1" t="n">
        <v>34</v>
      </c>
      <c r="C608" s="1" t="n">
        <v>64</v>
      </c>
      <c r="D608" s="1" t="s">
        <v>489</v>
      </c>
      <c r="E608" s="1" t="s">
        <v>490</v>
      </c>
      <c r="F608" s="1" t="s">
        <v>323</v>
      </c>
      <c r="G608" s="1" t="n">
        <f aca="false">IF(ISNUMBER(E608),E608,VALUE(SUBSTITUTE(E608,"#",".01")))</f>
        <v>-26700.01</v>
      </c>
    </row>
    <row r="609" customFormat="false" ht="12.75" hidden="false" customHeight="false" outlineLevel="0" collapsed="false">
      <c r="A609" s="1" t="n">
        <v>42</v>
      </c>
      <c r="B609" s="1" t="n">
        <v>23</v>
      </c>
      <c r="C609" s="1" t="n">
        <v>65</v>
      </c>
      <c r="D609" s="1" t="s">
        <v>382</v>
      </c>
      <c r="E609" s="1" t="s">
        <v>491</v>
      </c>
      <c r="F609" s="1" t="s">
        <v>337</v>
      </c>
      <c r="G609" s="1" t="n">
        <f aca="false">IF(ISNUMBER(E609),E609,VALUE(SUBSTITUTE(E609,"#",".01")))</f>
        <v>-11780.01</v>
      </c>
    </row>
    <row r="610" customFormat="false" ht="12.75" hidden="false" customHeight="false" outlineLevel="0" collapsed="false">
      <c r="A610" s="1" t="n">
        <v>41</v>
      </c>
      <c r="B610" s="1" t="n">
        <v>24</v>
      </c>
      <c r="C610" s="1" t="n">
        <v>65</v>
      </c>
      <c r="D610" s="1" t="s">
        <v>390</v>
      </c>
      <c r="E610" s="1" t="s">
        <v>492</v>
      </c>
      <c r="F610" s="1" t="s">
        <v>371</v>
      </c>
      <c r="G610" s="1" t="n">
        <f aca="false">IF(ISNUMBER(E610),E610,VALUE(SUBSTITUTE(E610,"#",".01")))</f>
        <v>-28220.01</v>
      </c>
    </row>
    <row r="611" customFormat="false" ht="12.75" hidden="false" customHeight="false" outlineLevel="0" collapsed="false">
      <c r="A611" s="1" t="n">
        <v>40</v>
      </c>
      <c r="B611" s="1" t="n">
        <v>25</v>
      </c>
      <c r="C611" s="1" t="n">
        <v>65</v>
      </c>
      <c r="D611" s="1" t="s">
        <v>398</v>
      </c>
      <c r="E611" s="1" t="n">
        <v>-40967.339</v>
      </c>
      <c r="F611" s="1" t="n">
        <v>3.726</v>
      </c>
      <c r="G611" s="1" t="n">
        <f aca="false">IF(ISNUMBER(E611),E611,VALUE(SUBSTITUTE(E611,"#",".01")))</f>
        <v>-40967.339</v>
      </c>
    </row>
    <row r="612" customFormat="false" ht="12.75" hidden="false" customHeight="false" outlineLevel="0" collapsed="false">
      <c r="A612" s="1" t="n">
        <v>39</v>
      </c>
      <c r="B612" s="1" t="n">
        <v>26</v>
      </c>
      <c r="C612" s="1" t="n">
        <v>65</v>
      </c>
      <c r="D612" s="1" t="s">
        <v>404</v>
      </c>
      <c r="E612" s="1" t="n">
        <v>-51217.895</v>
      </c>
      <c r="F612" s="1" t="n">
        <v>5.112</v>
      </c>
      <c r="G612" s="1" t="n">
        <f aca="false">IF(ISNUMBER(E612),E612,VALUE(SUBSTITUTE(E612,"#",".01")))</f>
        <v>-51217.895</v>
      </c>
    </row>
    <row r="613" customFormat="false" ht="12.75" hidden="false" customHeight="false" outlineLevel="0" collapsed="false">
      <c r="A613" s="1" t="n">
        <v>38</v>
      </c>
      <c r="B613" s="1" t="n">
        <v>27</v>
      </c>
      <c r="C613" s="1" t="n">
        <v>65</v>
      </c>
      <c r="D613" s="1" t="s">
        <v>414</v>
      </c>
      <c r="E613" s="1" t="n">
        <v>-59185.198</v>
      </c>
      <c r="F613" s="1" t="n">
        <v>2.083</v>
      </c>
      <c r="G613" s="1" t="n">
        <f aca="false">IF(ISNUMBER(E613),E613,VALUE(SUBSTITUTE(E613,"#",".01")))</f>
        <v>-59185.198</v>
      </c>
    </row>
    <row r="614" customFormat="false" ht="12.75" hidden="false" customHeight="false" outlineLevel="0" collapsed="false">
      <c r="A614" s="1" t="n">
        <v>37</v>
      </c>
      <c r="B614" s="1" t="n">
        <v>28</v>
      </c>
      <c r="C614" s="1" t="n">
        <v>65</v>
      </c>
      <c r="D614" s="1" t="s">
        <v>22</v>
      </c>
      <c r="E614" s="1" t="n">
        <v>-65125.685</v>
      </c>
      <c r="F614" s="1" t="n">
        <v>0.495</v>
      </c>
      <c r="G614" s="1" t="n">
        <f aca="false">IF(ISNUMBER(E614),E614,VALUE(SUBSTITUTE(E614,"#",".01")))</f>
        <v>-65125.685</v>
      </c>
    </row>
    <row r="615" customFormat="false" ht="12.75" hidden="false" customHeight="false" outlineLevel="0" collapsed="false">
      <c r="A615" s="1" t="n">
        <v>36</v>
      </c>
      <c r="B615" s="1" t="n">
        <v>29</v>
      </c>
      <c r="C615" s="1" t="n">
        <v>65</v>
      </c>
      <c r="D615" s="1" t="s">
        <v>437</v>
      </c>
      <c r="E615" s="1" t="n">
        <v>-67263.66</v>
      </c>
      <c r="F615" s="1" t="n">
        <v>0.65</v>
      </c>
      <c r="G615" s="1" t="n">
        <f aca="false">IF(ISNUMBER(E615),E615,VALUE(SUBSTITUTE(E615,"#",".01")))</f>
        <v>-67263.66</v>
      </c>
    </row>
    <row r="616" customFormat="false" ht="12.75" hidden="false" customHeight="false" outlineLevel="0" collapsed="false">
      <c r="A616" s="1" t="n">
        <v>35</v>
      </c>
      <c r="B616" s="1" t="n">
        <v>30</v>
      </c>
      <c r="C616" s="1" t="n">
        <v>65</v>
      </c>
      <c r="D616" s="1" t="s">
        <v>443</v>
      </c>
      <c r="E616" s="1" t="n">
        <v>-65912.019</v>
      </c>
      <c r="F616" s="1" t="n">
        <v>0.65</v>
      </c>
      <c r="G616" s="1" t="n">
        <f aca="false">IF(ISNUMBER(E616),E616,VALUE(SUBSTITUTE(E616,"#",".01")))</f>
        <v>-65912.019</v>
      </c>
    </row>
    <row r="617" customFormat="false" ht="12.75" hidden="false" customHeight="false" outlineLevel="0" collapsed="false">
      <c r="A617" s="1" t="n">
        <v>34</v>
      </c>
      <c r="B617" s="1" t="n">
        <v>31</v>
      </c>
      <c r="C617" s="1" t="n">
        <v>65</v>
      </c>
      <c r="D617" s="1" t="s">
        <v>452</v>
      </c>
      <c r="E617" s="1" t="n">
        <v>-62657.507</v>
      </c>
      <c r="F617" s="1" t="n">
        <v>0.815</v>
      </c>
      <c r="G617" s="1" t="n">
        <f aca="false">IF(ISNUMBER(E617),E617,VALUE(SUBSTITUTE(E617,"#",".01")))</f>
        <v>-62657.507</v>
      </c>
    </row>
    <row r="618" customFormat="false" ht="12.75" hidden="false" customHeight="false" outlineLevel="0" collapsed="false">
      <c r="A618" s="1" t="n">
        <v>33</v>
      </c>
      <c r="B618" s="1" t="n">
        <v>32</v>
      </c>
      <c r="C618" s="1" t="n">
        <v>65</v>
      </c>
      <c r="D618" s="1" t="s">
        <v>461</v>
      </c>
      <c r="E618" s="1" t="n">
        <v>-56478.216</v>
      </c>
      <c r="F618" s="1" t="n">
        <v>2.165</v>
      </c>
      <c r="G618" s="1" t="n">
        <f aca="false">IF(ISNUMBER(E618),E618,VALUE(SUBSTITUTE(E618,"#",".01")))</f>
        <v>-56478.216</v>
      </c>
    </row>
    <row r="619" customFormat="false" ht="12.75" hidden="false" customHeight="false" outlineLevel="0" collapsed="false">
      <c r="A619" s="1" t="n">
        <v>32</v>
      </c>
      <c r="B619" s="1" t="n">
        <v>33</v>
      </c>
      <c r="C619" s="1" t="n">
        <v>65</v>
      </c>
      <c r="D619" s="1" t="s">
        <v>471</v>
      </c>
      <c r="E619" s="1" t="n">
        <v>-46937.051</v>
      </c>
      <c r="F619" s="1" t="n">
        <v>84.766</v>
      </c>
      <c r="G619" s="1" t="n">
        <f aca="false">IF(ISNUMBER(E619),E619,VALUE(SUBSTITUTE(E619,"#",".01")))</f>
        <v>-46937.051</v>
      </c>
    </row>
    <row r="620" customFormat="false" ht="12.75" hidden="false" customHeight="false" outlineLevel="0" collapsed="false">
      <c r="A620" s="1" t="n">
        <v>31</v>
      </c>
      <c r="B620" s="1" t="n">
        <v>34</v>
      </c>
      <c r="C620" s="1" t="n">
        <v>65</v>
      </c>
      <c r="D620" s="1" t="s">
        <v>489</v>
      </c>
      <c r="E620" s="1" t="s">
        <v>493</v>
      </c>
      <c r="F620" s="1" t="s">
        <v>371</v>
      </c>
      <c r="G620" s="1" t="n">
        <f aca="false">IF(ISNUMBER(E620),E620,VALUE(SUBSTITUTE(E620,"#",".01")))</f>
        <v>-33020.01</v>
      </c>
    </row>
    <row r="621" customFormat="false" ht="12.75" hidden="false" customHeight="false" outlineLevel="0" collapsed="false">
      <c r="A621" s="1" t="n">
        <v>43</v>
      </c>
      <c r="B621" s="1" t="n">
        <v>23</v>
      </c>
      <c r="C621" s="1" t="n">
        <v>66</v>
      </c>
      <c r="D621" s="1" t="s">
        <v>382</v>
      </c>
      <c r="E621" s="1" t="s">
        <v>494</v>
      </c>
      <c r="F621" s="1" t="s">
        <v>337</v>
      </c>
      <c r="G621" s="1" t="n">
        <f aca="false">IF(ISNUMBER(E621),E621,VALUE(SUBSTITUTE(E621,"#",".01")))</f>
        <v>-5610.01</v>
      </c>
    </row>
    <row r="622" customFormat="false" ht="12.75" hidden="false" customHeight="false" outlineLevel="0" collapsed="false">
      <c r="A622" s="1" t="n">
        <v>42</v>
      </c>
      <c r="B622" s="1" t="n">
        <v>24</v>
      </c>
      <c r="C622" s="1" t="n">
        <v>66</v>
      </c>
      <c r="D622" s="1" t="s">
        <v>390</v>
      </c>
      <c r="E622" s="1" t="s">
        <v>495</v>
      </c>
      <c r="F622" s="1" t="s">
        <v>378</v>
      </c>
      <c r="G622" s="1" t="n">
        <f aca="false">IF(ISNUMBER(E622),E622,VALUE(SUBSTITUTE(E622,"#",".01")))</f>
        <v>-24720.01</v>
      </c>
    </row>
    <row r="623" customFormat="false" ht="12.75" hidden="false" customHeight="false" outlineLevel="0" collapsed="false">
      <c r="A623" s="1" t="n">
        <v>41</v>
      </c>
      <c r="B623" s="1" t="n">
        <v>25</v>
      </c>
      <c r="C623" s="1" t="n">
        <v>66</v>
      </c>
      <c r="D623" s="1" t="s">
        <v>398</v>
      </c>
      <c r="E623" s="1" t="n">
        <v>-36750.387</v>
      </c>
      <c r="F623" s="1" t="n">
        <v>11.178</v>
      </c>
      <c r="G623" s="1" t="n">
        <f aca="false">IF(ISNUMBER(E623),E623,VALUE(SUBSTITUTE(E623,"#",".01")))</f>
        <v>-36750.387</v>
      </c>
    </row>
    <row r="624" customFormat="false" ht="12.75" hidden="false" customHeight="false" outlineLevel="0" collapsed="false">
      <c r="A624" s="1" t="n">
        <v>40</v>
      </c>
      <c r="B624" s="1" t="n">
        <v>26</v>
      </c>
      <c r="C624" s="1" t="n">
        <v>66</v>
      </c>
      <c r="D624" s="1" t="s">
        <v>404</v>
      </c>
      <c r="E624" s="1" t="n">
        <v>-50067.839</v>
      </c>
      <c r="F624" s="1" t="n">
        <v>4.099</v>
      </c>
      <c r="G624" s="1" t="n">
        <f aca="false">IF(ISNUMBER(E624),E624,VALUE(SUBSTITUTE(E624,"#",".01")))</f>
        <v>-50067.839</v>
      </c>
    </row>
    <row r="625" customFormat="false" ht="12.75" hidden="false" customHeight="false" outlineLevel="0" collapsed="false">
      <c r="A625" s="1" t="n">
        <v>39</v>
      </c>
      <c r="B625" s="1" t="n">
        <v>27</v>
      </c>
      <c r="C625" s="1" t="n">
        <v>66</v>
      </c>
      <c r="D625" s="1" t="s">
        <v>414</v>
      </c>
      <c r="E625" s="1" t="n">
        <v>-56408.533</v>
      </c>
      <c r="F625" s="1" t="n">
        <v>13.972</v>
      </c>
      <c r="G625" s="1" t="n">
        <f aca="false">IF(ISNUMBER(E625),E625,VALUE(SUBSTITUTE(E625,"#",".01")))</f>
        <v>-56408.533</v>
      </c>
    </row>
    <row r="626" customFormat="false" ht="12.75" hidden="false" customHeight="false" outlineLevel="0" collapsed="false">
      <c r="A626" s="1" t="n">
        <v>38</v>
      </c>
      <c r="B626" s="1" t="n">
        <v>28</v>
      </c>
      <c r="C626" s="1" t="n">
        <v>66</v>
      </c>
      <c r="D626" s="1" t="s">
        <v>22</v>
      </c>
      <c r="E626" s="1" t="n">
        <v>-66006.285</v>
      </c>
      <c r="F626" s="1" t="n">
        <v>1.397</v>
      </c>
      <c r="G626" s="1" t="n">
        <f aca="false">IF(ISNUMBER(E626),E626,VALUE(SUBSTITUTE(E626,"#",".01")))</f>
        <v>-66006.285</v>
      </c>
    </row>
    <row r="627" customFormat="false" ht="12.75" hidden="false" customHeight="false" outlineLevel="0" collapsed="false">
      <c r="A627" s="1" t="n">
        <v>37</v>
      </c>
      <c r="B627" s="1" t="n">
        <v>29</v>
      </c>
      <c r="C627" s="1" t="n">
        <v>66</v>
      </c>
      <c r="D627" s="1" t="s">
        <v>437</v>
      </c>
      <c r="E627" s="1" t="n">
        <v>-66258.272</v>
      </c>
      <c r="F627" s="1" t="n">
        <v>0.655</v>
      </c>
      <c r="G627" s="1" t="n">
        <f aca="false">IF(ISNUMBER(E627),E627,VALUE(SUBSTITUTE(E627,"#",".01")))</f>
        <v>-66258.272</v>
      </c>
    </row>
    <row r="628" customFormat="false" ht="12.75" hidden="false" customHeight="false" outlineLevel="0" collapsed="false">
      <c r="A628" s="1" t="n">
        <v>36</v>
      </c>
      <c r="B628" s="1" t="n">
        <v>30</v>
      </c>
      <c r="C628" s="1" t="n">
        <v>66</v>
      </c>
      <c r="D628" s="1" t="s">
        <v>443</v>
      </c>
      <c r="E628" s="1" t="n">
        <v>-68899.16</v>
      </c>
      <c r="F628" s="1" t="n">
        <v>0.749</v>
      </c>
      <c r="G628" s="1" t="n">
        <f aca="false">IF(ISNUMBER(E628),E628,VALUE(SUBSTITUTE(E628,"#",".01")))</f>
        <v>-68899.16</v>
      </c>
    </row>
    <row r="629" customFormat="false" ht="12.75" hidden="false" customHeight="false" outlineLevel="0" collapsed="false">
      <c r="A629" s="1" t="n">
        <v>35</v>
      </c>
      <c r="B629" s="1" t="n">
        <v>31</v>
      </c>
      <c r="C629" s="1" t="n">
        <v>66</v>
      </c>
      <c r="D629" s="1" t="s">
        <v>452</v>
      </c>
      <c r="E629" s="1" t="n">
        <v>-63723.66</v>
      </c>
      <c r="F629" s="1" t="n">
        <v>1.096</v>
      </c>
      <c r="G629" s="1" t="n">
        <f aca="false">IF(ISNUMBER(E629),E629,VALUE(SUBSTITUTE(E629,"#",".01")))</f>
        <v>-63723.66</v>
      </c>
    </row>
    <row r="630" customFormat="false" ht="12.75" hidden="false" customHeight="false" outlineLevel="0" collapsed="false">
      <c r="A630" s="1" t="n">
        <v>34</v>
      </c>
      <c r="B630" s="1" t="n">
        <v>32</v>
      </c>
      <c r="C630" s="1" t="n">
        <v>66</v>
      </c>
      <c r="D630" s="1" t="s">
        <v>461</v>
      </c>
      <c r="E630" s="1" t="n">
        <v>-61607.032</v>
      </c>
      <c r="F630" s="1" t="n">
        <v>2.401</v>
      </c>
      <c r="G630" s="1" t="n">
        <f aca="false">IF(ISNUMBER(E630),E630,VALUE(SUBSTITUTE(E630,"#",".01")))</f>
        <v>-61607.032</v>
      </c>
    </row>
    <row r="631" customFormat="false" ht="12.75" hidden="false" customHeight="false" outlineLevel="0" collapsed="false">
      <c r="A631" s="1" t="n">
        <v>33</v>
      </c>
      <c r="B631" s="1" t="n">
        <v>33</v>
      </c>
      <c r="C631" s="1" t="n">
        <v>66</v>
      </c>
      <c r="D631" s="1" t="s">
        <v>471</v>
      </c>
      <c r="E631" s="1" t="n">
        <v>-52025.077</v>
      </c>
      <c r="F631" s="1" t="n">
        <v>5.682</v>
      </c>
      <c r="G631" s="1" t="n">
        <f aca="false">IF(ISNUMBER(E631),E631,VALUE(SUBSTITUTE(E631,"#",".01")))</f>
        <v>-52025.077</v>
      </c>
    </row>
    <row r="632" customFormat="false" ht="12.75" hidden="false" customHeight="false" outlineLevel="0" collapsed="false">
      <c r="A632" s="1" t="n">
        <v>32</v>
      </c>
      <c r="B632" s="1" t="n">
        <v>34</v>
      </c>
      <c r="C632" s="1" t="n">
        <v>66</v>
      </c>
      <c r="D632" s="1" t="s">
        <v>489</v>
      </c>
      <c r="E632" s="1" t="s">
        <v>496</v>
      </c>
      <c r="F632" s="1" t="s">
        <v>349</v>
      </c>
      <c r="G632" s="1" t="n">
        <f aca="false">IF(ISNUMBER(E632),E632,VALUE(SUBSTITUTE(E632,"#",".01")))</f>
        <v>-41660.01</v>
      </c>
    </row>
    <row r="633" customFormat="false" ht="12.75" hidden="false" customHeight="false" outlineLevel="0" collapsed="false">
      <c r="A633" s="1" t="n">
        <v>44</v>
      </c>
      <c r="B633" s="1" t="n">
        <v>23</v>
      </c>
      <c r="C633" s="1" t="n">
        <v>67</v>
      </c>
      <c r="D633" s="1" t="s">
        <v>382</v>
      </c>
      <c r="E633" s="1" t="s">
        <v>497</v>
      </c>
      <c r="F633" s="1" t="s">
        <v>387</v>
      </c>
      <c r="G633" s="1" t="n">
        <f aca="false">IF(ISNUMBER(E633),E633,VALUE(SUBSTITUTE(E633,"#",".01")))</f>
        <v>-650.01</v>
      </c>
    </row>
    <row r="634" customFormat="false" ht="12.75" hidden="false" customHeight="false" outlineLevel="0" collapsed="false">
      <c r="A634" s="1" t="n">
        <v>43</v>
      </c>
      <c r="B634" s="1" t="n">
        <v>24</v>
      </c>
      <c r="C634" s="1" t="n">
        <v>67</v>
      </c>
      <c r="D634" s="1" t="s">
        <v>390</v>
      </c>
      <c r="E634" s="1" t="s">
        <v>498</v>
      </c>
      <c r="F634" s="1" t="s">
        <v>378</v>
      </c>
      <c r="G634" s="1" t="n">
        <f aca="false">IF(ISNUMBER(E634),E634,VALUE(SUBSTITUTE(E634,"#",".01")))</f>
        <v>-18680.01</v>
      </c>
    </row>
    <row r="635" customFormat="false" ht="12.75" hidden="false" customHeight="false" outlineLevel="0" collapsed="false">
      <c r="A635" s="1" t="n">
        <v>42</v>
      </c>
      <c r="B635" s="1" t="n">
        <v>25</v>
      </c>
      <c r="C635" s="1" t="n">
        <v>67</v>
      </c>
      <c r="D635" s="1" t="s">
        <v>398</v>
      </c>
      <c r="E635" s="1" t="s">
        <v>499</v>
      </c>
      <c r="F635" s="1" t="s">
        <v>371</v>
      </c>
      <c r="G635" s="1" t="n">
        <f aca="false">IF(ISNUMBER(E635),E635,VALUE(SUBSTITUTE(E635,"#",".01")))</f>
        <v>-33460.01</v>
      </c>
    </row>
    <row r="636" customFormat="false" ht="12.75" hidden="false" customHeight="false" outlineLevel="0" collapsed="false">
      <c r="A636" s="1" t="n">
        <v>41</v>
      </c>
      <c r="B636" s="1" t="n">
        <v>26</v>
      </c>
      <c r="C636" s="1" t="n">
        <v>67</v>
      </c>
      <c r="D636" s="1" t="s">
        <v>404</v>
      </c>
      <c r="E636" s="1" t="n">
        <v>-45610.155</v>
      </c>
      <c r="F636" s="1" t="n">
        <v>270.285</v>
      </c>
      <c r="G636" s="1" t="n">
        <f aca="false">IF(ISNUMBER(E636),E636,VALUE(SUBSTITUTE(E636,"#",".01")))</f>
        <v>-45610.155</v>
      </c>
    </row>
    <row r="637" customFormat="false" ht="12.75" hidden="false" customHeight="false" outlineLevel="0" collapsed="false">
      <c r="A637" s="1" t="n">
        <v>40</v>
      </c>
      <c r="B637" s="1" t="n">
        <v>27</v>
      </c>
      <c r="C637" s="1" t="n">
        <v>67</v>
      </c>
      <c r="D637" s="1" t="s">
        <v>414</v>
      </c>
      <c r="E637" s="1" t="n">
        <v>-55321.775</v>
      </c>
      <c r="F637" s="1" t="n">
        <v>6.443</v>
      </c>
      <c r="G637" s="1" t="n">
        <f aca="false">IF(ISNUMBER(E637),E637,VALUE(SUBSTITUTE(E637,"#",".01")))</f>
        <v>-55321.775</v>
      </c>
    </row>
    <row r="638" customFormat="false" ht="12.75" hidden="false" customHeight="false" outlineLevel="0" collapsed="false">
      <c r="A638" s="1" t="n">
        <v>39</v>
      </c>
      <c r="B638" s="1" t="n">
        <v>28</v>
      </c>
      <c r="C638" s="1" t="n">
        <v>67</v>
      </c>
      <c r="D638" s="1" t="s">
        <v>22</v>
      </c>
      <c r="E638" s="1" t="n">
        <v>-63742.68</v>
      </c>
      <c r="F638" s="1" t="n">
        <v>2.888</v>
      </c>
      <c r="G638" s="1" t="n">
        <f aca="false">IF(ISNUMBER(E638),E638,VALUE(SUBSTITUTE(E638,"#",".01")))</f>
        <v>-63742.68</v>
      </c>
    </row>
    <row r="639" customFormat="false" ht="12.75" hidden="false" customHeight="false" outlineLevel="0" collapsed="false">
      <c r="A639" s="1" t="n">
        <v>38</v>
      </c>
      <c r="B639" s="1" t="n">
        <v>29</v>
      </c>
      <c r="C639" s="1" t="n">
        <v>67</v>
      </c>
      <c r="D639" s="1" t="s">
        <v>437</v>
      </c>
      <c r="E639" s="1" t="n">
        <v>-67319.513</v>
      </c>
      <c r="F639" s="1" t="n">
        <v>0.894</v>
      </c>
      <c r="G639" s="1" t="n">
        <f aca="false">IF(ISNUMBER(E639),E639,VALUE(SUBSTITUTE(E639,"#",".01")))</f>
        <v>-67319.513</v>
      </c>
    </row>
    <row r="640" customFormat="false" ht="12.75" hidden="false" customHeight="false" outlineLevel="0" collapsed="false">
      <c r="A640" s="1" t="n">
        <v>37</v>
      </c>
      <c r="B640" s="1" t="n">
        <v>30</v>
      </c>
      <c r="C640" s="1" t="n">
        <v>67</v>
      </c>
      <c r="D640" s="1" t="s">
        <v>443</v>
      </c>
      <c r="E640" s="1" t="n">
        <v>-67880.313</v>
      </c>
      <c r="F640" s="1" t="n">
        <v>0.76</v>
      </c>
      <c r="G640" s="1" t="n">
        <f aca="false">IF(ISNUMBER(E640),E640,VALUE(SUBSTITUTE(E640,"#",".01")))</f>
        <v>-67880.313</v>
      </c>
    </row>
    <row r="641" customFormat="false" ht="12.75" hidden="false" customHeight="false" outlineLevel="0" collapsed="false">
      <c r="A641" s="1" t="n">
        <v>36</v>
      </c>
      <c r="B641" s="1" t="n">
        <v>31</v>
      </c>
      <c r="C641" s="1" t="n">
        <v>67</v>
      </c>
      <c r="D641" s="1" t="s">
        <v>452</v>
      </c>
      <c r="E641" s="1" t="n">
        <v>-66879.048</v>
      </c>
      <c r="F641" s="1" t="n">
        <v>1.181</v>
      </c>
      <c r="G641" s="1" t="n">
        <f aca="false">IF(ISNUMBER(E641),E641,VALUE(SUBSTITUTE(E641,"#",".01")))</f>
        <v>-66879.048</v>
      </c>
    </row>
    <row r="642" customFormat="false" ht="12.75" hidden="false" customHeight="false" outlineLevel="0" collapsed="false">
      <c r="A642" s="1" t="n">
        <v>35</v>
      </c>
      <c r="B642" s="1" t="n">
        <v>32</v>
      </c>
      <c r="C642" s="1" t="n">
        <v>67</v>
      </c>
      <c r="D642" s="1" t="s">
        <v>461</v>
      </c>
      <c r="E642" s="1" t="n">
        <v>-62658.23</v>
      </c>
      <c r="F642" s="1" t="n">
        <v>4.661</v>
      </c>
      <c r="G642" s="1" t="n">
        <f aca="false">IF(ISNUMBER(E642),E642,VALUE(SUBSTITUTE(E642,"#",".01")))</f>
        <v>-62658.23</v>
      </c>
    </row>
    <row r="643" customFormat="false" ht="12.75" hidden="false" customHeight="false" outlineLevel="0" collapsed="false">
      <c r="A643" s="1" t="n">
        <v>34</v>
      </c>
      <c r="B643" s="1" t="n">
        <v>33</v>
      </c>
      <c r="C643" s="1" t="n">
        <v>67</v>
      </c>
      <c r="D643" s="1" t="s">
        <v>471</v>
      </c>
      <c r="E643" s="1" t="n">
        <v>-56587.225</v>
      </c>
      <c r="F643" s="1" t="n">
        <v>0.443</v>
      </c>
      <c r="G643" s="1" t="n">
        <f aca="false">IF(ISNUMBER(E643),E643,VALUE(SUBSTITUTE(E643,"#",".01")))</f>
        <v>-56587.225</v>
      </c>
    </row>
    <row r="644" customFormat="false" ht="12.75" hidden="false" customHeight="false" outlineLevel="0" collapsed="false">
      <c r="A644" s="1" t="n">
        <v>33</v>
      </c>
      <c r="B644" s="1" t="n">
        <v>34</v>
      </c>
      <c r="C644" s="1" t="n">
        <v>67</v>
      </c>
      <c r="D644" s="1" t="s">
        <v>489</v>
      </c>
      <c r="E644" s="1" t="n">
        <v>-46580.289</v>
      </c>
      <c r="F644" s="1" t="n">
        <v>67.068</v>
      </c>
      <c r="G644" s="1" t="n">
        <f aca="false">IF(ISNUMBER(E644),E644,VALUE(SUBSTITUTE(E644,"#",".01")))</f>
        <v>-46580.289</v>
      </c>
    </row>
    <row r="645" customFormat="false" ht="12.75" hidden="false" customHeight="false" outlineLevel="0" collapsed="false">
      <c r="A645" s="1" t="n">
        <v>32</v>
      </c>
      <c r="B645" s="1" t="n">
        <v>35</v>
      </c>
      <c r="C645" s="1" t="n">
        <v>67</v>
      </c>
      <c r="D645" s="1" t="s">
        <v>500</v>
      </c>
      <c r="E645" s="1" t="s">
        <v>501</v>
      </c>
      <c r="F645" s="1" t="s">
        <v>378</v>
      </c>
      <c r="G645" s="1" t="n">
        <f aca="false">IF(ISNUMBER(E645),E645,VALUE(SUBSTITUTE(E645,"#",".01")))</f>
        <v>-32790.01</v>
      </c>
    </row>
    <row r="646" customFormat="false" ht="12.75" hidden="false" customHeight="false" outlineLevel="0" collapsed="false">
      <c r="A646" s="1" t="n">
        <v>44</v>
      </c>
      <c r="B646" s="1" t="n">
        <v>24</v>
      </c>
      <c r="C646" s="1" t="n">
        <v>68</v>
      </c>
      <c r="D646" s="1" t="s">
        <v>390</v>
      </c>
      <c r="E646" s="1" t="s">
        <v>502</v>
      </c>
      <c r="F646" s="1" t="s">
        <v>337</v>
      </c>
      <c r="G646" s="1" t="n">
        <f aca="false">IF(ISNUMBER(E646),E646,VALUE(SUBSTITUTE(E646,"#",".01")))</f>
        <v>-14800.01</v>
      </c>
    </row>
    <row r="647" customFormat="false" ht="12.75" hidden="false" customHeight="false" outlineLevel="0" collapsed="false">
      <c r="A647" s="1" t="n">
        <v>43</v>
      </c>
      <c r="B647" s="1" t="n">
        <v>25</v>
      </c>
      <c r="C647" s="1" t="n">
        <v>68</v>
      </c>
      <c r="D647" s="1" t="s">
        <v>398</v>
      </c>
      <c r="E647" s="1" t="s">
        <v>503</v>
      </c>
      <c r="F647" s="1" t="s">
        <v>378</v>
      </c>
      <c r="G647" s="1" t="n">
        <f aca="false">IF(ISNUMBER(E647),E647,VALUE(SUBSTITUTE(E647,"#",".01")))</f>
        <v>-28380.01</v>
      </c>
    </row>
    <row r="648" customFormat="false" ht="12.75" hidden="false" customHeight="false" outlineLevel="0" collapsed="false">
      <c r="A648" s="1" t="n">
        <v>42</v>
      </c>
      <c r="B648" s="1" t="n">
        <v>26</v>
      </c>
      <c r="C648" s="1" t="n">
        <v>68</v>
      </c>
      <c r="D648" s="1" t="s">
        <v>404</v>
      </c>
      <c r="E648" s="1" t="n">
        <v>-43486.914</v>
      </c>
      <c r="F648" s="1" t="n">
        <v>365.259</v>
      </c>
      <c r="G648" s="1" t="n">
        <f aca="false">IF(ISNUMBER(E648),E648,VALUE(SUBSTITUTE(E648,"#",".01")))</f>
        <v>-43486.914</v>
      </c>
    </row>
    <row r="649" customFormat="false" ht="12.75" hidden="false" customHeight="false" outlineLevel="0" collapsed="false">
      <c r="A649" s="1" t="n">
        <v>41</v>
      </c>
      <c r="B649" s="1" t="n">
        <v>27</v>
      </c>
      <c r="C649" s="1" t="n">
        <v>68</v>
      </c>
      <c r="D649" s="1" t="s">
        <v>414</v>
      </c>
      <c r="E649" s="1" t="n">
        <v>-51930.665</v>
      </c>
      <c r="F649" s="1" t="n">
        <v>189.497</v>
      </c>
      <c r="G649" s="1" t="n">
        <f aca="false">IF(ISNUMBER(E649),E649,VALUE(SUBSTITUTE(E649,"#",".01")))</f>
        <v>-51930.665</v>
      </c>
    </row>
    <row r="650" customFormat="false" ht="12.75" hidden="false" customHeight="false" outlineLevel="0" collapsed="false">
      <c r="A650" s="1" t="n">
        <v>40</v>
      </c>
      <c r="B650" s="1" t="n">
        <v>28</v>
      </c>
      <c r="C650" s="1" t="n">
        <v>68</v>
      </c>
      <c r="D650" s="1" t="s">
        <v>22</v>
      </c>
      <c r="E650" s="1" t="n">
        <v>-63463.814</v>
      </c>
      <c r="F650" s="1" t="n">
        <v>2.981</v>
      </c>
      <c r="G650" s="1" t="n">
        <f aca="false">IF(ISNUMBER(E650),E650,VALUE(SUBSTITUTE(E650,"#",".01")))</f>
        <v>-63463.814</v>
      </c>
    </row>
    <row r="651" customFormat="false" ht="12.75" hidden="false" customHeight="false" outlineLevel="0" collapsed="false">
      <c r="A651" s="1" t="n">
        <v>39</v>
      </c>
      <c r="B651" s="1" t="n">
        <v>29</v>
      </c>
      <c r="C651" s="1" t="n">
        <v>68</v>
      </c>
      <c r="D651" s="1" t="s">
        <v>437</v>
      </c>
      <c r="E651" s="1" t="n">
        <v>-65567.035</v>
      </c>
      <c r="F651" s="1" t="n">
        <v>1.584</v>
      </c>
      <c r="G651" s="1" t="n">
        <f aca="false">IF(ISNUMBER(E651),E651,VALUE(SUBSTITUTE(E651,"#",".01")))</f>
        <v>-65567.035</v>
      </c>
    </row>
    <row r="652" customFormat="false" ht="12.75" hidden="false" customHeight="false" outlineLevel="0" collapsed="false">
      <c r="A652" s="1" t="n">
        <v>38</v>
      </c>
      <c r="B652" s="1" t="n">
        <v>30</v>
      </c>
      <c r="C652" s="1" t="n">
        <v>68</v>
      </c>
      <c r="D652" s="1" t="s">
        <v>443</v>
      </c>
      <c r="E652" s="1" t="n">
        <v>-70007.092</v>
      </c>
      <c r="F652" s="1" t="n">
        <v>0.784</v>
      </c>
      <c r="G652" s="1" t="n">
        <f aca="false">IF(ISNUMBER(E652),E652,VALUE(SUBSTITUTE(E652,"#",".01")))</f>
        <v>-70007.092</v>
      </c>
    </row>
    <row r="653" customFormat="false" ht="12.75" hidden="false" customHeight="false" outlineLevel="0" collapsed="false">
      <c r="A653" s="1" t="n">
        <v>37</v>
      </c>
      <c r="B653" s="1" t="n">
        <v>31</v>
      </c>
      <c r="C653" s="1" t="n">
        <v>68</v>
      </c>
      <c r="D653" s="1" t="s">
        <v>452</v>
      </c>
      <c r="E653" s="1" t="n">
        <v>-67085.992</v>
      </c>
      <c r="F653" s="1" t="n">
        <v>1.433</v>
      </c>
      <c r="G653" s="1" t="n">
        <f aca="false">IF(ISNUMBER(E653),E653,VALUE(SUBSTITUTE(E653,"#",".01")))</f>
        <v>-67085.992</v>
      </c>
    </row>
    <row r="654" customFormat="false" ht="12.75" hidden="false" customHeight="false" outlineLevel="0" collapsed="false">
      <c r="A654" s="1" t="n">
        <v>36</v>
      </c>
      <c r="B654" s="1" t="n">
        <v>32</v>
      </c>
      <c r="C654" s="1" t="n">
        <v>68</v>
      </c>
      <c r="D654" s="1" t="s">
        <v>461</v>
      </c>
      <c r="E654" s="1" t="n">
        <v>-66978.789</v>
      </c>
      <c r="F654" s="1" t="n">
        <v>1.876</v>
      </c>
      <c r="G654" s="1" t="n">
        <f aca="false">IF(ISNUMBER(E654),E654,VALUE(SUBSTITUTE(E654,"#",".01")))</f>
        <v>-66978.789</v>
      </c>
    </row>
    <row r="655" customFormat="false" ht="12.75" hidden="false" customHeight="false" outlineLevel="0" collapsed="false">
      <c r="A655" s="1" t="n">
        <v>35</v>
      </c>
      <c r="B655" s="1" t="n">
        <v>33</v>
      </c>
      <c r="C655" s="1" t="n">
        <v>68</v>
      </c>
      <c r="D655" s="1" t="s">
        <v>471</v>
      </c>
      <c r="E655" s="1" t="n">
        <v>-58894.519</v>
      </c>
      <c r="F655" s="1" t="n">
        <v>1.846</v>
      </c>
      <c r="G655" s="1" t="n">
        <f aca="false">IF(ISNUMBER(E655),E655,VALUE(SUBSTITUTE(E655,"#",".01")))</f>
        <v>-58894.519</v>
      </c>
    </row>
    <row r="656" customFormat="false" ht="12.75" hidden="false" customHeight="false" outlineLevel="0" collapsed="false">
      <c r="A656" s="1" t="n">
        <v>34</v>
      </c>
      <c r="B656" s="1" t="n">
        <v>34</v>
      </c>
      <c r="C656" s="1" t="n">
        <v>68</v>
      </c>
      <c r="D656" s="1" t="s">
        <v>489</v>
      </c>
      <c r="E656" s="1" t="n">
        <v>-54189.441</v>
      </c>
      <c r="F656" s="1" t="n">
        <v>0.496</v>
      </c>
      <c r="G656" s="1" t="n">
        <f aca="false">IF(ISNUMBER(E656),E656,VALUE(SUBSTITUTE(E656,"#",".01")))</f>
        <v>-54189.441</v>
      </c>
    </row>
    <row r="657" customFormat="false" ht="12.75" hidden="false" customHeight="false" outlineLevel="0" collapsed="false">
      <c r="A657" s="1" t="n">
        <v>33</v>
      </c>
      <c r="B657" s="1" t="n">
        <v>35</v>
      </c>
      <c r="C657" s="1" t="n">
        <v>68</v>
      </c>
      <c r="D657" s="1" t="s">
        <v>500</v>
      </c>
      <c r="E657" s="1" t="s">
        <v>504</v>
      </c>
      <c r="F657" s="1" t="s">
        <v>505</v>
      </c>
      <c r="G657" s="1" t="n">
        <f aca="false">IF(ISNUMBER(E657),E657,VALUE(SUBSTITUTE(E657,"#",".01")))</f>
        <v>-38791.01</v>
      </c>
    </row>
    <row r="658" customFormat="false" ht="12.75" hidden="false" customHeight="false" outlineLevel="0" collapsed="false">
      <c r="A658" s="1" t="n">
        <v>45</v>
      </c>
      <c r="B658" s="1" t="n">
        <v>24</v>
      </c>
      <c r="C658" s="1" t="n">
        <v>69</v>
      </c>
      <c r="D658" s="1" t="s">
        <v>390</v>
      </c>
      <c r="E658" s="1" t="s">
        <v>506</v>
      </c>
      <c r="F658" s="1" t="s">
        <v>337</v>
      </c>
      <c r="G658" s="1" t="n">
        <f aca="false">IF(ISNUMBER(E658),E658,VALUE(SUBSTITUTE(E658,"#",".01")))</f>
        <v>-8580.01</v>
      </c>
    </row>
    <row r="659" customFormat="false" ht="12.75" hidden="false" customHeight="false" outlineLevel="0" collapsed="false">
      <c r="A659" s="1" t="n">
        <v>44</v>
      </c>
      <c r="B659" s="1" t="n">
        <v>25</v>
      </c>
      <c r="C659" s="1" t="n">
        <v>69</v>
      </c>
      <c r="D659" s="1" t="s">
        <v>398</v>
      </c>
      <c r="E659" s="1" t="s">
        <v>507</v>
      </c>
      <c r="F659" s="1" t="s">
        <v>378</v>
      </c>
      <c r="G659" s="1" t="n">
        <f aca="false">IF(ISNUMBER(E659),E659,VALUE(SUBSTITUTE(E659,"#",".01")))</f>
        <v>-24770.01</v>
      </c>
    </row>
    <row r="660" customFormat="false" ht="12.75" hidden="false" customHeight="false" outlineLevel="0" collapsed="false">
      <c r="A660" s="1" t="n">
        <v>43</v>
      </c>
      <c r="B660" s="1" t="n">
        <v>26</v>
      </c>
      <c r="C660" s="1" t="n">
        <v>69</v>
      </c>
      <c r="D660" s="1" t="s">
        <v>404</v>
      </c>
      <c r="E660" s="1" t="s">
        <v>508</v>
      </c>
      <c r="F660" s="1" t="s">
        <v>378</v>
      </c>
      <c r="G660" s="1" t="n">
        <f aca="false">IF(ISNUMBER(E660),E660,VALUE(SUBSTITUTE(E660,"#",".01")))</f>
        <v>-39030.01</v>
      </c>
    </row>
    <row r="661" customFormat="false" ht="12.75" hidden="false" customHeight="false" outlineLevel="0" collapsed="false">
      <c r="A661" s="1" t="n">
        <v>42</v>
      </c>
      <c r="B661" s="1" t="n">
        <v>27</v>
      </c>
      <c r="C661" s="1" t="n">
        <v>69</v>
      </c>
      <c r="D661" s="1" t="s">
        <v>414</v>
      </c>
      <c r="E661" s="1" t="n">
        <v>-50279.157</v>
      </c>
      <c r="F661" s="1" t="n">
        <v>140.506</v>
      </c>
      <c r="G661" s="1" t="n">
        <f aca="false">IF(ISNUMBER(E661),E661,VALUE(SUBSTITUTE(E661,"#",".01")))</f>
        <v>-50279.157</v>
      </c>
    </row>
    <row r="662" customFormat="false" ht="12.75" hidden="false" customHeight="false" outlineLevel="0" collapsed="false">
      <c r="A662" s="1" t="n">
        <v>41</v>
      </c>
      <c r="B662" s="1" t="n">
        <v>28</v>
      </c>
      <c r="C662" s="1" t="n">
        <v>69</v>
      </c>
      <c r="D662" s="1" t="s">
        <v>22</v>
      </c>
      <c r="E662" s="1" t="n">
        <v>-59978.648</v>
      </c>
      <c r="F662" s="1" t="n">
        <v>3.726</v>
      </c>
      <c r="G662" s="1" t="n">
        <f aca="false">IF(ISNUMBER(E662),E662,VALUE(SUBSTITUTE(E662,"#",".01")))</f>
        <v>-59978.648</v>
      </c>
    </row>
    <row r="663" customFormat="false" ht="12.75" hidden="false" customHeight="false" outlineLevel="0" collapsed="false">
      <c r="A663" s="1" t="n">
        <v>40</v>
      </c>
      <c r="B663" s="1" t="n">
        <v>29</v>
      </c>
      <c r="C663" s="1" t="n">
        <v>69</v>
      </c>
      <c r="D663" s="1" t="s">
        <v>437</v>
      </c>
      <c r="E663" s="1" t="n">
        <v>-65736.213</v>
      </c>
      <c r="F663" s="1" t="n">
        <v>1.397</v>
      </c>
      <c r="G663" s="1" t="n">
        <f aca="false">IF(ISNUMBER(E663),E663,VALUE(SUBSTITUTE(E663,"#",".01")))</f>
        <v>-65736.213</v>
      </c>
    </row>
    <row r="664" customFormat="false" ht="12.75" hidden="false" customHeight="false" outlineLevel="0" collapsed="false">
      <c r="A664" s="1" t="n">
        <v>39</v>
      </c>
      <c r="B664" s="1" t="n">
        <v>30</v>
      </c>
      <c r="C664" s="1" t="n">
        <v>69</v>
      </c>
      <c r="D664" s="1" t="s">
        <v>443</v>
      </c>
      <c r="E664" s="1" t="n">
        <v>-68417.845</v>
      </c>
      <c r="F664" s="1" t="n">
        <v>0.8</v>
      </c>
      <c r="G664" s="1" t="n">
        <f aca="false">IF(ISNUMBER(E664),E664,VALUE(SUBSTITUTE(E664,"#",".01")))</f>
        <v>-68417.845</v>
      </c>
    </row>
    <row r="665" customFormat="false" ht="12.75" hidden="false" customHeight="false" outlineLevel="0" collapsed="false">
      <c r="A665" s="1" t="n">
        <v>38</v>
      </c>
      <c r="B665" s="1" t="n">
        <v>31</v>
      </c>
      <c r="C665" s="1" t="n">
        <v>69</v>
      </c>
      <c r="D665" s="1" t="s">
        <v>452</v>
      </c>
      <c r="E665" s="1" t="n">
        <v>-69327.809</v>
      </c>
      <c r="F665" s="1" t="n">
        <v>1.197</v>
      </c>
      <c r="G665" s="1" t="n">
        <f aca="false">IF(ISNUMBER(E665),E665,VALUE(SUBSTITUTE(E665,"#",".01")))</f>
        <v>-69327.809</v>
      </c>
    </row>
    <row r="666" customFormat="false" ht="12.75" hidden="false" customHeight="false" outlineLevel="0" collapsed="false">
      <c r="A666" s="1" t="n">
        <v>37</v>
      </c>
      <c r="B666" s="1" t="n">
        <v>32</v>
      </c>
      <c r="C666" s="1" t="n">
        <v>69</v>
      </c>
      <c r="D666" s="1" t="s">
        <v>461</v>
      </c>
      <c r="E666" s="1" t="n">
        <v>-67100.663</v>
      </c>
      <c r="F666" s="1" t="n">
        <v>1.318</v>
      </c>
      <c r="G666" s="1" t="n">
        <f aca="false">IF(ISNUMBER(E666),E666,VALUE(SUBSTITUTE(E666,"#",".01")))</f>
        <v>-67100.663</v>
      </c>
    </row>
    <row r="667" customFormat="false" ht="12.75" hidden="false" customHeight="false" outlineLevel="0" collapsed="false">
      <c r="A667" s="1" t="n">
        <v>36</v>
      </c>
      <c r="B667" s="1" t="n">
        <v>33</v>
      </c>
      <c r="C667" s="1" t="n">
        <v>69</v>
      </c>
      <c r="D667" s="1" t="s">
        <v>471</v>
      </c>
      <c r="E667" s="1" t="n">
        <v>-63112.171</v>
      </c>
      <c r="F667" s="1" t="n">
        <v>31.999</v>
      </c>
      <c r="G667" s="1" t="n">
        <f aca="false">IF(ISNUMBER(E667),E667,VALUE(SUBSTITUTE(E667,"#",".01")))</f>
        <v>-63112.171</v>
      </c>
    </row>
    <row r="668" customFormat="false" ht="12.75" hidden="false" customHeight="false" outlineLevel="0" collapsed="false">
      <c r="A668" s="1" t="n">
        <v>35</v>
      </c>
      <c r="B668" s="1" t="n">
        <v>34</v>
      </c>
      <c r="C668" s="1" t="n">
        <v>69</v>
      </c>
      <c r="D668" s="1" t="s">
        <v>489</v>
      </c>
      <c r="E668" s="1" t="n">
        <v>-56434.706</v>
      </c>
      <c r="F668" s="1" t="n">
        <v>1.49</v>
      </c>
      <c r="G668" s="1" t="n">
        <f aca="false">IF(ISNUMBER(E668),E668,VALUE(SUBSTITUTE(E668,"#",".01")))</f>
        <v>-56434.706</v>
      </c>
    </row>
    <row r="669" customFormat="false" ht="12.75" hidden="false" customHeight="false" outlineLevel="0" collapsed="false">
      <c r="A669" s="1" t="n">
        <v>34</v>
      </c>
      <c r="B669" s="1" t="n">
        <v>35</v>
      </c>
      <c r="C669" s="1" t="n">
        <v>69</v>
      </c>
      <c r="D669" s="1" t="s">
        <v>500</v>
      </c>
      <c r="E669" s="1" t="n">
        <v>-46259.47</v>
      </c>
      <c r="F669" s="1" t="n">
        <v>42.003</v>
      </c>
      <c r="G669" s="1" t="n">
        <f aca="false">IF(ISNUMBER(E669),E669,VALUE(SUBSTITUTE(E669,"#",".01")))</f>
        <v>-46259.47</v>
      </c>
    </row>
    <row r="670" customFormat="false" ht="12.75" hidden="false" customHeight="false" outlineLevel="0" collapsed="false">
      <c r="A670" s="1" t="n">
        <v>33</v>
      </c>
      <c r="B670" s="1" t="n">
        <v>36</v>
      </c>
      <c r="C670" s="1" t="n">
        <v>69</v>
      </c>
      <c r="D670" s="1" t="s">
        <v>509</v>
      </c>
      <c r="E670" s="1" t="s">
        <v>510</v>
      </c>
      <c r="F670" s="1" t="s">
        <v>320</v>
      </c>
      <c r="G670" s="1" t="n">
        <f aca="false">IF(ISNUMBER(E670),E670,VALUE(SUBSTITUTE(E670,"#",".01")))</f>
        <v>-32435.01</v>
      </c>
    </row>
    <row r="671" customFormat="false" ht="12.75" hidden="false" customHeight="false" outlineLevel="0" collapsed="false">
      <c r="A671" s="1" t="n">
        <v>46</v>
      </c>
      <c r="B671" s="1" t="n">
        <v>24</v>
      </c>
      <c r="C671" s="1" t="n">
        <v>70</v>
      </c>
      <c r="D671" s="1" t="s">
        <v>390</v>
      </c>
      <c r="E671" s="1" t="s">
        <v>511</v>
      </c>
      <c r="F671" s="1" t="s">
        <v>387</v>
      </c>
      <c r="G671" s="1" t="n">
        <f aca="false">IF(ISNUMBER(E671),E671,VALUE(SUBSTITUTE(E671,"#",".01")))</f>
        <v>-4480.01</v>
      </c>
    </row>
    <row r="672" customFormat="false" ht="12.75" hidden="false" customHeight="false" outlineLevel="0" collapsed="false">
      <c r="A672" s="1" t="n">
        <v>45</v>
      </c>
      <c r="B672" s="1" t="n">
        <v>25</v>
      </c>
      <c r="C672" s="1" t="n">
        <v>70</v>
      </c>
      <c r="D672" s="1" t="s">
        <v>398</v>
      </c>
      <c r="E672" s="1" t="s">
        <v>512</v>
      </c>
      <c r="F672" s="1" t="s">
        <v>337</v>
      </c>
      <c r="G672" s="1" t="n">
        <f aca="false">IF(ISNUMBER(E672),E672,VALUE(SUBSTITUTE(E672,"#",".01")))</f>
        <v>-19500.01</v>
      </c>
    </row>
    <row r="673" customFormat="false" ht="12.75" hidden="false" customHeight="false" outlineLevel="0" collapsed="false">
      <c r="A673" s="1" t="n">
        <v>44</v>
      </c>
      <c r="B673" s="1" t="n">
        <v>26</v>
      </c>
      <c r="C673" s="1" t="n">
        <v>70</v>
      </c>
      <c r="D673" s="1" t="s">
        <v>404</v>
      </c>
      <c r="E673" s="1" t="s">
        <v>513</v>
      </c>
      <c r="F673" s="1" t="s">
        <v>378</v>
      </c>
      <c r="G673" s="1" t="n">
        <f aca="false">IF(ISNUMBER(E673),E673,VALUE(SUBSTITUTE(E673,"#",".01")))</f>
        <v>-36510.01</v>
      </c>
    </row>
    <row r="674" customFormat="false" ht="12.75" hidden="false" customHeight="false" outlineLevel="0" collapsed="false">
      <c r="A674" s="1" t="n">
        <v>43</v>
      </c>
      <c r="B674" s="1" t="n">
        <v>27</v>
      </c>
      <c r="C674" s="1" t="n">
        <v>70</v>
      </c>
      <c r="D674" s="1" t="s">
        <v>414</v>
      </c>
      <c r="E674" s="1" t="s">
        <v>514</v>
      </c>
      <c r="F674" s="1" t="s">
        <v>371</v>
      </c>
      <c r="G674" s="1" t="n">
        <f aca="false">IF(ISNUMBER(E674),E674,VALUE(SUBSTITUTE(E674,"#",".01")))</f>
        <v>-46630.01</v>
      </c>
    </row>
    <row r="675" customFormat="false" ht="12.75" hidden="false" customHeight="false" outlineLevel="0" collapsed="false">
      <c r="A675" s="1" t="n">
        <v>42</v>
      </c>
      <c r="B675" s="1" t="n">
        <v>28</v>
      </c>
      <c r="C675" s="1" t="n">
        <v>70</v>
      </c>
      <c r="D675" s="1" t="s">
        <v>22</v>
      </c>
      <c r="E675" s="1" t="n">
        <v>-59213.86</v>
      </c>
      <c r="F675" s="1" t="n">
        <v>2.144</v>
      </c>
      <c r="G675" s="1" t="n">
        <f aca="false">IF(ISNUMBER(E675),E675,VALUE(SUBSTITUTE(E675,"#",".01")))</f>
        <v>-59213.86</v>
      </c>
    </row>
    <row r="676" customFormat="false" ht="12.75" hidden="false" customHeight="false" outlineLevel="0" collapsed="false">
      <c r="A676" s="1" t="n">
        <v>41</v>
      </c>
      <c r="B676" s="1" t="n">
        <v>29</v>
      </c>
      <c r="C676" s="1" t="n">
        <v>70</v>
      </c>
      <c r="D676" s="1" t="s">
        <v>437</v>
      </c>
      <c r="E676" s="1" t="n">
        <v>-62976.373</v>
      </c>
      <c r="F676" s="1" t="n">
        <v>1.082</v>
      </c>
      <c r="G676" s="1" t="n">
        <f aca="false">IF(ISNUMBER(E676),E676,VALUE(SUBSTITUTE(E676,"#",".01")))</f>
        <v>-62976.373</v>
      </c>
    </row>
    <row r="677" customFormat="false" ht="12.75" hidden="false" customHeight="false" outlineLevel="0" collapsed="false">
      <c r="A677" s="1" t="n">
        <v>40</v>
      </c>
      <c r="B677" s="1" t="n">
        <v>30</v>
      </c>
      <c r="C677" s="1" t="n">
        <v>70</v>
      </c>
      <c r="D677" s="1" t="s">
        <v>443</v>
      </c>
      <c r="E677" s="1" t="n">
        <v>-69564.735</v>
      </c>
      <c r="F677" s="1" t="n">
        <v>1.918</v>
      </c>
      <c r="G677" s="1" t="n">
        <f aca="false">IF(ISNUMBER(E677),E677,VALUE(SUBSTITUTE(E677,"#",".01")))</f>
        <v>-69564.735</v>
      </c>
    </row>
    <row r="678" customFormat="false" ht="12.75" hidden="false" customHeight="false" outlineLevel="0" collapsed="false">
      <c r="A678" s="1" t="n">
        <v>39</v>
      </c>
      <c r="B678" s="1" t="n">
        <v>31</v>
      </c>
      <c r="C678" s="1" t="n">
        <v>70</v>
      </c>
      <c r="D678" s="1" t="s">
        <v>452</v>
      </c>
      <c r="E678" s="1" t="n">
        <v>-68910.14</v>
      </c>
      <c r="F678" s="1" t="n">
        <v>1.201</v>
      </c>
      <c r="G678" s="1" t="n">
        <f aca="false">IF(ISNUMBER(E678),E678,VALUE(SUBSTITUTE(E678,"#",".01")))</f>
        <v>-68910.14</v>
      </c>
    </row>
    <row r="679" customFormat="false" ht="12.75" hidden="false" customHeight="false" outlineLevel="0" collapsed="false">
      <c r="A679" s="1" t="n">
        <v>38</v>
      </c>
      <c r="B679" s="1" t="n">
        <v>32</v>
      </c>
      <c r="C679" s="1" t="n">
        <v>70</v>
      </c>
      <c r="D679" s="1" t="s">
        <v>461</v>
      </c>
      <c r="E679" s="1" t="n">
        <v>-70561.876</v>
      </c>
      <c r="F679" s="1" t="n">
        <v>0.838</v>
      </c>
      <c r="G679" s="1" t="n">
        <f aca="false">IF(ISNUMBER(E679),E679,VALUE(SUBSTITUTE(E679,"#",".01")))</f>
        <v>-70561.876</v>
      </c>
    </row>
    <row r="680" customFormat="false" ht="12.75" hidden="false" customHeight="false" outlineLevel="0" collapsed="false">
      <c r="A680" s="1" t="n">
        <v>37</v>
      </c>
      <c r="B680" s="1" t="n">
        <v>33</v>
      </c>
      <c r="C680" s="1" t="n">
        <v>70</v>
      </c>
      <c r="D680" s="1" t="s">
        <v>471</v>
      </c>
      <c r="E680" s="1" t="n">
        <v>-64341.876</v>
      </c>
      <c r="F680" s="1" t="n">
        <v>50.007</v>
      </c>
      <c r="G680" s="1" t="n">
        <f aca="false">IF(ISNUMBER(E680),E680,VALUE(SUBSTITUTE(E680,"#",".01")))</f>
        <v>-64341.876</v>
      </c>
    </row>
    <row r="681" customFormat="false" ht="12.75" hidden="false" customHeight="false" outlineLevel="0" collapsed="false">
      <c r="A681" s="1" t="n">
        <v>36</v>
      </c>
      <c r="B681" s="1" t="n">
        <v>34</v>
      </c>
      <c r="C681" s="1" t="n">
        <v>70</v>
      </c>
      <c r="D681" s="1" t="s">
        <v>489</v>
      </c>
      <c r="E681" s="1" t="n">
        <v>-61929.891</v>
      </c>
      <c r="F681" s="1" t="n">
        <v>1.584</v>
      </c>
      <c r="G681" s="1" t="n">
        <f aca="false">IF(ISNUMBER(E681),E681,VALUE(SUBSTITUTE(E681,"#",".01")))</f>
        <v>-61929.891</v>
      </c>
    </row>
    <row r="682" customFormat="false" ht="12.75" hidden="false" customHeight="false" outlineLevel="0" collapsed="false">
      <c r="A682" s="1" t="n">
        <v>35</v>
      </c>
      <c r="B682" s="1" t="n">
        <v>35</v>
      </c>
      <c r="C682" s="1" t="n">
        <v>70</v>
      </c>
      <c r="D682" s="1" t="s">
        <v>500</v>
      </c>
      <c r="E682" s="1" t="n">
        <v>-51425.619</v>
      </c>
      <c r="F682" s="1" t="n">
        <v>14.904</v>
      </c>
      <c r="G682" s="1" t="n">
        <f aca="false">IF(ISNUMBER(E682),E682,VALUE(SUBSTITUTE(E682,"#",".01")))</f>
        <v>-51425.619</v>
      </c>
    </row>
    <row r="683" customFormat="false" ht="12.75" hidden="false" customHeight="false" outlineLevel="0" collapsed="false">
      <c r="A683" s="1" t="n">
        <v>34</v>
      </c>
      <c r="B683" s="1" t="n">
        <v>36</v>
      </c>
      <c r="C683" s="1" t="n">
        <v>70</v>
      </c>
      <c r="D683" s="1" t="s">
        <v>509</v>
      </c>
      <c r="E683" s="1" t="s">
        <v>515</v>
      </c>
      <c r="F683" s="1" t="s">
        <v>349</v>
      </c>
      <c r="G683" s="1" t="n">
        <f aca="false">IF(ISNUMBER(E683),E683,VALUE(SUBSTITUTE(E683,"#",".01")))</f>
        <v>-41100.01</v>
      </c>
    </row>
    <row r="684" customFormat="false" ht="12.75" hidden="false" customHeight="false" outlineLevel="0" collapsed="false">
      <c r="A684" s="1" t="n">
        <v>46</v>
      </c>
      <c r="B684" s="1" t="n">
        <v>25</v>
      </c>
      <c r="C684" s="1" t="n">
        <v>71</v>
      </c>
      <c r="D684" s="1" t="s">
        <v>398</v>
      </c>
      <c r="E684" s="1" t="s">
        <v>516</v>
      </c>
      <c r="F684" s="1" t="s">
        <v>337</v>
      </c>
      <c r="G684" s="1" t="n">
        <f aca="false">IF(ISNUMBER(E684),E684,VALUE(SUBSTITUTE(E684,"#",".01")))</f>
        <v>-15570.01</v>
      </c>
    </row>
    <row r="685" customFormat="false" ht="12.75" hidden="false" customHeight="false" outlineLevel="0" collapsed="false">
      <c r="A685" s="1" t="n">
        <v>45</v>
      </c>
      <c r="B685" s="1" t="n">
        <v>26</v>
      </c>
      <c r="C685" s="1" t="n">
        <v>71</v>
      </c>
      <c r="D685" s="1" t="s">
        <v>404</v>
      </c>
      <c r="E685" s="1" t="s">
        <v>517</v>
      </c>
      <c r="F685" s="1" t="s">
        <v>378</v>
      </c>
      <c r="G685" s="1" t="n">
        <f aca="false">IF(ISNUMBER(E685),E685,VALUE(SUBSTITUTE(E685,"#",".01")))</f>
        <v>-31430.01</v>
      </c>
    </row>
    <row r="686" customFormat="false" ht="12.75" hidden="false" customHeight="false" outlineLevel="0" collapsed="false">
      <c r="A686" s="1" t="n">
        <v>44</v>
      </c>
      <c r="B686" s="1" t="n">
        <v>27</v>
      </c>
      <c r="C686" s="1" t="n">
        <v>71</v>
      </c>
      <c r="D686" s="1" t="s">
        <v>414</v>
      </c>
      <c r="E686" s="1" t="n">
        <v>-44369.926</v>
      </c>
      <c r="F686" s="1" t="n">
        <v>465.03</v>
      </c>
      <c r="G686" s="1" t="n">
        <f aca="false">IF(ISNUMBER(E686),E686,VALUE(SUBSTITUTE(E686,"#",".01")))</f>
        <v>-44369.926</v>
      </c>
    </row>
    <row r="687" customFormat="false" ht="12.75" hidden="false" customHeight="false" outlineLevel="0" collapsed="false">
      <c r="A687" s="1" t="n">
        <v>43</v>
      </c>
      <c r="B687" s="1" t="n">
        <v>28</v>
      </c>
      <c r="C687" s="1" t="n">
        <v>71</v>
      </c>
      <c r="D687" s="1" t="s">
        <v>22</v>
      </c>
      <c r="E687" s="1" t="n">
        <v>-55406.228</v>
      </c>
      <c r="F687" s="1" t="n">
        <v>2.237</v>
      </c>
      <c r="G687" s="1" t="n">
        <f aca="false">IF(ISNUMBER(E687),E687,VALUE(SUBSTITUTE(E687,"#",".01")))</f>
        <v>-55406.228</v>
      </c>
    </row>
    <row r="688" customFormat="false" ht="12.75" hidden="false" customHeight="false" outlineLevel="0" collapsed="false">
      <c r="A688" s="1" t="n">
        <v>42</v>
      </c>
      <c r="B688" s="1" t="n">
        <v>29</v>
      </c>
      <c r="C688" s="1" t="n">
        <v>71</v>
      </c>
      <c r="D688" s="1" t="s">
        <v>437</v>
      </c>
      <c r="E688" s="1" t="n">
        <v>-62711.127</v>
      </c>
      <c r="F688" s="1" t="n">
        <v>1.49</v>
      </c>
      <c r="G688" s="1" t="n">
        <f aca="false">IF(ISNUMBER(E688),E688,VALUE(SUBSTITUTE(E688,"#",".01")))</f>
        <v>-62711.127</v>
      </c>
    </row>
    <row r="689" customFormat="false" ht="12.75" hidden="false" customHeight="false" outlineLevel="0" collapsed="false">
      <c r="A689" s="1" t="n">
        <v>41</v>
      </c>
      <c r="B689" s="1" t="n">
        <v>30</v>
      </c>
      <c r="C689" s="1" t="n">
        <v>71</v>
      </c>
      <c r="D689" s="1" t="s">
        <v>443</v>
      </c>
      <c r="E689" s="1" t="n">
        <v>-67328.777</v>
      </c>
      <c r="F689" s="1" t="n">
        <v>2.654</v>
      </c>
      <c r="G689" s="1" t="n">
        <f aca="false">IF(ISNUMBER(E689),E689,VALUE(SUBSTITUTE(E689,"#",".01")))</f>
        <v>-67328.777</v>
      </c>
    </row>
    <row r="690" customFormat="false" ht="12.75" hidden="false" customHeight="false" outlineLevel="0" collapsed="false">
      <c r="A690" s="1" t="n">
        <v>40</v>
      </c>
      <c r="B690" s="1" t="n">
        <v>31</v>
      </c>
      <c r="C690" s="1" t="n">
        <v>71</v>
      </c>
      <c r="D690" s="1" t="s">
        <v>452</v>
      </c>
      <c r="E690" s="1" t="n">
        <v>-70139.135</v>
      </c>
      <c r="F690" s="1" t="n">
        <v>0.812</v>
      </c>
      <c r="G690" s="1" t="n">
        <f aca="false">IF(ISNUMBER(E690),E690,VALUE(SUBSTITUTE(E690,"#",".01")))</f>
        <v>-70139.135</v>
      </c>
    </row>
    <row r="691" customFormat="false" ht="12.75" hidden="false" customHeight="false" outlineLevel="0" collapsed="false">
      <c r="A691" s="1" t="n">
        <v>39</v>
      </c>
      <c r="B691" s="1" t="n">
        <v>32</v>
      </c>
      <c r="C691" s="1" t="n">
        <v>71</v>
      </c>
      <c r="D691" s="1" t="s">
        <v>461</v>
      </c>
      <c r="E691" s="1" t="n">
        <v>-69906.497</v>
      </c>
      <c r="F691" s="1" t="n">
        <v>0.834</v>
      </c>
      <c r="G691" s="1" t="n">
        <f aca="false">IF(ISNUMBER(E691),E691,VALUE(SUBSTITUTE(E691,"#",".01")))</f>
        <v>-69906.497</v>
      </c>
    </row>
    <row r="692" customFormat="false" ht="12.75" hidden="false" customHeight="false" outlineLevel="0" collapsed="false">
      <c r="A692" s="1" t="n">
        <v>38</v>
      </c>
      <c r="B692" s="1" t="n">
        <v>33</v>
      </c>
      <c r="C692" s="1" t="n">
        <v>71</v>
      </c>
      <c r="D692" s="1" t="s">
        <v>471</v>
      </c>
      <c r="E692" s="1" t="n">
        <v>-67893.097</v>
      </c>
      <c r="F692" s="1" t="n">
        <v>4.167</v>
      </c>
      <c r="G692" s="1" t="n">
        <f aca="false">IF(ISNUMBER(E692),E692,VALUE(SUBSTITUTE(E692,"#",".01")))</f>
        <v>-67893.097</v>
      </c>
    </row>
    <row r="693" customFormat="false" ht="12.75" hidden="false" customHeight="false" outlineLevel="0" collapsed="false">
      <c r="A693" s="1" t="n">
        <v>37</v>
      </c>
      <c r="B693" s="1" t="n">
        <v>34</v>
      </c>
      <c r="C693" s="1" t="n">
        <v>71</v>
      </c>
      <c r="D693" s="1" t="s">
        <v>489</v>
      </c>
      <c r="E693" s="1" t="n">
        <v>-63146.507</v>
      </c>
      <c r="F693" s="1" t="n">
        <v>2.794</v>
      </c>
      <c r="G693" s="1" t="n">
        <f aca="false">IF(ISNUMBER(E693),E693,VALUE(SUBSTITUTE(E693,"#",".01")))</f>
        <v>-63146.507</v>
      </c>
    </row>
    <row r="694" customFormat="false" ht="12.75" hidden="false" customHeight="false" outlineLevel="0" collapsed="false">
      <c r="A694" s="1" t="n">
        <v>36</v>
      </c>
      <c r="B694" s="1" t="n">
        <v>35</v>
      </c>
      <c r="C694" s="1" t="n">
        <v>71</v>
      </c>
      <c r="D694" s="1" t="s">
        <v>500</v>
      </c>
      <c r="E694" s="1" t="n">
        <v>-56502.418</v>
      </c>
      <c r="F694" s="1" t="n">
        <v>5.402</v>
      </c>
      <c r="G694" s="1" t="n">
        <f aca="false">IF(ISNUMBER(E694),E694,VALUE(SUBSTITUTE(E694,"#",".01")))</f>
        <v>-56502.418</v>
      </c>
    </row>
    <row r="695" customFormat="false" ht="12.75" hidden="false" customHeight="false" outlineLevel="0" collapsed="false">
      <c r="A695" s="1" t="n">
        <v>35</v>
      </c>
      <c r="B695" s="1" t="n">
        <v>36</v>
      </c>
      <c r="C695" s="1" t="n">
        <v>71</v>
      </c>
      <c r="D695" s="1" t="s">
        <v>509</v>
      </c>
      <c r="E695" s="1" t="n">
        <v>-46327.205</v>
      </c>
      <c r="F695" s="1" t="n">
        <v>128.769</v>
      </c>
      <c r="G695" s="1" t="n">
        <f aca="false">IF(ISNUMBER(E695),E695,VALUE(SUBSTITUTE(E695,"#",".01")))</f>
        <v>-46327.205</v>
      </c>
    </row>
    <row r="696" customFormat="false" ht="12.75" hidden="false" customHeight="false" outlineLevel="0" collapsed="false">
      <c r="A696" s="1" t="n">
        <v>34</v>
      </c>
      <c r="B696" s="1" t="n">
        <v>37</v>
      </c>
      <c r="C696" s="1" t="n">
        <v>71</v>
      </c>
      <c r="D696" s="1" t="s">
        <v>518</v>
      </c>
      <c r="E696" s="1" t="s">
        <v>519</v>
      </c>
      <c r="F696" s="1" t="s">
        <v>378</v>
      </c>
      <c r="G696" s="1" t="n">
        <f aca="false">IF(ISNUMBER(E696),E696,VALUE(SUBSTITUTE(E696,"#",".01")))</f>
        <v>-32060.01</v>
      </c>
    </row>
    <row r="697" customFormat="false" ht="12.75" hidden="false" customHeight="false" outlineLevel="0" collapsed="false">
      <c r="A697" s="1" t="n">
        <v>47</v>
      </c>
      <c r="B697" s="1" t="n">
        <v>25</v>
      </c>
      <c r="C697" s="1" t="n">
        <v>72</v>
      </c>
      <c r="D697" s="1" t="s">
        <v>398</v>
      </c>
      <c r="E697" s="1" t="s">
        <v>520</v>
      </c>
      <c r="F697" s="1" t="s">
        <v>387</v>
      </c>
      <c r="G697" s="1" t="n">
        <f aca="false">IF(ISNUMBER(E697),E697,VALUE(SUBSTITUTE(E697,"#",".01")))</f>
        <v>-9900.01</v>
      </c>
    </row>
    <row r="698" customFormat="false" ht="12.75" hidden="false" customHeight="false" outlineLevel="0" collapsed="false">
      <c r="A698" s="1" t="n">
        <v>46</v>
      </c>
      <c r="B698" s="1" t="n">
        <v>26</v>
      </c>
      <c r="C698" s="1" t="n">
        <v>72</v>
      </c>
      <c r="D698" s="1" t="s">
        <v>404</v>
      </c>
      <c r="E698" s="1" t="s">
        <v>521</v>
      </c>
      <c r="F698" s="1" t="s">
        <v>337</v>
      </c>
      <c r="G698" s="1" t="n">
        <f aca="false">IF(ISNUMBER(E698),E698,VALUE(SUBSTITUTE(E698,"#",".01")))</f>
        <v>-28430.01</v>
      </c>
    </row>
    <row r="699" customFormat="false" ht="12.75" hidden="false" customHeight="false" outlineLevel="0" collapsed="false">
      <c r="A699" s="1" t="n">
        <v>45</v>
      </c>
      <c r="B699" s="1" t="n">
        <v>27</v>
      </c>
      <c r="C699" s="1" t="n">
        <v>72</v>
      </c>
      <c r="D699" s="1" t="s">
        <v>414</v>
      </c>
      <c r="E699" s="1" t="s">
        <v>522</v>
      </c>
      <c r="F699" s="1" t="s">
        <v>378</v>
      </c>
      <c r="G699" s="1" t="n">
        <f aca="false">IF(ISNUMBER(E699),E699,VALUE(SUBSTITUTE(E699,"#",".01")))</f>
        <v>-40200.01</v>
      </c>
    </row>
    <row r="700" customFormat="false" ht="12.75" hidden="false" customHeight="false" outlineLevel="0" collapsed="false">
      <c r="A700" s="1" t="n">
        <v>44</v>
      </c>
      <c r="B700" s="1" t="n">
        <v>28</v>
      </c>
      <c r="C700" s="1" t="n">
        <v>72</v>
      </c>
      <c r="D700" s="1" t="s">
        <v>22</v>
      </c>
      <c r="E700" s="1" t="n">
        <v>-54226.06</v>
      </c>
      <c r="F700" s="1" t="n">
        <v>2.237</v>
      </c>
      <c r="G700" s="1" t="n">
        <f aca="false">IF(ISNUMBER(E700),E700,VALUE(SUBSTITUTE(E700,"#",".01")))</f>
        <v>-54226.06</v>
      </c>
    </row>
    <row r="701" customFormat="false" ht="12.75" hidden="false" customHeight="false" outlineLevel="0" collapsed="false">
      <c r="A701" s="1" t="n">
        <v>43</v>
      </c>
      <c r="B701" s="1" t="n">
        <v>29</v>
      </c>
      <c r="C701" s="1" t="n">
        <v>72</v>
      </c>
      <c r="D701" s="1" t="s">
        <v>437</v>
      </c>
      <c r="E701" s="1" t="n">
        <v>-59782.999</v>
      </c>
      <c r="F701" s="1" t="n">
        <v>1.397</v>
      </c>
      <c r="G701" s="1" t="n">
        <f aca="false">IF(ISNUMBER(E701),E701,VALUE(SUBSTITUTE(E701,"#",".01")))</f>
        <v>-59782.999</v>
      </c>
    </row>
    <row r="702" customFormat="false" ht="12.75" hidden="false" customHeight="false" outlineLevel="0" collapsed="false">
      <c r="A702" s="1" t="n">
        <v>42</v>
      </c>
      <c r="B702" s="1" t="n">
        <v>30</v>
      </c>
      <c r="C702" s="1" t="n">
        <v>72</v>
      </c>
      <c r="D702" s="1" t="s">
        <v>443</v>
      </c>
      <c r="E702" s="1" t="n">
        <v>-68145.486</v>
      </c>
      <c r="F702" s="1" t="n">
        <v>2.142</v>
      </c>
      <c r="G702" s="1" t="n">
        <f aca="false">IF(ISNUMBER(E702),E702,VALUE(SUBSTITUTE(E702,"#",".01")))</f>
        <v>-68145.486</v>
      </c>
    </row>
    <row r="703" customFormat="false" ht="12.75" hidden="false" customHeight="false" outlineLevel="0" collapsed="false">
      <c r="A703" s="1" t="n">
        <v>41</v>
      </c>
      <c r="B703" s="1" t="n">
        <v>31</v>
      </c>
      <c r="C703" s="1" t="n">
        <v>72</v>
      </c>
      <c r="D703" s="1" t="s">
        <v>452</v>
      </c>
      <c r="E703" s="1" t="n">
        <v>-68588.293</v>
      </c>
      <c r="F703" s="1" t="n">
        <v>0.819</v>
      </c>
      <c r="G703" s="1" t="n">
        <f aca="false">IF(ISNUMBER(E703),E703,VALUE(SUBSTITUTE(E703,"#",".01")))</f>
        <v>-68588.293</v>
      </c>
    </row>
    <row r="704" customFormat="false" ht="12.75" hidden="false" customHeight="false" outlineLevel="0" collapsed="false">
      <c r="A704" s="1" t="n">
        <v>40</v>
      </c>
      <c r="B704" s="1" t="n">
        <v>32</v>
      </c>
      <c r="C704" s="1" t="n">
        <v>72</v>
      </c>
      <c r="D704" s="1" t="s">
        <v>461</v>
      </c>
      <c r="E704" s="1" t="n">
        <v>-72585.9</v>
      </c>
      <c r="F704" s="1" t="n">
        <v>0.076</v>
      </c>
      <c r="G704" s="1" t="n">
        <f aca="false">IF(ISNUMBER(E704),E704,VALUE(SUBSTITUTE(E704,"#",".01")))</f>
        <v>-72585.9</v>
      </c>
    </row>
    <row r="705" customFormat="false" ht="12.75" hidden="false" customHeight="false" outlineLevel="0" collapsed="false">
      <c r="A705" s="1" t="n">
        <v>39</v>
      </c>
      <c r="B705" s="1" t="n">
        <v>33</v>
      </c>
      <c r="C705" s="1" t="n">
        <v>72</v>
      </c>
      <c r="D705" s="1" t="s">
        <v>471</v>
      </c>
      <c r="E705" s="1" t="n">
        <v>-68229.798</v>
      </c>
      <c r="F705" s="1" t="n">
        <v>4.083</v>
      </c>
      <c r="G705" s="1" t="n">
        <f aca="false">IF(ISNUMBER(E705),E705,VALUE(SUBSTITUTE(E705,"#",".01")))</f>
        <v>-68229.798</v>
      </c>
    </row>
    <row r="706" customFormat="false" ht="12.75" hidden="false" customHeight="false" outlineLevel="0" collapsed="false">
      <c r="A706" s="1" t="n">
        <v>38</v>
      </c>
      <c r="B706" s="1" t="n">
        <v>34</v>
      </c>
      <c r="C706" s="1" t="n">
        <v>72</v>
      </c>
      <c r="D706" s="1" t="s">
        <v>489</v>
      </c>
      <c r="E706" s="1" t="n">
        <v>-67868.18</v>
      </c>
      <c r="F706" s="1" t="n">
        <v>1.956</v>
      </c>
      <c r="G706" s="1" t="n">
        <f aca="false">IF(ISNUMBER(E706),E706,VALUE(SUBSTITUTE(E706,"#",".01")))</f>
        <v>-67868.18</v>
      </c>
    </row>
    <row r="707" customFormat="false" ht="12.75" hidden="false" customHeight="false" outlineLevel="0" collapsed="false">
      <c r="A707" s="1" t="n">
        <v>37</v>
      </c>
      <c r="B707" s="1" t="n">
        <v>35</v>
      </c>
      <c r="C707" s="1" t="n">
        <v>72</v>
      </c>
      <c r="D707" s="1" t="s">
        <v>500</v>
      </c>
      <c r="E707" s="1" t="n">
        <v>-59061.743</v>
      </c>
      <c r="F707" s="1" t="n">
        <v>1.025</v>
      </c>
      <c r="G707" s="1" t="n">
        <f aca="false">IF(ISNUMBER(E707),E707,VALUE(SUBSTITUTE(E707,"#",".01")))</f>
        <v>-59061.743</v>
      </c>
    </row>
    <row r="708" customFormat="false" ht="12.75" hidden="false" customHeight="false" outlineLevel="0" collapsed="false">
      <c r="A708" s="1" t="n">
        <v>36</v>
      </c>
      <c r="B708" s="1" t="n">
        <v>36</v>
      </c>
      <c r="C708" s="1" t="n">
        <v>72</v>
      </c>
      <c r="D708" s="1" t="s">
        <v>509</v>
      </c>
      <c r="E708" s="1" t="n">
        <v>-53940.575</v>
      </c>
      <c r="F708" s="1" t="n">
        <v>8.011</v>
      </c>
      <c r="G708" s="1" t="n">
        <f aca="false">IF(ISNUMBER(E708),E708,VALUE(SUBSTITUTE(E708,"#",".01")))</f>
        <v>-53940.575</v>
      </c>
    </row>
    <row r="709" customFormat="false" ht="12.75" hidden="false" customHeight="false" outlineLevel="0" collapsed="false">
      <c r="A709" s="1" t="n">
        <v>35</v>
      </c>
      <c r="B709" s="1" t="n">
        <v>37</v>
      </c>
      <c r="C709" s="1" t="n">
        <v>72</v>
      </c>
      <c r="D709" s="1" t="s">
        <v>518</v>
      </c>
      <c r="E709" s="1" t="s">
        <v>523</v>
      </c>
      <c r="F709" s="1" t="s">
        <v>337</v>
      </c>
      <c r="G709" s="1" t="n">
        <f aca="false">IF(ISNUMBER(E709),E709,VALUE(SUBSTITUTE(E709,"#",".01")))</f>
        <v>-38330.01</v>
      </c>
    </row>
    <row r="710" customFormat="false" ht="12.75" hidden="false" customHeight="false" outlineLevel="0" collapsed="false">
      <c r="A710" s="1" t="n">
        <v>47</v>
      </c>
      <c r="B710" s="1" t="n">
        <v>26</v>
      </c>
      <c r="C710" s="1" t="n">
        <v>73</v>
      </c>
      <c r="D710" s="1" t="s">
        <v>404</v>
      </c>
      <c r="E710" s="1" t="s">
        <v>524</v>
      </c>
      <c r="F710" s="1" t="s">
        <v>337</v>
      </c>
      <c r="G710" s="1" t="n">
        <f aca="false">IF(ISNUMBER(E710),E710,VALUE(SUBSTITUTE(E710,"#",".01")))</f>
        <v>-22900.01</v>
      </c>
    </row>
    <row r="711" customFormat="false" ht="12.75" hidden="false" customHeight="false" outlineLevel="0" collapsed="false">
      <c r="A711" s="1" t="n">
        <v>46</v>
      </c>
      <c r="B711" s="1" t="n">
        <v>27</v>
      </c>
      <c r="C711" s="1" t="n">
        <v>73</v>
      </c>
      <c r="D711" s="1" t="s">
        <v>414</v>
      </c>
      <c r="E711" s="1" t="s">
        <v>525</v>
      </c>
      <c r="F711" s="1" t="s">
        <v>378</v>
      </c>
      <c r="G711" s="1" t="n">
        <f aca="false">IF(ISNUMBER(E711),E711,VALUE(SUBSTITUTE(E711,"#",".01")))</f>
        <v>-37418.01</v>
      </c>
    </row>
    <row r="712" customFormat="false" ht="12.75" hidden="false" customHeight="false" outlineLevel="0" collapsed="false">
      <c r="A712" s="1" t="n">
        <v>45</v>
      </c>
      <c r="B712" s="1" t="n">
        <v>28</v>
      </c>
      <c r="C712" s="1" t="n">
        <v>73</v>
      </c>
      <c r="D712" s="1" t="s">
        <v>22</v>
      </c>
      <c r="E712" s="1" t="n">
        <v>-50108.152</v>
      </c>
      <c r="F712" s="1" t="n">
        <v>2.423</v>
      </c>
      <c r="G712" s="1" t="n">
        <f aca="false">IF(ISNUMBER(E712),E712,VALUE(SUBSTITUTE(E712,"#",".01")))</f>
        <v>-50108.152</v>
      </c>
    </row>
    <row r="713" customFormat="false" ht="12.75" hidden="false" customHeight="false" outlineLevel="0" collapsed="false">
      <c r="A713" s="1" t="n">
        <v>44</v>
      </c>
      <c r="B713" s="1" t="n">
        <v>29</v>
      </c>
      <c r="C713" s="1" t="n">
        <v>73</v>
      </c>
      <c r="D713" s="1" t="s">
        <v>437</v>
      </c>
      <c r="E713" s="1" t="n">
        <v>-58987.437</v>
      </c>
      <c r="F713" s="1" t="n">
        <v>1.942</v>
      </c>
      <c r="G713" s="1" t="n">
        <f aca="false">IF(ISNUMBER(E713),E713,VALUE(SUBSTITUTE(E713,"#",".01")))</f>
        <v>-58987.437</v>
      </c>
    </row>
    <row r="714" customFormat="false" ht="12.75" hidden="false" customHeight="false" outlineLevel="0" collapsed="false">
      <c r="A714" s="1" t="n">
        <v>43</v>
      </c>
      <c r="B714" s="1" t="n">
        <v>30</v>
      </c>
      <c r="C714" s="1" t="n">
        <v>73</v>
      </c>
      <c r="D714" s="1" t="s">
        <v>443</v>
      </c>
      <c r="E714" s="1" t="n">
        <v>-65593.402</v>
      </c>
      <c r="F714" s="1" t="n">
        <v>1.863</v>
      </c>
      <c r="G714" s="1" t="n">
        <f aca="false">IF(ISNUMBER(E714),E714,VALUE(SUBSTITUTE(E714,"#",".01")))</f>
        <v>-65593.402</v>
      </c>
    </row>
    <row r="715" customFormat="false" ht="12.75" hidden="false" customHeight="false" outlineLevel="0" collapsed="false">
      <c r="A715" s="1" t="n">
        <v>42</v>
      </c>
      <c r="B715" s="1" t="n">
        <v>31</v>
      </c>
      <c r="C715" s="1" t="n">
        <v>73</v>
      </c>
      <c r="D715" s="1" t="s">
        <v>452</v>
      </c>
      <c r="E715" s="1" t="n">
        <v>-69699.335</v>
      </c>
      <c r="F715" s="1" t="n">
        <v>1.677</v>
      </c>
      <c r="G715" s="1" t="n">
        <f aca="false">IF(ISNUMBER(E715),E715,VALUE(SUBSTITUTE(E715,"#",".01")))</f>
        <v>-69699.335</v>
      </c>
    </row>
    <row r="716" customFormat="false" ht="12.75" hidden="false" customHeight="false" outlineLevel="0" collapsed="false">
      <c r="A716" s="1" t="n">
        <v>41</v>
      </c>
      <c r="B716" s="1" t="n">
        <v>32</v>
      </c>
      <c r="C716" s="1" t="n">
        <v>73</v>
      </c>
      <c r="D716" s="1" t="s">
        <v>461</v>
      </c>
      <c r="E716" s="1" t="n">
        <v>-71297.523</v>
      </c>
      <c r="F716" s="1" t="n">
        <v>0.057</v>
      </c>
      <c r="G716" s="1" t="n">
        <f aca="false">IF(ISNUMBER(E716),E716,VALUE(SUBSTITUTE(E716,"#",".01")))</f>
        <v>-71297.523</v>
      </c>
    </row>
    <row r="717" customFormat="false" ht="12.75" hidden="false" customHeight="false" outlineLevel="0" collapsed="false">
      <c r="A717" s="1" t="n">
        <v>40</v>
      </c>
      <c r="B717" s="1" t="n">
        <v>33</v>
      </c>
      <c r="C717" s="1" t="n">
        <v>73</v>
      </c>
      <c r="D717" s="1" t="s">
        <v>471</v>
      </c>
      <c r="E717" s="1" t="n">
        <v>-70952.747</v>
      </c>
      <c r="F717" s="1" t="n">
        <v>3.853</v>
      </c>
      <c r="G717" s="1" t="n">
        <f aca="false">IF(ISNUMBER(E717),E717,VALUE(SUBSTITUTE(E717,"#",".01")))</f>
        <v>-70952.747</v>
      </c>
    </row>
    <row r="718" customFormat="false" ht="12.75" hidden="false" customHeight="false" outlineLevel="0" collapsed="false">
      <c r="A718" s="1" t="n">
        <v>39</v>
      </c>
      <c r="B718" s="1" t="n">
        <v>34</v>
      </c>
      <c r="C718" s="1" t="n">
        <v>73</v>
      </c>
      <c r="D718" s="1" t="s">
        <v>489</v>
      </c>
      <c r="E718" s="1" t="n">
        <v>-68227.387</v>
      </c>
      <c r="F718" s="1" t="n">
        <v>7.424</v>
      </c>
      <c r="G718" s="1" t="n">
        <f aca="false">IF(ISNUMBER(E718),E718,VALUE(SUBSTITUTE(E718,"#",".01")))</f>
        <v>-68227.387</v>
      </c>
    </row>
    <row r="719" customFormat="false" ht="12.75" hidden="false" customHeight="false" outlineLevel="0" collapsed="false">
      <c r="A719" s="1" t="n">
        <v>38</v>
      </c>
      <c r="B719" s="1" t="n">
        <v>35</v>
      </c>
      <c r="C719" s="1" t="n">
        <v>73</v>
      </c>
      <c r="D719" s="1" t="s">
        <v>500</v>
      </c>
      <c r="E719" s="1" t="n">
        <v>-63647.475</v>
      </c>
      <c r="F719" s="1" t="n">
        <v>7.266</v>
      </c>
      <c r="G719" s="1" t="n">
        <f aca="false">IF(ISNUMBER(E719),E719,VALUE(SUBSTITUTE(E719,"#",".01")))</f>
        <v>-63647.475</v>
      </c>
    </row>
    <row r="720" customFormat="false" ht="12.75" hidden="false" customHeight="false" outlineLevel="0" collapsed="false">
      <c r="A720" s="1" t="n">
        <v>37</v>
      </c>
      <c r="B720" s="1" t="n">
        <v>36</v>
      </c>
      <c r="C720" s="1" t="n">
        <v>73</v>
      </c>
      <c r="D720" s="1" t="s">
        <v>509</v>
      </c>
      <c r="E720" s="1" t="n">
        <v>-56551.751</v>
      </c>
      <c r="F720" s="1" t="n">
        <v>6.578</v>
      </c>
      <c r="G720" s="1" t="n">
        <f aca="false">IF(ISNUMBER(E720),E720,VALUE(SUBSTITUTE(E720,"#",".01")))</f>
        <v>-56551.751</v>
      </c>
    </row>
    <row r="721" customFormat="false" ht="12.75" hidden="false" customHeight="false" outlineLevel="0" collapsed="false">
      <c r="A721" s="1" t="n">
        <v>36</v>
      </c>
      <c r="B721" s="1" t="n">
        <v>37</v>
      </c>
      <c r="C721" s="1" t="n">
        <v>73</v>
      </c>
      <c r="D721" s="1" t="s">
        <v>518</v>
      </c>
      <c r="E721" s="1" t="s">
        <v>526</v>
      </c>
      <c r="F721" s="1" t="s">
        <v>349</v>
      </c>
      <c r="G721" s="1" t="n">
        <f aca="false">IF(ISNUMBER(E721),E721,VALUE(SUBSTITUTE(E721,"#",".01")))</f>
        <v>-46082.01</v>
      </c>
    </row>
    <row r="722" customFormat="false" ht="12.75" hidden="false" customHeight="false" outlineLevel="0" collapsed="false">
      <c r="A722" s="1" t="n">
        <v>35</v>
      </c>
      <c r="B722" s="1" t="n">
        <v>38</v>
      </c>
      <c r="C722" s="1" t="n">
        <v>73</v>
      </c>
      <c r="D722" s="1" t="s">
        <v>527</v>
      </c>
      <c r="E722" s="1" t="s">
        <v>528</v>
      </c>
      <c r="F722" s="1" t="s">
        <v>320</v>
      </c>
      <c r="G722" s="1" t="n">
        <f aca="false">IF(ISNUMBER(E722),E722,VALUE(SUBSTITUTE(E722,"#",".01")))</f>
        <v>-31950.01</v>
      </c>
    </row>
    <row r="723" customFormat="false" ht="12.75" hidden="false" customHeight="false" outlineLevel="0" collapsed="false">
      <c r="A723" s="1" t="n">
        <v>48</v>
      </c>
      <c r="B723" s="1" t="n">
        <v>26</v>
      </c>
      <c r="C723" s="1" t="n">
        <v>74</v>
      </c>
      <c r="D723" s="1" t="s">
        <v>404</v>
      </c>
      <c r="E723" s="1" t="s">
        <v>529</v>
      </c>
      <c r="F723" s="1" t="s">
        <v>387</v>
      </c>
      <c r="G723" s="1" t="n">
        <f aca="false">IF(ISNUMBER(E723),E723,VALUE(SUBSTITUTE(E723,"#",".01")))</f>
        <v>-19590.01</v>
      </c>
    </row>
    <row r="724" customFormat="false" ht="12.75" hidden="false" customHeight="false" outlineLevel="0" collapsed="false">
      <c r="A724" s="1" t="n">
        <v>47</v>
      </c>
      <c r="B724" s="1" t="n">
        <v>27</v>
      </c>
      <c r="C724" s="1" t="n">
        <v>74</v>
      </c>
      <c r="D724" s="1" t="s">
        <v>414</v>
      </c>
      <c r="E724" s="1" t="s">
        <v>530</v>
      </c>
      <c r="F724" s="1" t="s">
        <v>337</v>
      </c>
      <c r="G724" s="1" t="n">
        <f aca="false">IF(ISNUMBER(E724),E724,VALUE(SUBSTITUTE(E724,"#",".01")))</f>
        <v>-32820.01</v>
      </c>
    </row>
    <row r="725" customFormat="false" ht="12.75" hidden="false" customHeight="false" outlineLevel="0" collapsed="false">
      <c r="A725" s="1" t="n">
        <v>46</v>
      </c>
      <c r="B725" s="1" t="n">
        <v>28</v>
      </c>
      <c r="C725" s="1" t="n">
        <v>74</v>
      </c>
      <c r="D725" s="1" t="s">
        <v>22</v>
      </c>
      <c r="E725" s="1" t="s">
        <v>531</v>
      </c>
      <c r="F725" s="1" t="s">
        <v>333</v>
      </c>
      <c r="G725" s="1" t="n">
        <f aca="false">IF(ISNUMBER(E725),E725,VALUE(SUBSTITUTE(E725,"#",".01")))</f>
        <v>-48456.01</v>
      </c>
    </row>
    <row r="726" customFormat="false" ht="12.75" hidden="false" customHeight="false" outlineLevel="0" collapsed="false">
      <c r="A726" s="1" t="n">
        <v>45</v>
      </c>
      <c r="B726" s="1" t="n">
        <v>29</v>
      </c>
      <c r="C726" s="1" t="n">
        <v>74</v>
      </c>
      <c r="D726" s="1" t="s">
        <v>437</v>
      </c>
      <c r="E726" s="1" t="n">
        <v>-56006.205</v>
      </c>
      <c r="F726" s="1" t="n">
        <v>6.148</v>
      </c>
      <c r="G726" s="1" t="n">
        <f aca="false">IF(ISNUMBER(E726),E726,VALUE(SUBSTITUTE(E726,"#",".01")))</f>
        <v>-56006.205</v>
      </c>
    </row>
    <row r="727" customFormat="false" ht="12.75" hidden="false" customHeight="false" outlineLevel="0" collapsed="false">
      <c r="A727" s="1" t="n">
        <v>44</v>
      </c>
      <c r="B727" s="1" t="n">
        <v>30</v>
      </c>
      <c r="C727" s="1" t="n">
        <v>74</v>
      </c>
      <c r="D727" s="1" t="s">
        <v>443</v>
      </c>
      <c r="E727" s="1" t="n">
        <v>-65756.712</v>
      </c>
      <c r="F727" s="1" t="n">
        <v>2.515</v>
      </c>
      <c r="G727" s="1" t="n">
        <f aca="false">IF(ISNUMBER(E727),E727,VALUE(SUBSTITUTE(E727,"#",".01")))</f>
        <v>-65756.712</v>
      </c>
    </row>
    <row r="728" customFormat="false" ht="12.75" hidden="false" customHeight="false" outlineLevel="0" collapsed="false">
      <c r="A728" s="1" t="n">
        <v>43</v>
      </c>
      <c r="B728" s="1" t="n">
        <v>31</v>
      </c>
      <c r="C728" s="1" t="n">
        <v>74</v>
      </c>
      <c r="D728" s="1" t="s">
        <v>452</v>
      </c>
      <c r="E728" s="1" t="n">
        <v>-68049.617</v>
      </c>
      <c r="F728" s="1" t="n">
        <v>2.994</v>
      </c>
      <c r="G728" s="1" t="n">
        <f aca="false">IF(ISNUMBER(E728),E728,VALUE(SUBSTITUTE(E728,"#",".01")))</f>
        <v>-68049.617</v>
      </c>
    </row>
    <row r="729" customFormat="false" ht="12.75" hidden="false" customHeight="false" outlineLevel="0" collapsed="false">
      <c r="A729" s="1" t="n">
        <v>42</v>
      </c>
      <c r="B729" s="1" t="n">
        <v>32</v>
      </c>
      <c r="C729" s="1" t="n">
        <v>74</v>
      </c>
      <c r="D729" s="1" t="s">
        <v>461</v>
      </c>
      <c r="E729" s="1" t="n">
        <v>-73422.442</v>
      </c>
      <c r="F729" s="1" t="n">
        <v>0.013</v>
      </c>
      <c r="G729" s="1" t="n">
        <f aca="false">IF(ISNUMBER(E729),E729,VALUE(SUBSTITUTE(E729,"#",".01")))</f>
        <v>-73422.442</v>
      </c>
    </row>
    <row r="730" customFormat="false" ht="12.75" hidden="false" customHeight="false" outlineLevel="0" collapsed="false">
      <c r="A730" s="1" t="n">
        <v>41</v>
      </c>
      <c r="B730" s="1" t="n">
        <v>33</v>
      </c>
      <c r="C730" s="1" t="n">
        <v>74</v>
      </c>
      <c r="D730" s="1" t="s">
        <v>471</v>
      </c>
      <c r="E730" s="1" t="n">
        <v>-70860.054</v>
      </c>
      <c r="F730" s="1" t="n">
        <v>1.693</v>
      </c>
      <c r="G730" s="1" t="n">
        <f aca="false">IF(ISNUMBER(E730),E730,VALUE(SUBSTITUTE(E730,"#",".01")))</f>
        <v>-70860.054</v>
      </c>
    </row>
    <row r="731" customFormat="false" ht="12.75" hidden="false" customHeight="false" outlineLevel="0" collapsed="false">
      <c r="A731" s="1" t="n">
        <v>40</v>
      </c>
      <c r="B731" s="1" t="n">
        <v>34</v>
      </c>
      <c r="C731" s="1" t="n">
        <v>74</v>
      </c>
      <c r="D731" s="1" t="s">
        <v>489</v>
      </c>
      <c r="E731" s="1" t="n">
        <v>-72213.201</v>
      </c>
      <c r="F731" s="1" t="n">
        <v>0.015</v>
      </c>
      <c r="G731" s="1" t="n">
        <f aca="false">IF(ISNUMBER(E731),E731,VALUE(SUBSTITUTE(E731,"#",".01")))</f>
        <v>-72213.201</v>
      </c>
    </row>
    <row r="732" customFormat="false" ht="12.75" hidden="false" customHeight="false" outlineLevel="0" collapsed="false">
      <c r="A732" s="1" t="n">
        <v>39</v>
      </c>
      <c r="B732" s="1" t="n">
        <v>35</v>
      </c>
      <c r="C732" s="1" t="n">
        <v>74</v>
      </c>
      <c r="D732" s="1" t="s">
        <v>500</v>
      </c>
      <c r="E732" s="1" t="n">
        <v>-65288.153</v>
      </c>
      <c r="F732" s="1" t="n">
        <v>5.835</v>
      </c>
      <c r="G732" s="1" t="n">
        <f aca="false">IF(ISNUMBER(E732),E732,VALUE(SUBSTITUTE(E732,"#",".01")))</f>
        <v>-65288.153</v>
      </c>
    </row>
    <row r="733" customFormat="false" ht="12.75" hidden="false" customHeight="false" outlineLevel="0" collapsed="false">
      <c r="A733" s="1" t="n">
        <v>38</v>
      </c>
      <c r="B733" s="1" t="n">
        <v>36</v>
      </c>
      <c r="C733" s="1" t="n">
        <v>74</v>
      </c>
      <c r="D733" s="1" t="s">
        <v>509</v>
      </c>
      <c r="E733" s="1" t="n">
        <v>-62331.836</v>
      </c>
      <c r="F733" s="1" t="n">
        <v>2.013</v>
      </c>
      <c r="G733" s="1" t="n">
        <f aca="false">IF(ISNUMBER(E733),E733,VALUE(SUBSTITUTE(E733,"#",".01")))</f>
        <v>-62331.836</v>
      </c>
    </row>
    <row r="734" customFormat="false" ht="12.75" hidden="false" customHeight="false" outlineLevel="0" collapsed="false">
      <c r="A734" s="1" t="n">
        <v>37</v>
      </c>
      <c r="B734" s="1" t="n">
        <v>37</v>
      </c>
      <c r="C734" s="1" t="n">
        <v>74</v>
      </c>
      <c r="D734" s="1" t="s">
        <v>518</v>
      </c>
      <c r="E734" s="1" t="n">
        <v>-51916.009</v>
      </c>
      <c r="F734" s="1" t="n">
        <v>3.027</v>
      </c>
      <c r="G734" s="1" t="n">
        <f aca="false">IF(ISNUMBER(E734),E734,VALUE(SUBSTITUTE(E734,"#",".01")))</f>
        <v>-51916.009</v>
      </c>
    </row>
    <row r="735" customFormat="false" ht="12.75" hidden="false" customHeight="false" outlineLevel="0" collapsed="false">
      <c r="A735" s="1" t="n">
        <v>36</v>
      </c>
      <c r="B735" s="1" t="n">
        <v>38</v>
      </c>
      <c r="C735" s="1" t="n">
        <v>74</v>
      </c>
      <c r="D735" s="1" t="s">
        <v>527</v>
      </c>
      <c r="E735" s="1" t="s">
        <v>532</v>
      </c>
      <c r="F735" s="1" t="s">
        <v>533</v>
      </c>
      <c r="G735" s="1" t="n">
        <f aca="false">IF(ISNUMBER(E735),E735,VALUE(SUBSTITUTE(E735,"#",".01")))</f>
        <v>-40827.01</v>
      </c>
    </row>
    <row r="736" customFormat="false" ht="12.75" hidden="false" customHeight="false" outlineLevel="0" collapsed="false">
      <c r="A736" s="1" t="n">
        <v>49</v>
      </c>
      <c r="B736" s="1" t="n">
        <v>26</v>
      </c>
      <c r="C736" s="1" t="n">
        <v>75</v>
      </c>
      <c r="D736" s="1" t="s">
        <v>404</v>
      </c>
      <c r="E736" s="1" t="s">
        <v>534</v>
      </c>
      <c r="F736" s="1" t="s">
        <v>387</v>
      </c>
      <c r="G736" s="1" t="n">
        <f aca="false">IF(ISNUMBER(E736),E736,VALUE(SUBSTITUTE(E736,"#",".01")))</f>
        <v>-13640.01</v>
      </c>
    </row>
    <row r="737" customFormat="false" ht="12.75" hidden="false" customHeight="false" outlineLevel="0" collapsed="false">
      <c r="A737" s="1" t="n">
        <v>48</v>
      </c>
      <c r="B737" s="1" t="n">
        <v>27</v>
      </c>
      <c r="C737" s="1" t="n">
        <v>75</v>
      </c>
      <c r="D737" s="1" t="s">
        <v>414</v>
      </c>
      <c r="E737" s="1" t="s">
        <v>535</v>
      </c>
      <c r="F737" s="1" t="s">
        <v>337</v>
      </c>
      <c r="G737" s="1" t="n">
        <f aca="false">IF(ISNUMBER(E737),E737,VALUE(SUBSTITUTE(E737,"#",".01")))</f>
        <v>-29649.01</v>
      </c>
    </row>
    <row r="738" customFormat="false" ht="12.75" hidden="false" customHeight="false" outlineLevel="0" collapsed="false">
      <c r="A738" s="1" t="n">
        <v>47</v>
      </c>
      <c r="B738" s="1" t="n">
        <v>28</v>
      </c>
      <c r="C738" s="1" t="n">
        <v>75</v>
      </c>
      <c r="D738" s="1" t="s">
        <v>22</v>
      </c>
      <c r="E738" s="1" t="s">
        <v>536</v>
      </c>
      <c r="F738" s="1" t="s">
        <v>371</v>
      </c>
      <c r="G738" s="1" t="n">
        <f aca="false">IF(ISNUMBER(E738),E738,VALUE(SUBSTITUTE(E738,"#",".01")))</f>
        <v>-44030.01</v>
      </c>
    </row>
    <row r="739" customFormat="false" ht="12.75" hidden="false" customHeight="false" outlineLevel="0" collapsed="false">
      <c r="A739" s="1" t="n">
        <v>46</v>
      </c>
      <c r="B739" s="1" t="n">
        <v>29</v>
      </c>
      <c r="C739" s="1" t="n">
        <v>75</v>
      </c>
      <c r="D739" s="1" t="s">
        <v>437</v>
      </c>
      <c r="E739" s="1" t="n">
        <v>-54471.341</v>
      </c>
      <c r="F739" s="1" t="n">
        <v>2.33</v>
      </c>
      <c r="G739" s="1" t="n">
        <f aca="false">IF(ISNUMBER(E739),E739,VALUE(SUBSTITUTE(E739,"#",".01")))</f>
        <v>-54471.341</v>
      </c>
    </row>
    <row r="740" customFormat="false" ht="12.75" hidden="false" customHeight="false" outlineLevel="0" collapsed="false">
      <c r="A740" s="1" t="n">
        <v>45</v>
      </c>
      <c r="B740" s="1" t="n">
        <v>30</v>
      </c>
      <c r="C740" s="1" t="n">
        <v>75</v>
      </c>
      <c r="D740" s="1" t="s">
        <v>443</v>
      </c>
      <c r="E740" s="1" t="n">
        <v>-62558.908</v>
      </c>
      <c r="F740" s="1" t="n">
        <v>1.956</v>
      </c>
      <c r="G740" s="1" t="n">
        <f aca="false">IF(ISNUMBER(E740),E740,VALUE(SUBSTITUTE(E740,"#",".01")))</f>
        <v>-62558.908</v>
      </c>
    </row>
    <row r="741" customFormat="false" ht="12.75" hidden="false" customHeight="false" outlineLevel="0" collapsed="false">
      <c r="A741" s="1" t="n">
        <v>44</v>
      </c>
      <c r="B741" s="1" t="n">
        <v>31</v>
      </c>
      <c r="C741" s="1" t="n">
        <v>75</v>
      </c>
      <c r="D741" s="1" t="s">
        <v>452</v>
      </c>
      <c r="E741" s="1" t="n">
        <v>-68464.58</v>
      </c>
      <c r="F741" s="1" t="n">
        <v>2.422</v>
      </c>
      <c r="G741" s="1" t="n">
        <f aca="false">IF(ISNUMBER(E741),E741,VALUE(SUBSTITUTE(E741,"#",".01")))</f>
        <v>-68464.58</v>
      </c>
    </row>
    <row r="742" customFormat="false" ht="12.75" hidden="false" customHeight="false" outlineLevel="0" collapsed="false">
      <c r="A742" s="1" t="n">
        <v>43</v>
      </c>
      <c r="B742" s="1" t="n">
        <v>32</v>
      </c>
      <c r="C742" s="1" t="n">
        <v>75</v>
      </c>
      <c r="D742" s="1" t="s">
        <v>461</v>
      </c>
      <c r="E742" s="1" t="n">
        <v>-71856.965</v>
      </c>
      <c r="F742" s="1" t="n">
        <v>0.052</v>
      </c>
      <c r="G742" s="1" t="n">
        <f aca="false">IF(ISNUMBER(E742),E742,VALUE(SUBSTITUTE(E742,"#",".01")))</f>
        <v>-71856.965</v>
      </c>
    </row>
    <row r="743" customFormat="false" ht="12.75" hidden="false" customHeight="false" outlineLevel="0" collapsed="false">
      <c r="A743" s="1" t="n">
        <v>42</v>
      </c>
      <c r="B743" s="1" t="n">
        <v>33</v>
      </c>
      <c r="C743" s="1" t="n">
        <v>75</v>
      </c>
      <c r="D743" s="1" t="s">
        <v>471</v>
      </c>
      <c r="E743" s="1" t="n">
        <v>-73034.195</v>
      </c>
      <c r="F743" s="1" t="n">
        <v>0.884</v>
      </c>
      <c r="G743" s="1" t="n">
        <f aca="false">IF(ISNUMBER(E743),E743,VALUE(SUBSTITUTE(E743,"#",".01")))</f>
        <v>-73034.195</v>
      </c>
    </row>
    <row r="744" customFormat="false" ht="12.75" hidden="false" customHeight="false" outlineLevel="0" collapsed="false">
      <c r="A744" s="1" t="n">
        <v>41</v>
      </c>
      <c r="B744" s="1" t="n">
        <v>34</v>
      </c>
      <c r="C744" s="1" t="n">
        <v>75</v>
      </c>
      <c r="D744" s="1" t="s">
        <v>489</v>
      </c>
      <c r="E744" s="1" t="n">
        <v>-72169.481</v>
      </c>
      <c r="F744" s="1" t="n">
        <v>0.073</v>
      </c>
      <c r="G744" s="1" t="n">
        <f aca="false">IF(ISNUMBER(E744),E744,VALUE(SUBSTITUTE(E744,"#",".01")))</f>
        <v>-72169.481</v>
      </c>
    </row>
    <row r="745" customFormat="false" ht="12.75" hidden="false" customHeight="false" outlineLevel="0" collapsed="false">
      <c r="A745" s="1" t="n">
        <v>40</v>
      </c>
      <c r="B745" s="1" t="n">
        <v>35</v>
      </c>
      <c r="C745" s="1" t="n">
        <v>75</v>
      </c>
      <c r="D745" s="1" t="s">
        <v>500</v>
      </c>
      <c r="E745" s="1" t="n">
        <v>-69107.009</v>
      </c>
      <c r="F745" s="1" t="n">
        <v>4.285</v>
      </c>
      <c r="G745" s="1" t="n">
        <f aca="false">IF(ISNUMBER(E745),E745,VALUE(SUBSTITUTE(E745,"#",".01")))</f>
        <v>-69107.009</v>
      </c>
    </row>
    <row r="746" customFormat="false" ht="12.75" hidden="false" customHeight="false" outlineLevel="0" collapsed="false">
      <c r="A746" s="1" t="n">
        <v>39</v>
      </c>
      <c r="B746" s="1" t="n">
        <v>36</v>
      </c>
      <c r="C746" s="1" t="n">
        <v>75</v>
      </c>
      <c r="D746" s="1" t="s">
        <v>509</v>
      </c>
      <c r="E746" s="1" t="n">
        <v>-64323.624</v>
      </c>
      <c r="F746" s="1" t="n">
        <v>8.104</v>
      </c>
      <c r="G746" s="1" t="n">
        <f aca="false">IF(ISNUMBER(E746),E746,VALUE(SUBSTITUTE(E746,"#",".01")))</f>
        <v>-64323.624</v>
      </c>
    </row>
    <row r="747" customFormat="false" ht="12.75" hidden="false" customHeight="false" outlineLevel="0" collapsed="false">
      <c r="A747" s="1" t="n">
        <v>38</v>
      </c>
      <c r="B747" s="1" t="n">
        <v>37</v>
      </c>
      <c r="C747" s="1" t="n">
        <v>75</v>
      </c>
      <c r="D747" s="1" t="s">
        <v>518</v>
      </c>
      <c r="E747" s="1" t="n">
        <v>-57218.694</v>
      </c>
      <c r="F747" s="1" t="n">
        <v>1.18</v>
      </c>
      <c r="G747" s="1" t="n">
        <f aca="false">IF(ISNUMBER(E747),E747,VALUE(SUBSTITUTE(E747,"#",".01")))</f>
        <v>-57218.694</v>
      </c>
    </row>
    <row r="748" customFormat="false" ht="12.75" hidden="false" customHeight="false" outlineLevel="0" collapsed="false">
      <c r="A748" s="1" t="n">
        <v>37</v>
      </c>
      <c r="B748" s="1" t="n">
        <v>38</v>
      </c>
      <c r="C748" s="1" t="n">
        <v>75</v>
      </c>
      <c r="D748" s="1" t="s">
        <v>527</v>
      </c>
      <c r="E748" s="1" t="n">
        <v>-46618.694</v>
      </c>
      <c r="F748" s="1" t="n">
        <v>220.003</v>
      </c>
      <c r="G748" s="1" t="n">
        <f aca="false">IF(ISNUMBER(E748),E748,VALUE(SUBSTITUTE(E748,"#",".01")))</f>
        <v>-46618.694</v>
      </c>
    </row>
    <row r="749" customFormat="false" ht="12.75" hidden="false" customHeight="false" outlineLevel="0" collapsed="false">
      <c r="A749" s="1" t="n">
        <v>36</v>
      </c>
      <c r="B749" s="1" t="n">
        <v>39</v>
      </c>
      <c r="C749" s="1" t="n">
        <v>75</v>
      </c>
      <c r="D749" s="1" t="s">
        <v>537</v>
      </c>
      <c r="E749" s="1" t="s">
        <v>538</v>
      </c>
      <c r="F749" s="1" t="s">
        <v>371</v>
      </c>
      <c r="G749" s="1" t="n">
        <f aca="false">IF(ISNUMBER(E749),E749,VALUE(SUBSTITUTE(E749,"#",".01")))</f>
        <v>-31820.01</v>
      </c>
    </row>
    <row r="750" customFormat="false" ht="12.75" hidden="false" customHeight="false" outlineLevel="0" collapsed="false">
      <c r="A750" s="1" t="n">
        <v>49</v>
      </c>
      <c r="B750" s="1" t="n">
        <v>27</v>
      </c>
      <c r="C750" s="1" t="n">
        <v>76</v>
      </c>
      <c r="D750" s="1" t="s">
        <v>414</v>
      </c>
      <c r="E750" s="1" t="s">
        <v>539</v>
      </c>
      <c r="F750" s="1" t="s">
        <v>387</v>
      </c>
      <c r="G750" s="1" t="n">
        <f aca="false">IF(ISNUMBER(E750),E750,VALUE(SUBSTITUTE(E750,"#",".01")))</f>
        <v>-24510.01</v>
      </c>
    </row>
    <row r="751" customFormat="false" ht="12.75" hidden="false" customHeight="false" outlineLevel="0" collapsed="false">
      <c r="A751" s="1" t="n">
        <v>48</v>
      </c>
      <c r="B751" s="1" t="n">
        <v>28</v>
      </c>
      <c r="C751" s="1" t="n">
        <v>76</v>
      </c>
      <c r="D751" s="1" t="s">
        <v>22</v>
      </c>
      <c r="E751" s="1" t="s">
        <v>540</v>
      </c>
      <c r="F751" s="1" t="s">
        <v>378</v>
      </c>
      <c r="G751" s="1" t="n">
        <f aca="false">IF(ISNUMBER(E751),E751,VALUE(SUBSTITUTE(E751,"#",".01")))</f>
        <v>-41630.01</v>
      </c>
    </row>
    <row r="752" customFormat="false" ht="12.75" hidden="false" customHeight="false" outlineLevel="0" collapsed="false">
      <c r="A752" s="1" t="n">
        <v>47</v>
      </c>
      <c r="B752" s="1" t="n">
        <v>29</v>
      </c>
      <c r="C752" s="1" t="n">
        <v>76</v>
      </c>
      <c r="D752" s="1" t="s">
        <v>437</v>
      </c>
      <c r="E752" s="1" t="n">
        <v>-50975.985</v>
      </c>
      <c r="F752" s="1" t="n">
        <v>6.707</v>
      </c>
      <c r="G752" s="1" t="n">
        <f aca="false">IF(ISNUMBER(E752),E752,VALUE(SUBSTITUTE(E752,"#",".01")))</f>
        <v>-50975.985</v>
      </c>
    </row>
    <row r="753" customFormat="false" ht="12.75" hidden="false" customHeight="false" outlineLevel="0" collapsed="false">
      <c r="A753" s="1" t="n">
        <v>46</v>
      </c>
      <c r="B753" s="1" t="n">
        <v>30</v>
      </c>
      <c r="C753" s="1" t="n">
        <v>76</v>
      </c>
      <c r="D753" s="1" t="s">
        <v>443</v>
      </c>
      <c r="E753" s="1" t="n">
        <v>-62303.016</v>
      </c>
      <c r="F753" s="1" t="n">
        <v>1.456</v>
      </c>
      <c r="G753" s="1" t="n">
        <f aca="false">IF(ISNUMBER(E753),E753,VALUE(SUBSTITUTE(E753,"#",".01")))</f>
        <v>-62303.016</v>
      </c>
    </row>
    <row r="754" customFormat="false" ht="12.75" hidden="false" customHeight="false" outlineLevel="0" collapsed="false">
      <c r="A754" s="1" t="n">
        <v>45</v>
      </c>
      <c r="B754" s="1" t="n">
        <v>31</v>
      </c>
      <c r="C754" s="1" t="n">
        <v>76</v>
      </c>
      <c r="D754" s="1" t="s">
        <v>452</v>
      </c>
      <c r="E754" s="1" t="n">
        <v>-66296.64</v>
      </c>
      <c r="F754" s="1" t="n">
        <v>1.956</v>
      </c>
      <c r="G754" s="1" t="n">
        <f aca="false">IF(ISNUMBER(E754),E754,VALUE(SUBSTITUTE(E754,"#",".01")))</f>
        <v>-66296.64</v>
      </c>
    </row>
    <row r="755" customFormat="false" ht="12.75" hidden="false" customHeight="false" outlineLevel="0" collapsed="false">
      <c r="A755" s="1" t="n">
        <v>44</v>
      </c>
      <c r="B755" s="1" t="n">
        <v>32</v>
      </c>
      <c r="C755" s="1" t="n">
        <v>76</v>
      </c>
      <c r="D755" s="1" t="s">
        <v>461</v>
      </c>
      <c r="E755" s="1" t="n">
        <v>-73212.889</v>
      </c>
      <c r="F755" s="1" t="n">
        <v>0.018</v>
      </c>
      <c r="G755" s="1" t="n">
        <f aca="false">IF(ISNUMBER(E755),E755,VALUE(SUBSTITUTE(E755,"#",".01")))</f>
        <v>-73212.889</v>
      </c>
    </row>
    <row r="756" customFormat="false" ht="12.75" hidden="false" customHeight="false" outlineLevel="0" collapsed="false">
      <c r="A756" s="1" t="n">
        <v>43</v>
      </c>
      <c r="B756" s="1" t="n">
        <v>33</v>
      </c>
      <c r="C756" s="1" t="n">
        <v>76</v>
      </c>
      <c r="D756" s="1" t="s">
        <v>471</v>
      </c>
      <c r="E756" s="1" t="n">
        <v>-72291.377</v>
      </c>
      <c r="F756" s="1" t="n">
        <v>0.886</v>
      </c>
      <c r="G756" s="1" t="n">
        <f aca="false">IF(ISNUMBER(E756),E756,VALUE(SUBSTITUTE(E756,"#",".01")))</f>
        <v>-72291.377</v>
      </c>
    </row>
    <row r="757" customFormat="false" ht="12.75" hidden="false" customHeight="false" outlineLevel="0" collapsed="false">
      <c r="A757" s="1" t="n">
        <v>42</v>
      </c>
      <c r="B757" s="1" t="n">
        <v>34</v>
      </c>
      <c r="C757" s="1" t="n">
        <v>76</v>
      </c>
      <c r="D757" s="1" t="s">
        <v>489</v>
      </c>
      <c r="E757" s="1" t="n">
        <v>-75251.95</v>
      </c>
      <c r="F757" s="1" t="n">
        <v>0.016</v>
      </c>
      <c r="G757" s="1" t="n">
        <f aca="false">IF(ISNUMBER(E757),E757,VALUE(SUBSTITUTE(E757,"#",".01")))</f>
        <v>-75251.95</v>
      </c>
    </row>
    <row r="758" customFormat="false" ht="12.75" hidden="false" customHeight="false" outlineLevel="0" collapsed="false">
      <c r="A758" s="1" t="n">
        <v>41</v>
      </c>
      <c r="B758" s="1" t="n">
        <v>35</v>
      </c>
      <c r="C758" s="1" t="n">
        <v>76</v>
      </c>
      <c r="D758" s="1" t="s">
        <v>500</v>
      </c>
      <c r="E758" s="1" t="n">
        <v>-70289.068</v>
      </c>
      <c r="F758" s="1" t="n">
        <v>9.322</v>
      </c>
      <c r="G758" s="1" t="n">
        <f aca="false">IF(ISNUMBER(E758),E758,VALUE(SUBSTITUTE(E758,"#",".01")))</f>
        <v>-70289.068</v>
      </c>
    </row>
    <row r="759" customFormat="false" ht="12.75" hidden="false" customHeight="false" outlineLevel="0" collapsed="false">
      <c r="A759" s="1" t="n">
        <v>40</v>
      </c>
      <c r="B759" s="1" t="n">
        <v>36</v>
      </c>
      <c r="C759" s="1" t="n">
        <v>76</v>
      </c>
      <c r="D759" s="1" t="s">
        <v>509</v>
      </c>
      <c r="E759" s="1" t="n">
        <v>-69013.714</v>
      </c>
      <c r="F759" s="1" t="n">
        <v>4.013</v>
      </c>
      <c r="G759" s="1" t="n">
        <f aca="false">IF(ISNUMBER(E759),E759,VALUE(SUBSTITUTE(E759,"#",".01")))</f>
        <v>-69013.714</v>
      </c>
    </row>
    <row r="760" customFormat="false" ht="12.75" hidden="false" customHeight="false" outlineLevel="0" collapsed="false">
      <c r="A760" s="1" t="n">
        <v>39</v>
      </c>
      <c r="B760" s="1" t="n">
        <v>37</v>
      </c>
      <c r="C760" s="1" t="n">
        <v>76</v>
      </c>
      <c r="D760" s="1" t="s">
        <v>518</v>
      </c>
      <c r="E760" s="1" t="n">
        <v>-60479.081</v>
      </c>
      <c r="F760" s="1" t="n">
        <v>0.938</v>
      </c>
      <c r="G760" s="1" t="n">
        <f aca="false">IF(ISNUMBER(E760),E760,VALUE(SUBSTITUTE(E760,"#",".01")))</f>
        <v>-60479.081</v>
      </c>
    </row>
    <row r="761" customFormat="false" ht="12.75" hidden="false" customHeight="false" outlineLevel="0" collapsed="false">
      <c r="A761" s="1" t="n">
        <v>38</v>
      </c>
      <c r="B761" s="1" t="n">
        <v>38</v>
      </c>
      <c r="C761" s="1" t="n">
        <v>76</v>
      </c>
      <c r="D761" s="1" t="s">
        <v>527</v>
      </c>
      <c r="E761" s="1" t="n">
        <v>-54247.639</v>
      </c>
      <c r="F761" s="1" t="n">
        <v>34.465</v>
      </c>
      <c r="G761" s="1" t="n">
        <f aca="false">IF(ISNUMBER(E761),E761,VALUE(SUBSTITUTE(E761,"#",".01")))</f>
        <v>-54247.639</v>
      </c>
    </row>
    <row r="762" customFormat="false" ht="12.75" hidden="false" customHeight="false" outlineLevel="0" collapsed="false">
      <c r="A762" s="1" t="n">
        <v>37</v>
      </c>
      <c r="B762" s="1" t="n">
        <v>39</v>
      </c>
      <c r="C762" s="1" t="n">
        <v>76</v>
      </c>
      <c r="D762" s="1" t="s">
        <v>537</v>
      </c>
      <c r="E762" s="1" t="s">
        <v>541</v>
      </c>
      <c r="F762" s="1" t="s">
        <v>371</v>
      </c>
      <c r="G762" s="1" t="n">
        <f aca="false">IF(ISNUMBER(E762),E762,VALUE(SUBSTITUTE(E762,"#",".01")))</f>
        <v>-38480.01</v>
      </c>
    </row>
    <row r="763" customFormat="false" ht="12.75" hidden="false" customHeight="false" outlineLevel="0" collapsed="false">
      <c r="A763" s="1" t="n">
        <v>50</v>
      </c>
      <c r="B763" s="1" t="n">
        <v>27</v>
      </c>
      <c r="C763" s="1" t="n">
        <v>77</v>
      </c>
      <c r="D763" s="1" t="s">
        <v>414</v>
      </c>
      <c r="E763" s="1" t="s">
        <v>542</v>
      </c>
      <c r="F763" s="1" t="s">
        <v>387</v>
      </c>
      <c r="G763" s="1" t="n">
        <f aca="false">IF(ISNUMBER(E763),E763,VALUE(SUBSTITUTE(E763,"#",".01")))</f>
        <v>-21015.01</v>
      </c>
    </row>
    <row r="764" customFormat="false" ht="12.75" hidden="false" customHeight="false" outlineLevel="0" collapsed="false">
      <c r="A764" s="1" t="n">
        <v>49</v>
      </c>
      <c r="B764" s="1" t="n">
        <v>28</v>
      </c>
      <c r="C764" s="1" t="n">
        <v>77</v>
      </c>
      <c r="D764" s="1" t="s">
        <v>22</v>
      </c>
      <c r="E764" s="1" t="s">
        <v>543</v>
      </c>
      <c r="F764" s="1" t="s">
        <v>337</v>
      </c>
      <c r="G764" s="1" t="n">
        <f aca="false">IF(ISNUMBER(E764),E764,VALUE(SUBSTITUTE(E764,"#",".01")))</f>
        <v>-36800.01</v>
      </c>
    </row>
    <row r="765" customFormat="false" ht="12.75" hidden="false" customHeight="false" outlineLevel="0" collapsed="false">
      <c r="A765" s="1" t="n">
        <v>48</v>
      </c>
      <c r="B765" s="1" t="n">
        <v>29</v>
      </c>
      <c r="C765" s="1" t="n">
        <v>77</v>
      </c>
      <c r="D765" s="1" t="s">
        <v>437</v>
      </c>
      <c r="E765" s="1" t="s">
        <v>544</v>
      </c>
      <c r="F765" s="1" t="s">
        <v>545</v>
      </c>
      <c r="G765" s="1" t="n">
        <f aca="false">IF(ISNUMBER(E765),E765,VALUE(SUBSTITUTE(E765,"#",".01")))</f>
        <v>-48624.01</v>
      </c>
    </row>
    <row r="766" customFormat="false" ht="12.75" hidden="false" customHeight="false" outlineLevel="0" collapsed="false">
      <c r="A766" s="1" t="n">
        <v>47</v>
      </c>
      <c r="B766" s="1" t="n">
        <v>30</v>
      </c>
      <c r="C766" s="1" t="n">
        <v>77</v>
      </c>
      <c r="D766" s="1" t="s">
        <v>443</v>
      </c>
      <c r="E766" s="1" t="n">
        <v>-58789.195</v>
      </c>
      <c r="F766" s="1" t="n">
        <v>1.973</v>
      </c>
      <c r="G766" s="1" t="n">
        <f aca="false">IF(ISNUMBER(E766),E766,VALUE(SUBSTITUTE(E766,"#",".01")))</f>
        <v>-58789.195</v>
      </c>
    </row>
    <row r="767" customFormat="false" ht="12.75" hidden="false" customHeight="false" outlineLevel="0" collapsed="false">
      <c r="A767" s="1" t="n">
        <v>46</v>
      </c>
      <c r="B767" s="1" t="n">
        <v>31</v>
      </c>
      <c r="C767" s="1" t="n">
        <v>77</v>
      </c>
      <c r="D767" s="1" t="s">
        <v>452</v>
      </c>
      <c r="E767" s="1" t="n">
        <v>-65992.344</v>
      </c>
      <c r="F767" s="1" t="n">
        <v>2.422</v>
      </c>
      <c r="G767" s="1" t="n">
        <f aca="false">IF(ISNUMBER(E767),E767,VALUE(SUBSTITUTE(E767,"#",".01")))</f>
        <v>-65992.344</v>
      </c>
    </row>
    <row r="768" customFormat="false" ht="12.75" hidden="false" customHeight="false" outlineLevel="0" collapsed="false">
      <c r="A768" s="1" t="n">
        <v>45</v>
      </c>
      <c r="B768" s="1" t="n">
        <v>32</v>
      </c>
      <c r="C768" s="1" t="n">
        <v>77</v>
      </c>
      <c r="D768" s="1" t="s">
        <v>461</v>
      </c>
      <c r="E768" s="1" t="n">
        <v>-71212.862</v>
      </c>
      <c r="F768" s="1" t="n">
        <v>0.053</v>
      </c>
      <c r="G768" s="1" t="n">
        <f aca="false">IF(ISNUMBER(E768),E768,VALUE(SUBSTITUTE(E768,"#",".01")))</f>
        <v>-71212.862</v>
      </c>
    </row>
    <row r="769" customFormat="false" ht="12.75" hidden="false" customHeight="false" outlineLevel="0" collapsed="false">
      <c r="A769" s="1" t="n">
        <v>44</v>
      </c>
      <c r="B769" s="1" t="n">
        <v>33</v>
      </c>
      <c r="C769" s="1" t="n">
        <v>77</v>
      </c>
      <c r="D769" s="1" t="s">
        <v>471</v>
      </c>
      <c r="E769" s="1" t="n">
        <v>-73916.318</v>
      </c>
      <c r="F769" s="1" t="n">
        <v>1.693</v>
      </c>
      <c r="G769" s="1" t="n">
        <f aca="false">IF(ISNUMBER(E769),E769,VALUE(SUBSTITUTE(E769,"#",".01")))</f>
        <v>-73916.318</v>
      </c>
    </row>
    <row r="770" customFormat="false" ht="12.75" hidden="false" customHeight="false" outlineLevel="0" collapsed="false">
      <c r="A770" s="1" t="n">
        <v>43</v>
      </c>
      <c r="B770" s="1" t="n">
        <v>34</v>
      </c>
      <c r="C770" s="1" t="n">
        <v>77</v>
      </c>
      <c r="D770" s="1" t="s">
        <v>489</v>
      </c>
      <c r="E770" s="1" t="n">
        <v>-74599.488</v>
      </c>
      <c r="F770" s="1" t="n">
        <v>0.062</v>
      </c>
      <c r="G770" s="1" t="n">
        <f aca="false">IF(ISNUMBER(E770),E770,VALUE(SUBSTITUTE(E770,"#",".01")))</f>
        <v>-74599.488</v>
      </c>
    </row>
    <row r="771" customFormat="false" ht="12.75" hidden="false" customHeight="false" outlineLevel="0" collapsed="false">
      <c r="A771" s="1" t="n">
        <v>42</v>
      </c>
      <c r="B771" s="1" t="n">
        <v>35</v>
      </c>
      <c r="C771" s="1" t="n">
        <v>77</v>
      </c>
      <c r="D771" s="1" t="s">
        <v>500</v>
      </c>
      <c r="E771" s="1" t="n">
        <v>-73234.809</v>
      </c>
      <c r="F771" s="1" t="n">
        <v>2.811</v>
      </c>
      <c r="G771" s="1" t="n">
        <f aca="false">IF(ISNUMBER(E771),E771,VALUE(SUBSTITUTE(E771,"#",".01")))</f>
        <v>-73234.809</v>
      </c>
    </row>
    <row r="772" customFormat="false" ht="12.75" hidden="false" customHeight="false" outlineLevel="0" collapsed="false">
      <c r="A772" s="1" t="n">
        <v>41</v>
      </c>
      <c r="B772" s="1" t="n">
        <v>36</v>
      </c>
      <c r="C772" s="1" t="n">
        <v>77</v>
      </c>
      <c r="D772" s="1" t="s">
        <v>509</v>
      </c>
      <c r="E772" s="1" t="n">
        <v>-70169.443</v>
      </c>
      <c r="F772" s="1" t="n">
        <v>1.956</v>
      </c>
      <c r="G772" s="1" t="n">
        <f aca="false">IF(ISNUMBER(E772),E772,VALUE(SUBSTITUTE(E772,"#",".01")))</f>
        <v>-70169.443</v>
      </c>
    </row>
    <row r="773" customFormat="false" ht="12.75" hidden="false" customHeight="false" outlineLevel="0" collapsed="false">
      <c r="A773" s="1" t="n">
        <v>40</v>
      </c>
      <c r="B773" s="1" t="n">
        <v>37</v>
      </c>
      <c r="C773" s="1" t="n">
        <v>77</v>
      </c>
      <c r="D773" s="1" t="s">
        <v>518</v>
      </c>
      <c r="E773" s="1" t="n">
        <v>-64830.492</v>
      </c>
      <c r="F773" s="1" t="n">
        <v>1.304</v>
      </c>
      <c r="G773" s="1" t="n">
        <f aca="false">IF(ISNUMBER(E773),E773,VALUE(SUBSTITUTE(E773,"#",".01")))</f>
        <v>-64830.492</v>
      </c>
    </row>
    <row r="774" customFormat="false" ht="12.75" hidden="false" customHeight="false" outlineLevel="0" collapsed="false">
      <c r="A774" s="1" t="n">
        <v>39</v>
      </c>
      <c r="B774" s="1" t="n">
        <v>38</v>
      </c>
      <c r="C774" s="1" t="n">
        <v>77</v>
      </c>
      <c r="D774" s="1" t="s">
        <v>527</v>
      </c>
      <c r="E774" s="1" t="n">
        <v>-57803.436</v>
      </c>
      <c r="F774" s="1" t="n">
        <v>7.918</v>
      </c>
      <c r="G774" s="1" t="n">
        <f aca="false">IF(ISNUMBER(E774),E774,VALUE(SUBSTITUTE(E774,"#",".01")))</f>
        <v>-57803.436</v>
      </c>
    </row>
    <row r="775" customFormat="false" ht="12.75" hidden="false" customHeight="false" outlineLevel="0" collapsed="false">
      <c r="A775" s="1" t="n">
        <v>38</v>
      </c>
      <c r="B775" s="1" t="n">
        <v>39</v>
      </c>
      <c r="C775" s="1" t="n">
        <v>77</v>
      </c>
      <c r="D775" s="1" t="s">
        <v>537</v>
      </c>
      <c r="E775" s="1" t="s">
        <v>546</v>
      </c>
      <c r="F775" s="1" t="s">
        <v>488</v>
      </c>
      <c r="G775" s="1" t="n">
        <f aca="false">IF(ISNUMBER(E775),E775,VALUE(SUBSTITUTE(E775,"#",".01")))</f>
        <v>-46439.01</v>
      </c>
    </row>
    <row r="776" customFormat="false" ht="12.75" hidden="false" customHeight="false" outlineLevel="0" collapsed="false">
      <c r="A776" s="1" t="n">
        <v>37</v>
      </c>
      <c r="B776" s="1" t="n">
        <v>40</v>
      </c>
      <c r="C776" s="1" t="n">
        <v>77</v>
      </c>
      <c r="D776" s="1" t="s">
        <v>547</v>
      </c>
      <c r="E776" s="1" t="s">
        <v>548</v>
      </c>
      <c r="F776" s="1" t="s">
        <v>378</v>
      </c>
      <c r="G776" s="1" t="n">
        <f aca="false">IF(ISNUMBER(E776),E776,VALUE(SUBSTITUTE(E776,"#",".01")))</f>
        <v>-32040.01</v>
      </c>
    </row>
    <row r="777" customFormat="false" ht="12.75" hidden="false" customHeight="false" outlineLevel="0" collapsed="false">
      <c r="A777" s="1" t="n">
        <v>50</v>
      </c>
      <c r="B777" s="1" t="n">
        <v>28</v>
      </c>
      <c r="C777" s="1" t="n">
        <v>78</v>
      </c>
      <c r="D777" s="1" t="s">
        <v>22</v>
      </c>
      <c r="E777" s="1" t="s">
        <v>549</v>
      </c>
      <c r="F777" s="1" t="s">
        <v>387</v>
      </c>
      <c r="G777" s="1" t="n">
        <f aca="false">IF(ISNUMBER(E777),E777,VALUE(SUBSTITUTE(E777,"#",".01")))</f>
        <v>-33890.01</v>
      </c>
    </row>
    <row r="778" customFormat="false" ht="12.75" hidden="false" customHeight="false" outlineLevel="0" collapsed="false">
      <c r="A778" s="1" t="n">
        <v>49</v>
      </c>
      <c r="B778" s="1" t="n">
        <v>29</v>
      </c>
      <c r="C778" s="1" t="n">
        <v>78</v>
      </c>
      <c r="D778" s="1" t="s">
        <v>437</v>
      </c>
      <c r="E778" s="1" t="n">
        <v>-44497.469</v>
      </c>
      <c r="F778" s="1" t="n">
        <v>503.007</v>
      </c>
      <c r="G778" s="1" t="n">
        <f aca="false">IF(ISNUMBER(E778),E778,VALUE(SUBSTITUTE(E778,"#",".01")))</f>
        <v>-44497.469</v>
      </c>
    </row>
    <row r="779" customFormat="false" ht="12.75" hidden="false" customHeight="false" outlineLevel="0" collapsed="false">
      <c r="A779" s="1" t="n">
        <v>48</v>
      </c>
      <c r="B779" s="1" t="n">
        <v>30</v>
      </c>
      <c r="C779" s="1" t="n">
        <v>78</v>
      </c>
      <c r="D779" s="1" t="s">
        <v>443</v>
      </c>
      <c r="E779" s="1" t="n">
        <v>-57483.235</v>
      </c>
      <c r="F779" s="1" t="n">
        <v>1.944</v>
      </c>
      <c r="G779" s="1" t="n">
        <f aca="false">IF(ISNUMBER(E779),E779,VALUE(SUBSTITUTE(E779,"#",".01")))</f>
        <v>-57483.235</v>
      </c>
    </row>
    <row r="780" customFormat="false" ht="12.75" hidden="false" customHeight="false" outlineLevel="0" collapsed="false">
      <c r="A780" s="1" t="n">
        <v>47</v>
      </c>
      <c r="B780" s="1" t="n">
        <v>31</v>
      </c>
      <c r="C780" s="1" t="n">
        <v>78</v>
      </c>
      <c r="D780" s="1" t="s">
        <v>452</v>
      </c>
      <c r="E780" s="1" t="n">
        <v>-63705.95</v>
      </c>
      <c r="F780" s="1" t="n">
        <v>1.903</v>
      </c>
      <c r="G780" s="1" t="n">
        <f aca="false">IF(ISNUMBER(E780),E780,VALUE(SUBSTITUTE(E780,"#",".01")))</f>
        <v>-63705.95</v>
      </c>
    </row>
    <row r="781" customFormat="false" ht="12.75" hidden="false" customHeight="false" outlineLevel="0" collapsed="false">
      <c r="A781" s="1" t="n">
        <v>46</v>
      </c>
      <c r="B781" s="1" t="n">
        <v>32</v>
      </c>
      <c r="C781" s="1" t="n">
        <v>78</v>
      </c>
      <c r="D781" s="1" t="s">
        <v>461</v>
      </c>
      <c r="E781" s="1" t="n">
        <v>-71862.05</v>
      </c>
      <c r="F781" s="1" t="n">
        <v>3.536</v>
      </c>
      <c r="G781" s="1" t="n">
        <f aca="false">IF(ISNUMBER(E781),E781,VALUE(SUBSTITUTE(E781,"#",".01")))</f>
        <v>-71862.05</v>
      </c>
    </row>
    <row r="782" customFormat="false" ht="12.75" hidden="false" customHeight="false" outlineLevel="0" collapsed="false">
      <c r="A782" s="1" t="n">
        <v>45</v>
      </c>
      <c r="B782" s="1" t="n">
        <v>33</v>
      </c>
      <c r="C782" s="1" t="n">
        <v>78</v>
      </c>
      <c r="D782" s="1" t="s">
        <v>471</v>
      </c>
      <c r="E782" s="1" t="n">
        <v>-72816.94</v>
      </c>
      <c r="F782" s="1" t="n">
        <v>9.781</v>
      </c>
      <c r="G782" s="1" t="n">
        <f aca="false">IF(ISNUMBER(E782),E782,VALUE(SUBSTITUTE(E782,"#",".01")))</f>
        <v>-72816.94</v>
      </c>
    </row>
    <row r="783" customFormat="false" ht="12.75" hidden="false" customHeight="false" outlineLevel="0" collapsed="false">
      <c r="A783" s="1" t="n">
        <v>44</v>
      </c>
      <c r="B783" s="1" t="n">
        <v>34</v>
      </c>
      <c r="C783" s="1" t="n">
        <v>78</v>
      </c>
      <c r="D783" s="1" t="s">
        <v>489</v>
      </c>
      <c r="E783" s="1" t="n">
        <v>-77025.944</v>
      </c>
      <c r="F783" s="1" t="n">
        <v>0.179</v>
      </c>
      <c r="G783" s="1" t="n">
        <f aca="false">IF(ISNUMBER(E783),E783,VALUE(SUBSTITUTE(E783,"#",".01")))</f>
        <v>-77025.944</v>
      </c>
    </row>
    <row r="784" customFormat="false" ht="12.75" hidden="false" customHeight="false" outlineLevel="0" collapsed="false">
      <c r="A784" s="1" t="n">
        <v>43</v>
      </c>
      <c r="B784" s="1" t="n">
        <v>35</v>
      </c>
      <c r="C784" s="1" t="n">
        <v>78</v>
      </c>
      <c r="D784" s="1" t="s">
        <v>500</v>
      </c>
      <c r="E784" s="1" t="n">
        <v>-73452.16</v>
      </c>
      <c r="F784" s="1" t="n">
        <v>3.58</v>
      </c>
      <c r="G784" s="1" t="n">
        <f aca="false">IF(ISNUMBER(E784),E784,VALUE(SUBSTITUTE(E784,"#",".01")))</f>
        <v>-73452.16</v>
      </c>
    </row>
    <row r="785" customFormat="false" ht="12.75" hidden="false" customHeight="false" outlineLevel="0" collapsed="false">
      <c r="A785" s="1" t="n">
        <v>42</v>
      </c>
      <c r="B785" s="1" t="n">
        <v>36</v>
      </c>
      <c r="C785" s="1" t="n">
        <v>78</v>
      </c>
      <c r="D785" s="1" t="s">
        <v>509</v>
      </c>
      <c r="E785" s="1" t="n">
        <v>-74178.275</v>
      </c>
      <c r="F785" s="1" t="n">
        <v>0.307</v>
      </c>
      <c r="G785" s="1" t="n">
        <f aca="false">IF(ISNUMBER(E785),E785,VALUE(SUBSTITUTE(E785,"#",".01")))</f>
        <v>-74178.275</v>
      </c>
    </row>
    <row r="786" customFormat="false" ht="12.75" hidden="false" customHeight="false" outlineLevel="0" collapsed="false">
      <c r="A786" s="1" t="n">
        <v>41</v>
      </c>
      <c r="B786" s="1" t="n">
        <v>37</v>
      </c>
      <c r="C786" s="1" t="n">
        <v>78</v>
      </c>
      <c r="D786" s="1" t="s">
        <v>518</v>
      </c>
      <c r="E786" s="1" t="n">
        <v>-66935.419</v>
      </c>
      <c r="F786" s="1" t="n">
        <v>3.237</v>
      </c>
      <c r="G786" s="1" t="n">
        <f aca="false">IF(ISNUMBER(E786),E786,VALUE(SUBSTITUTE(E786,"#",".01")))</f>
        <v>-66935.419</v>
      </c>
    </row>
    <row r="787" customFormat="false" ht="12.75" hidden="false" customHeight="false" outlineLevel="0" collapsed="false">
      <c r="A787" s="1" t="n">
        <v>40</v>
      </c>
      <c r="B787" s="1" t="n">
        <v>38</v>
      </c>
      <c r="C787" s="1" t="n">
        <v>78</v>
      </c>
      <c r="D787" s="1" t="s">
        <v>527</v>
      </c>
      <c r="E787" s="1" t="n">
        <v>-63173.941</v>
      </c>
      <c r="F787" s="1" t="n">
        <v>7.452</v>
      </c>
      <c r="G787" s="1" t="n">
        <f aca="false">IF(ISNUMBER(E787),E787,VALUE(SUBSTITUTE(E787,"#",".01")))</f>
        <v>-63173.941</v>
      </c>
    </row>
    <row r="788" customFormat="false" ht="12.75" hidden="false" customHeight="false" outlineLevel="0" collapsed="false">
      <c r="A788" s="1" t="n">
        <v>39</v>
      </c>
      <c r="B788" s="1" t="n">
        <v>39</v>
      </c>
      <c r="C788" s="1" t="n">
        <v>78</v>
      </c>
      <c r="D788" s="1" t="s">
        <v>537</v>
      </c>
      <c r="E788" s="1" t="s">
        <v>550</v>
      </c>
      <c r="F788" s="1" t="s">
        <v>360</v>
      </c>
      <c r="G788" s="1" t="n">
        <f aca="false">IF(ISNUMBER(E788),E788,VALUE(SUBSTITUTE(E788,"#",".01")))</f>
        <v>-52173.01</v>
      </c>
    </row>
    <row r="789" customFormat="false" ht="12.75" hidden="false" customHeight="false" outlineLevel="0" collapsed="false">
      <c r="A789" s="1" t="n">
        <v>38</v>
      </c>
      <c r="B789" s="1" t="n">
        <v>40</v>
      </c>
      <c r="C789" s="1" t="n">
        <v>78</v>
      </c>
      <c r="D789" s="1" t="s">
        <v>547</v>
      </c>
      <c r="E789" s="1" t="s">
        <v>551</v>
      </c>
      <c r="F789" s="1" t="s">
        <v>378</v>
      </c>
      <c r="G789" s="1" t="n">
        <f aca="false">IF(ISNUMBER(E789),E789,VALUE(SUBSTITUTE(E789,"#",".01")))</f>
        <v>-40850.01</v>
      </c>
    </row>
    <row r="790" customFormat="false" ht="12.75" hidden="false" customHeight="false" outlineLevel="0" collapsed="false">
      <c r="A790" s="1" t="n">
        <v>51</v>
      </c>
      <c r="B790" s="1" t="n">
        <v>28</v>
      </c>
      <c r="C790" s="1" t="n">
        <v>79</v>
      </c>
      <c r="D790" s="1" t="s">
        <v>22</v>
      </c>
      <c r="E790" s="1" t="s">
        <v>552</v>
      </c>
      <c r="F790" s="1" t="s">
        <v>387</v>
      </c>
      <c r="G790" s="1" t="n">
        <f aca="false">IF(ISNUMBER(E790),E790,VALUE(SUBSTITUTE(E790,"#",".01")))</f>
        <v>-27570.01</v>
      </c>
    </row>
    <row r="791" customFormat="false" ht="12.75" hidden="false" customHeight="false" outlineLevel="0" collapsed="false">
      <c r="A791" s="1" t="n">
        <v>50</v>
      </c>
      <c r="B791" s="1" t="n">
        <v>29</v>
      </c>
      <c r="C791" s="1" t="n">
        <v>79</v>
      </c>
      <c r="D791" s="1" t="s">
        <v>437</v>
      </c>
      <c r="E791" s="1" t="s">
        <v>479</v>
      </c>
      <c r="F791" s="1" t="s">
        <v>371</v>
      </c>
      <c r="G791" s="1" t="n">
        <f aca="false">IF(ISNUMBER(E791),E791,VALUE(SUBSTITUTE(E791,"#",".01")))</f>
        <v>-41740.01</v>
      </c>
    </row>
    <row r="792" customFormat="false" ht="12.75" hidden="false" customHeight="false" outlineLevel="0" collapsed="false">
      <c r="A792" s="1" t="n">
        <v>49</v>
      </c>
      <c r="B792" s="1" t="n">
        <v>30</v>
      </c>
      <c r="C792" s="1" t="n">
        <v>79</v>
      </c>
      <c r="D792" s="1" t="s">
        <v>443</v>
      </c>
      <c r="E792" s="1" t="n">
        <v>-53432.295</v>
      </c>
      <c r="F792" s="1" t="n">
        <v>2.225</v>
      </c>
      <c r="G792" s="1" t="n">
        <f aca="false">IF(ISNUMBER(E792),E792,VALUE(SUBSTITUTE(E792,"#",".01")))</f>
        <v>-53432.295</v>
      </c>
    </row>
    <row r="793" customFormat="false" ht="12.75" hidden="false" customHeight="false" outlineLevel="0" collapsed="false">
      <c r="A793" s="1" t="n">
        <v>48</v>
      </c>
      <c r="B793" s="1" t="n">
        <v>31</v>
      </c>
      <c r="C793" s="1" t="n">
        <v>79</v>
      </c>
      <c r="D793" s="1" t="s">
        <v>452</v>
      </c>
      <c r="E793" s="1" t="n">
        <v>-62547.679</v>
      </c>
      <c r="F793" s="1" t="n">
        <v>1.868</v>
      </c>
      <c r="G793" s="1" t="n">
        <f aca="false">IF(ISNUMBER(E793),E793,VALUE(SUBSTITUTE(E793,"#",".01")))</f>
        <v>-62547.679</v>
      </c>
    </row>
    <row r="794" customFormat="false" ht="12.75" hidden="false" customHeight="false" outlineLevel="0" collapsed="false">
      <c r="A794" s="1" t="n">
        <v>47</v>
      </c>
      <c r="B794" s="1" t="n">
        <v>32</v>
      </c>
      <c r="C794" s="1" t="n">
        <v>79</v>
      </c>
      <c r="D794" s="1" t="s">
        <v>461</v>
      </c>
      <c r="E794" s="1" t="n">
        <v>-69526.592</v>
      </c>
      <c r="F794" s="1" t="n">
        <v>37.181</v>
      </c>
      <c r="G794" s="1" t="n">
        <f aca="false">IF(ISNUMBER(E794),E794,VALUE(SUBSTITUTE(E794,"#",".01")))</f>
        <v>-69526.592</v>
      </c>
    </row>
    <row r="795" customFormat="false" ht="12.75" hidden="false" customHeight="false" outlineLevel="0" collapsed="false">
      <c r="A795" s="1" t="n">
        <v>46</v>
      </c>
      <c r="B795" s="1" t="n">
        <v>33</v>
      </c>
      <c r="C795" s="1" t="n">
        <v>79</v>
      </c>
      <c r="D795" s="1" t="s">
        <v>471</v>
      </c>
      <c r="E795" s="1" t="n">
        <v>-73636.049</v>
      </c>
      <c r="F795" s="1" t="n">
        <v>5.328</v>
      </c>
      <c r="G795" s="1" t="n">
        <f aca="false">IF(ISNUMBER(E795),E795,VALUE(SUBSTITUTE(E795,"#",".01")))</f>
        <v>-73636.049</v>
      </c>
    </row>
    <row r="796" customFormat="false" ht="12.75" hidden="false" customHeight="false" outlineLevel="0" collapsed="false">
      <c r="A796" s="1" t="n">
        <v>45</v>
      </c>
      <c r="B796" s="1" t="n">
        <v>34</v>
      </c>
      <c r="C796" s="1" t="n">
        <v>79</v>
      </c>
      <c r="D796" s="1" t="s">
        <v>489</v>
      </c>
      <c r="E796" s="1" t="n">
        <v>-75917.459</v>
      </c>
      <c r="F796" s="1" t="n">
        <v>0.223</v>
      </c>
      <c r="G796" s="1" t="n">
        <f aca="false">IF(ISNUMBER(E796),E796,VALUE(SUBSTITUTE(E796,"#",".01")))</f>
        <v>-75917.459</v>
      </c>
    </row>
    <row r="797" customFormat="false" ht="12.75" hidden="false" customHeight="false" outlineLevel="0" collapsed="false">
      <c r="A797" s="1" t="n">
        <v>44</v>
      </c>
      <c r="B797" s="1" t="n">
        <v>35</v>
      </c>
      <c r="C797" s="1" t="n">
        <v>79</v>
      </c>
      <c r="D797" s="1" t="s">
        <v>500</v>
      </c>
      <c r="E797" s="1" t="n">
        <v>-76068.035</v>
      </c>
      <c r="F797" s="1" t="n">
        <v>1.021</v>
      </c>
      <c r="G797" s="1" t="n">
        <f aca="false">IF(ISNUMBER(E797),E797,VALUE(SUBSTITUTE(E797,"#",".01")))</f>
        <v>-76068.035</v>
      </c>
    </row>
    <row r="798" customFormat="false" ht="12.75" hidden="false" customHeight="false" outlineLevel="0" collapsed="false">
      <c r="A798" s="1" t="n">
        <v>43</v>
      </c>
      <c r="B798" s="1" t="n">
        <v>36</v>
      </c>
      <c r="C798" s="1" t="n">
        <v>79</v>
      </c>
      <c r="D798" s="1" t="s">
        <v>509</v>
      </c>
      <c r="E798" s="1" t="n">
        <v>-74442.257</v>
      </c>
      <c r="F798" s="1" t="n">
        <v>3.486</v>
      </c>
      <c r="G798" s="1" t="n">
        <f aca="false">IF(ISNUMBER(E798),E798,VALUE(SUBSTITUTE(E798,"#",".01")))</f>
        <v>-74442.257</v>
      </c>
    </row>
    <row r="799" customFormat="false" ht="12.75" hidden="false" customHeight="false" outlineLevel="0" collapsed="false">
      <c r="A799" s="1" t="n">
        <v>42</v>
      </c>
      <c r="B799" s="1" t="n">
        <v>37</v>
      </c>
      <c r="C799" s="1" t="n">
        <v>79</v>
      </c>
      <c r="D799" s="1" t="s">
        <v>518</v>
      </c>
      <c r="E799" s="1" t="n">
        <v>-70802.985</v>
      </c>
      <c r="F799" s="1" t="n">
        <v>2.142</v>
      </c>
      <c r="G799" s="1" t="n">
        <f aca="false">IF(ISNUMBER(E799),E799,VALUE(SUBSTITUTE(E799,"#",".01")))</f>
        <v>-70802.985</v>
      </c>
    </row>
    <row r="800" customFormat="false" ht="12.75" hidden="false" customHeight="false" outlineLevel="0" collapsed="false">
      <c r="A800" s="1" t="n">
        <v>41</v>
      </c>
      <c r="B800" s="1" t="n">
        <v>38</v>
      </c>
      <c r="C800" s="1" t="n">
        <v>79</v>
      </c>
      <c r="D800" s="1" t="s">
        <v>527</v>
      </c>
      <c r="E800" s="1" t="n">
        <v>-65476.889</v>
      </c>
      <c r="F800" s="1" t="n">
        <v>8.383</v>
      </c>
      <c r="G800" s="1" t="n">
        <f aca="false">IF(ISNUMBER(E800),E800,VALUE(SUBSTITUTE(E800,"#",".01")))</f>
        <v>-65476.889</v>
      </c>
    </row>
    <row r="801" customFormat="false" ht="12.75" hidden="false" customHeight="false" outlineLevel="0" collapsed="false">
      <c r="A801" s="1" t="n">
        <v>40</v>
      </c>
      <c r="B801" s="1" t="n">
        <v>39</v>
      </c>
      <c r="C801" s="1" t="n">
        <v>79</v>
      </c>
      <c r="D801" s="1" t="s">
        <v>537</v>
      </c>
      <c r="E801" s="1" t="n">
        <v>-57817.833</v>
      </c>
      <c r="F801" s="1" t="n">
        <v>79.177</v>
      </c>
      <c r="G801" s="1" t="n">
        <f aca="false">IF(ISNUMBER(E801),E801,VALUE(SUBSTITUTE(E801,"#",".01")))</f>
        <v>-57817.833</v>
      </c>
    </row>
    <row r="802" customFormat="false" ht="12.75" hidden="false" customHeight="false" outlineLevel="0" collapsed="false">
      <c r="A802" s="1" t="n">
        <v>39</v>
      </c>
      <c r="B802" s="1" t="n">
        <v>40</v>
      </c>
      <c r="C802" s="1" t="n">
        <v>79</v>
      </c>
      <c r="D802" s="1" t="s">
        <v>547</v>
      </c>
      <c r="E802" s="1" t="s">
        <v>553</v>
      </c>
      <c r="F802" s="1" t="s">
        <v>371</v>
      </c>
      <c r="G802" s="1" t="n">
        <f aca="false">IF(ISNUMBER(E802),E802,VALUE(SUBSTITUTE(E802,"#",".01")))</f>
        <v>-46770.01</v>
      </c>
    </row>
    <row r="803" customFormat="false" ht="12.75" hidden="false" customHeight="false" outlineLevel="0" collapsed="false">
      <c r="A803" s="1" t="n">
        <v>38</v>
      </c>
      <c r="B803" s="1" t="n">
        <v>41</v>
      </c>
      <c r="C803" s="1" t="n">
        <v>79</v>
      </c>
      <c r="D803" s="1" t="s">
        <v>554</v>
      </c>
      <c r="E803" s="1" t="s">
        <v>555</v>
      </c>
      <c r="F803" s="1" t="s">
        <v>337</v>
      </c>
      <c r="G803" s="1" t="n">
        <f aca="false">IF(ISNUMBER(E803),E803,VALUE(SUBSTITUTE(E803,"#",".01")))</f>
        <v>-31650.01</v>
      </c>
    </row>
    <row r="804" customFormat="false" ht="12.75" hidden="false" customHeight="false" outlineLevel="0" collapsed="false">
      <c r="A804" s="1" t="n">
        <v>52</v>
      </c>
      <c r="B804" s="1" t="n">
        <v>28</v>
      </c>
      <c r="C804" s="1" t="n">
        <v>80</v>
      </c>
      <c r="D804" s="1" t="s">
        <v>22</v>
      </c>
      <c r="E804" s="1" t="s">
        <v>556</v>
      </c>
      <c r="F804" s="1" t="s">
        <v>401</v>
      </c>
      <c r="G804" s="1" t="n">
        <f aca="false">IF(ISNUMBER(E804),E804,VALUE(SUBSTITUTE(E804,"#",".01")))</f>
        <v>-22630.01</v>
      </c>
    </row>
    <row r="805" customFormat="false" ht="12.75" hidden="false" customHeight="false" outlineLevel="0" collapsed="false">
      <c r="A805" s="1" t="n">
        <v>51</v>
      </c>
      <c r="B805" s="1" t="n">
        <v>29</v>
      </c>
      <c r="C805" s="1" t="n">
        <v>80</v>
      </c>
      <c r="D805" s="1" t="s">
        <v>437</v>
      </c>
      <c r="E805" s="1" t="s">
        <v>557</v>
      </c>
      <c r="F805" s="1" t="s">
        <v>378</v>
      </c>
      <c r="G805" s="1" t="n">
        <f aca="false">IF(ISNUMBER(E805),E805,VALUE(SUBSTITUTE(E805,"#",".01")))</f>
        <v>-36200.01</v>
      </c>
    </row>
    <row r="806" customFormat="false" ht="12.75" hidden="false" customHeight="false" outlineLevel="0" collapsed="false">
      <c r="A806" s="1" t="n">
        <v>50</v>
      </c>
      <c r="B806" s="1" t="n">
        <v>30</v>
      </c>
      <c r="C806" s="1" t="n">
        <v>80</v>
      </c>
      <c r="D806" s="1" t="s">
        <v>443</v>
      </c>
      <c r="E806" s="1" t="n">
        <v>-51648.612</v>
      </c>
      <c r="F806" s="1" t="n">
        <v>2.585</v>
      </c>
      <c r="G806" s="1" t="n">
        <f aca="false">IF(ISNUMBER(E806),E806,VALUE(SUBSTITUTE(E806,"#",".01")))</f>
        <v>-51648.612</v>
      </c>
    </row>
    <row r="807" customFormat="false" ht="12.75" hidden="false" customHeight="false" outlineLevel="0" collapsed="false">
      <c r="A807" s="1" t="n">
        <v>49</v>
      </c>
      <c r="B807" s="1" t="n">
        <v>31</v>
      </c>
      <c r="C807" s="1" t="n">
        <v>80</v>
      </c>
      <c r="D807" s="1" t="s">
        <v>452</v>
      </c>
      <c r="E807" s="1" t="n">
        <v>-59223.667</v>
      </c>
      <c r="F807" s="1" t="n">
        <v>2.891</v>
      </c>
      <c r="G807" s="1" t="n">
        <f aca="false">IF(ISNUMBER(E807),E807,VALUE(SUBSTITUTE(E807,"#",".01")))</f>
        <v>-59223.667</v>
      </c>
    </row>
    <row r="808" customFormat="false" ht="12.75" hidden="false" customHeight="false" outlineLevel="0" collapsed="false">
      <c r="A808" s="1" t="n">
        <v>48</v>
      </c>
      <c r="B808" s="1" t="n">
        <v>32</v>
      </c>
      <c r="C808" s="1" t="n">
        <v>80</v>
      </c>
      <c r="D808" s="1" t="s">
        <v>461</v>
      </c>
      <c r="E808" s="1" t="n">
        <v>-69535.306</v>
      </c>
      <c r="F808" s="1" t="n">
        <v>2.054</v>
      </c>
      <c r="G808" s="1" t="n">
        <f aca="false">IF(ISNUMBER(E808),E808,VALUE(SUBSTITUTE(E808,"#",".01")))</f>
        <v>-69535.306</v>
      </c>
    </row>
    <row r="809" customFormat="false" ht="12.75" hidden="false" customHeight="false" outlineLevel="0" collapsed="false">
      <c r="A809" s="1" t="n">
        <v>47</v>
      </c>
      <c r="B809" s="1" t="n">
        <v>33</v>
      </c>
      <c r="C809" s="1" t="n">
        <v>80</v>
      </c>
      <c r="D809" s="1" t="s">
        <v>471</v>
      </c>
      <c r="E809" s="1" t="n">
        <v>-72214.493</v>
      </c>
      <c r="F809" s="1" t="n">
        <v>3.333</v>
      </c>
      <c r="G809" s="1" t="n">
        <f aca="false">IF(ISNUMBER(E809),E809,VALUE(SUBSTITUTE(E809,"#",".01")))</f>
        <v>-72214.493</v>
      </c>
    </row>
    <row r="810" customFormat="false" ht="12.75" hidden="false" customHeight="false" outlineLevel="0" collapsed="false">
      <c r="A810" s="1" t="n">
        <v>46</v>
      </c>
      <c r="B810" s="1" t="n">
        <v>34</v>
      </c>
      <c r="C810" s="1" t="n">
        <v>80</v>
      </c>
      <c r="D810" s="1" t="s">
        <v>489</v>
      </c>
      <c r="E810" s="1" t="n">
        <v>-77759.457</v>
      </c>
      <c r="F810" s="1" t="n">
        <v>0.963</v>
      </c>
      <c r="G810" s="1" t="n">
        <f aca="false">IF(ISNUMBER(E810),E810,VALUE(SUBSTITUTE(E810,"#",".01")))</f>
        <v>-77759.457</v>
      </c>
    </row>
    <row r="811" customFormat="false" ht="12.75" hidden="false" customHeight="false" outlineLevel="0" collapsed="false">
      <c r="A811" s="1" t="n">
        <v>45</v>
      </c>
      <c r="B811" s="1" t="n">
        <v>35</v>
      </c>
      <c r="C811" s="1" t="n">
        <v>80</v>
      </c>
      <c r="D811" s="1" t="s">
        <v>500</v>
      </c>
      <c r="E811" s="1" t="n">
        <v>-75888.993</v>
      </c>
      <c r="F811" s="1" t="n">
        <v>1.012</v>
      </c>
      <c r="G811" s="1" t="n">
        <f aca="false">IF(ISNUMBER(E811),E811,VALUE(SUBSTITUTE(E811,"#",".01")))</f>
        <v>-75888.993</v>
      </c>
    </row>
    <row r="812" customFormat="false" ht="12.75" hidden="false" customHeight="false" outlineLevel="0" collapsed="false">
      <c r="A812" s="1" t="n">
        <v>44</v>
      </c>
      <c r="B812" s="1" t="n">
        <v>36</v>
      </c>
      <c r="C812" s="1" t="n">
        <v>80</v>
      </c>
      <c r="D812" s="1" t="s">
        <v>509</v>
      </c>
      <c r="E812" s="1" t="n">
        <v>-77893.346</v>
      </c>
      <c r="F812" s="1" t="n">
        <v>0.691</v>
      </c>
      <c r="G812" s="1" t="n">
        <f aca="false">IF(ISNUMBER(E812),E812,VALUE(SUBSTITUTE(E812,"#",".01")))</f>
        <v>-77893.346</v>
      </c>
    </row>
    <row r="813" customFormat="false" ht="12.75" hidden="false" customHeight="false" outlineLevel="0" collapsed="false">
      <c r="A813" s="1" t="n">
        <v>43</v>
      </c>
      <c r="B813" s="1" t="n">
        <v>37</v>
      </c>
      <c r="C813" s="1" t="n">
        <v>80</v>
      </c>
      <c r="D813" s="1" t="s">
        <v>518</v>
      </c>
      <c r="E813" s="1" t="n">
        <v>-72175.467</v>
      </c>
      <c r="F813" s="1" t="n">
        <v>1.863</v>
      </c>
      <c r="G813" s="1" t="n">
        <f aca="false">IF(ISNUMBER(E813),E813,VALUE(SUBSTITUTE(E813,"#",".01")))</f>
        <v>-72175.467</v>
      </c>
    </row>
    <row r="814" customFormat="false" ht="12.75" hidden="false" customHeight="false" outlineLevel="0" collapsed="false">
      <c r="A814" s="1" t="n">
        <v>42</v>
      </c>
      <c r="B814" s="1" t="n">
        <v>38</v>
      </c>
      <c r="C814" s="1" t="n">
        <v>80</v>
      </c>
      <c r="D814" s="1" t="s">
        <v>527</v>
      </c>
      <c r="E814" s="1" t="n">
        <v>-70311.459</v>
      </c>
      <c r="F814" s="1" t="n">
        <v>3.464</v>
      </c>
      <c r="G814" s="1" t="n">
        <f aca="false">IF(ISNUMBER(E814),E814,VALUE(SUBSTITUTE(E814,"#",".01")))</f>
        <v>-70311.459</v>
      </c>
    </row>
    <row r="815" customFormat="false" ht="12.75" hidden="false" customHeight="false" outlineLevel="0" collapsed="false">
      <c r="A815" s="1" t="n">
        <v>41</v>
      </c>
      <c r="B815" s="1" t="n">
        <v>39</v>
      </c>
      <c r="C815" s="1" t="n">
        <v>80</v>
      </c>
      <c r="D815" s="1" t="s">
        <v>537</v>
      </c>
      <c r="E815" s="1" t="n">
        <v>-61148.152</v>
      </c>
      <c r="F815" s="1" t="n">
        <v>6.242</v>
      </c>
      <c r="G815" s="1" t="n">
        <f aca="false">IF(ISNUMBER(E815),E815,VALUE(SUBSTITUTE(E815,"#",".01")))</f>
        <v>-61148.152</v>
      </c>
    </row>
    <row r="816" customFormat="false" ht="12.75" hidden="false" customHeight="false" outlineLevel="0" collapsed="false">
      <c r="A816" s="1" t="n">
        <v>40</v>
      </c>
      <c r="B816" s="1" t="n">
        <v>40</v>
      </c>
      <c r="C816" s="1" t="n">
        <v>80</v>
      </c>
      <c r="D816" s="1" t="s">
        <v>547</v>
      </c>
      <c r="E816" s="1" t="s">
        <v>558</v>
      </c>
      <c r="F816" s="1" t="s">
        <v>371</v>
      </c>
      <c r="G816" s="1" t="n">
        <f aca="false">IF(ISNUMBER(E816),E816,VALUE(SUBSTITUTE(E816,"#",".01")))</f>
        <v>-54360.01</v>
      </c>
    </row>
    <row r="817" customFormat="false" ht="12.75" hidden="false" customHeight="false" outlineLevel="0" collapsed="false">
      <c r="A817" s="1" t="n">
        <v>39</v>
      </c>
      <c r="B817" s="1" t="n">
        <v>41</v>
      </c>
      <c r="C817" s="1" t="n">
        <v>80</v>
      </c>
      <c r="D817" s="1" t="s">
        <v>554</v>
      </c>
      <c r="E817" s="1" t="s">
        <v>559</v>
      </c>
      <c r="F817" s="1" t="s">
        <v>378</v>
      </c>
      <c r="G817" s="1" t="n">
        <f aca="false">IF(ISNUMBER(E817),E817,VALUE(SUBSTITUTE(E817,"#",".01")))</f>
        <v>-38420.01</v>
      </c>
    </row>
    <row r="818" customFormat="false" ht="12.75" hidden="false" customHeight="false" outlineLevel="0" collapsed="false">
      <c r="A818" s="1" t="n">
        <v>52</v>
      </c>
      <c r="B818" s="1" t="n">
        <v>29</v>
      </c>
      <c r="C818" s="1" t="n">
        <v>81</v>
      </c>
      <c r="D818" s="1" t="s">
        <v>437</v>
      </c>
      <c r="E818" s="1" t="s">
        <v>560</v>
      </c>
      <c r="F818" s="1" t="s">
        <v>337</v>
      </c>
      <c r="G818" s="1" t="n">
        <f aca="false">IF(ISNUMBER(E818),E818,VALUE(SUBSTITUTE(E818,"#",".01")))</f>
        <v>-31420.01</v>
      </c>
    </row>
    <row r="819" customFormat="false" ht="12.75" hidden="false" customHeight="false" outlineLevel="0" collapsed="false">
      <c r="A819" s="1" t="n">
        <v>51</v>
      </c>
      <c r="B819" s="1" t="n">
        <v>30</v>
      </c>
      <c r="C819" s="1" t="n">
        <v>81</v>
      </c>
      <c r="D819" s="1" t="s">
        <v>443</v>
      </c>
      <c r="E819" s="1" t="n">
        <v>-46199.663</v>
      </c>
      <c r="F819" s="1" t="n">
        <v>5.03</v>
      </c>
      <c r="G819" s="1" t="n">
        <f aca="false">IF(ISNUMBER(E819),E819,VALUE(SUBSTITUTE(E819,"#",".01")))</f>
        <v>-46199.663</v>
      </c>
    </row>
    <row r="820" customFormat="false" ht="12.75" hidden="false" customHeight="false" outlineLevel="0" collapsed="false">
      <c r="A820" s="1" t="n">
        <v>50</v>
      </c>
      <c r="B820" s="1" t="n">
        <v>31</v>
      </c>
      <c r="C820" s="1" t="n">
        <v>81</v>
      </c>
      <c r="D820" s="1" t="s">
        <v>452</v>
      </c>
      <c r="E820" s="1" t="n">
        <v>-57627.954</v>
      </c>
      <c r="F820" s="1" t="n">
        <v>3.264</v>
      </c>
      <c r="G820" s="1" t="n">
        <f aca="false">IF(ISNUMBER(E820),E820,VALUE(SUBSTITUTE(E820,"#",".01")))</f>
        <v>-57627.954</v>
      </c>
    </row>
    <row r="821" customFormat="false" ht="12.75" hidden="false" customHeight="false" outlineLevel="0" collapsed="false">
      <c r="A821" s="1" t="n">
        <v>49</v>
      </c>
      <c r="B821" s="1" t="n">
        <v>32</v>
      </c>
      <c r="C821" s="1" t="n">
        <v>81</v>
      </c>
      <c r="D821" s="1" t="s">
        <v>461</v>
      </c>
      <c r="E821" s="1" t="n">
        <v>-66291.687</v>
      </c>
      <c r="F821" s="1" t="n">
        <v>2.055</v>
      </c>
      <c r="G821" s="1" t="n">
        <f aca="false">IF(ISNUMBER(E821),E821,VALUE(SUBSTITUTE(E821,"#",".01")))</f>
        <v>-66291.687</v>
      </c>
    </row>
    <row r="822" customFormat="false" ht="12.75" hidden="false" customHeight="false" outlineLevel="0" collapsed="false">
      <c r="A822" s="1" t="n">
        <v>48</v>
      </c>
      <c r="B822" s="1" t="n">
        <v>33</v>
      </c>
      <c r="C822" s="1" t="n">
        <v>81</v>
      </c>
      <c r="D822" s="1" t="s">
        <v>471</v>
      </c>
      <c r="E822" s="1" t="n">
        <v>-72533.304</v>
      </c>
      <c r="F822" s="1" t="n">
        <v>2.644</v>
      </c>
      <c r="G822" s="1" t="n">
        <f aca="false">IF(ISNUMBER(E822),E822,VALUE(SUBSTITUTE(E822,"#",".01")))</f>
        <v>-72533.304</v>
      </c>
    </row>
    <row r="823" customFormat="false" ht="12.75" hidden="false" customHeight="false" outlineLevel="0" collapsed="false">
      <c r="A823" s="1" t="n">
        <v>47</v>
      </c>
      <c r="B823" s="1" t="n">
        <v>34</v>
      </c>
      <c r="C823" s="1" t="n">
        <v>81</v>
      </c>
      <c r="D823" s="1" t="s">
        <v>489</v>
      </c>
      <c r="E823" s="1" t="n">
        <v>-76388.988</v>
      </c>
      <c r="F823" s="1" t="n">
        <v>0.992</v>
      </c>
      <c r="G823" s="1" t="n">
        <f aca="false">IF(ISNUMBER(E823),E823,VALUE(SUBSTITUTE(E823,"#",".01")))</f>
        <v>-76388.988</v>
      </c>
    </row>
    <row r="824" customFormat="false" ht="12.75" hidden="false" customHeight="false" outlineLevel="0" collapsed="false">
      <c r="A824" s="1" t="n">
        <v>46</v>
      </c>
      <c r="B824" s="1" t="n">
        <v>35</v>
      </c>
      <c r="C824" s="1" t="n">
        <v>81</v>
      </c>
      <c r="D824" s="1" t="s">
        <v>500</v>
      </c>
      <c r="E824" s="1" t="n">
        <v>-77977.034</v>
      </c>
      <c r="F824" s="1" t="n">
        <v>0.978</v>
      </c>
      <c r="G824" s="1" t="n">
        <f aca="false">IF(ISNUMBER(E824),E824,VALUE(SUBSTITUTE(E824,"#",".01")))</f>
        <v>-77977.034</v>
      </c>
    </row>
    <row r="825" customFormat="false" ht="12.75" hidden="false" customHeight="false" outlineLevel="0" collapsed="false">
      <c r="A825" s="1" t="n">
        <v>45</v>
      </c>
      <c r="B825" s="1" t="n">
        <v>36</v>
      </c>
      <c r="C825" s="1" t="n">
        <v>81</v>
      </c>
      <c r="D825" s="1" t="s">
        <v>509</v>
      </c>
      <c r="E825" s="1" t="n">
        <v>-77696.181</v>
      </c>
      <c r="F825" s="1" t="n">
        <v>1.074</v>
      </c>
      <c r="G825" s="1" t="n">
        <f aca="false">IF(ISNUMBER(E825),E825,VALUE(SUBSTITUTE(E825,"#",".01")))</f>
        <v>-77696.181</v>
      </c>
    </row>
    <row r="826" customFormat="false" ht="12.75" hidden="false" customHeight="false" outlineLevel="0" collapsed="false">
      <c r="A826" s="1" t="n">
        <v>44</v>
      </c>
      <c r="B826" s="1" t="n">
        <v>37</v>
      </c>
      <c r="C826" s="1" t="n">
        <v>81</v>
      </c>
      <c r="D826" s="1" t="s">
        <v>518</v>
      </c>
      <c r="E826" s="1" t="n">
        <v>-75456.67</v>
      </c>
      <c r="F826" s="1" t="n">
        <v>4.904</v>
      </c>
      <c r="G826" s="1" t="n">
        <f aca="false">IF(ISNUMBER(E826),E826,VALUE(SUBSTITUTE(E826,"#",".01")))</f>
        <v>-75456.67</v>
      </c>
    </row>
    <row r="827" customFormat="false" ht="12.75" hidden="false" customHeight="false" outlineLevel="0" collapsed="false">
      <c r="A827" s="1" t="n">
        <v>43</v>
      </c>
      <c r="B827" s="1" t="n">
        <v>38</v>
      </c>
      <c r="C827" s="1" t="n">
        <v>81</v>
      </c>
      <c r="D827" s="1" t="s">
        <v>527</v>
      </c>
      <c r="E827" s="1" t="n">
        <v>-71528.125</v>
      </c>
      <c r="F827" s="1" t="n">
        <v>3.128</v>
      </c>
      <c r="G827" s="1" t="n">
        <f aca="false">IF(ISNUMBER(E827),E827,VALUE(SUBSTITUTE(E827,"#",".01")))</f>
        <v>-71528.125</v>
      </c>
    </row>
    <row r="828" customFormat="false" ht="12.75" hidden="false" customHeight="false" outlineLevel="0" collapsed="false">
      <c r="A828" s="1" t="n">
        <v>42</v>
      </c>
      <c r="B828" s="1" t="n">
        <v>39</v>
      </c>
      <c r="C828" s="1" t="n">
        <v>81</v>
      </c>
      <c r="D828" s="1" t="s">
        <v>537</v>
      </c>
      <c r="E828" s="1" t="n">
        <v>-65712.912</v>
      </c>
      <c r="F828" s="1" t="n">
        <v>5.405</v>
      </c>
      <c r="G828" s="1" t="n">
        <f aca="false">IF(ISNUMBER(E828),E828,VALUE(SUBSTITUTE(E828,"#",".01")))</f>
        <v>-65712.912</v>
      </c>
    </row>
    <row r="829" customFormat="false" ht="12.75" hidden="false" customHeight="false" outlineLevel="0" collapsed="false">
      <c r="A829" s="1" t="n">
        <v>41</v>
      </c>
      <c r="B829" s="1" t="n">
        <v>40</v>
      </c>
      <c r="C829" s="1" t="n">
        <v>81</v>
      </c>
      <c r="D829" s="1" t="s">
        <v>547</v>
      </c>
      <c r="E829" s="1" t="n">
        <v>-57460.139</v>
      </c>
      <c r="F829" s="1" t="n">
        <v>94.081</v>
      </c>
      <c r="G829" s="1" t="n">
        <f aca="false">IF(ISNUMBER(E829),E829,VALUE(SUBSTITUTE(E829,"#",".01")))</f>
        <v>-57460.139</v>
      </c>
    </row>
    <row r="830" customFormat="false" ht="12.75" hidden="false" customHeight="false" outlineLevel="0" collapsed="false">
      <c r="A830" s="1" t="n">
        <v>40</v>
      </c>
      <c r="B830" s="1" t="n">
        <v>41</v>
      </c>
      <c r="C830" s="1" t="n">
        <v>81</v>
      </c>
      <c r="D830" s="1" t="s">
        <v>554</v>
      </c>
      <c r="E830" s="1" t="s">
        <v>561</v>
      </c>
      <c r="F830" s="1" t="s">
        <v>378</v>
      </c>
      <c r="G830" s="1" t="n">
        <f aca="false">IF(ISNUMBER(E830),E830,VALUE(SUBSTITUTE(E830,"#",".01")))</f>
        <v>-46360.01</v>
      </c>
    </row>
    <row r="831" customFormat="false" ht="12.75" hidden="false" customHeight="false" outlineLevel="0" collapsed="false">
      <c r="A831" s="1" t="n">
        <v>39</v>
      </c>
      <c r="B831" s="1" t="n">
        <v>42</v>
      </c>
      <c r="C831" s="1" t="n">
        <v>81</v>
      </c>
      <c r="D831" s="1" t="s">
        <v>562</v>
      </c>
      <c r="E831" s="1" t="s">
        <v>563</v>
      </c>
      <c r="F831" s="1" t="s">
        <v>337</v>
      </c>
      <c r="G831" s="1" t="n">
        <f aca="false">IF(ISNUMBER(E831),E831,VALUE(SUBSTITUTE(E831,"#",".01")))</f>
        <v>-31750.01</v>
      </c>
    </row>
    <row r="832" customFormat="false" ht="12.75" hidden="false" customHeight="false" outlineLevel="0" collapsed="false">
      <c r="A832" s="1" t="n">
        <v>53</v>
      </c>
      <c r="B832" s="1" t="n">
        <v>29</v>
      </c>
      <c r="C832" s="1" t="n">
        <v>82</v>
      </c>
      <c r="D832" s="1" t="s">
        <v>437</v>
      </c>
      <c r="E832" s="1" t="s">
        <v>564</v>
      </c>
      <c r="F832" s="1" t="s">
        <v>387</v>
      </c>
      <c r="G832" s="1" t="n">
        <f aca="false">IF(ISNUMBER(E832),E832,VALUE(SUBSTITUTE(E832,"#",".01")))</f>
        <v>-25320.01</v>
      </c>
    </row>
    <row r="833" customFormat="false" ht="12.75" hidden="false" customHeight="false" outlineLevel="0" collapsed="false">
      <c r="A833" s="1" t="n">
        <v>52</v>
      </c>
      <c r="B833" s="1" t="n">
        <v>30</v>
      </c>
      <c r="C833" s="1" t="n">
        <v>82</v>
      </c>
      <c r="D833" s="1" t="s">
        <v>443</v>
      </c>
      <c r="E833" s="1" t="n">
        <v>-42313.954</v>
      </c>
      <c r="F833" s="1" t="n">
        <v>3.074</v>
      </c>
      <c r="G833" s="1" t="n">
        <f aca="false">IF(ISNUMBER(E833),E833,VALUE(SUBSTITUTE(E833,"#",".01")))</f>
        <v>-42313.954</v>
      </c>
    </row>
    <row r="834" customFormat="false" ht="12.75" hidden="false" customHeight="false" outlineLevel="0" collapsed="false">
      <c r="A834" s="1" t="n">
        <v>51</v>
      </c>
      <c r="B834" s="1" t="n">
        <v>31</v>
      </c>
      <c r="C834" s="1" t="n">
        <v>82</v>
      </c>
      <c r="D834" s="1" t="s">
        <v>452</v>
      </c>
      <c r="E834" s="1" t="n">
        <v>-52930.719</v>
      </c>
      <c r="F834" s="1" t="n">
        <v>2.426</v>
      </c>
      <c r="G834" s="1" t="n">
        <f aca="false">IF(ISNUMBER(E834),E834,VALUE(SUBSTITUTE(E834,"#",".01")))</f>
        <v>-52930.719</v>
      </c>
    </row>
    <row r="835" customFormat="false" ht="12.75" hidden="false" customHeight="false" outlineLevel="0" collapsed="false">
      <c r="A835" s="1" t="n">
        <v>50</v>
      </c>
      <c r="B835" s="1" t="n">
        <v>32</v>
      </c>
      <c r="C835" s="1" t="n">
        <v>82</v>
      </c>
      <c r="D835" s="1" t="s">
        <v>461</v>
      </c>
      <c r="E835" s="1" t="n">
        <v>-65415.067</v>
      </c>
      <c r="F835" s="1" t="n">
        <v>2.241</v>
      </c>
      <c r="G835" s="1" t="n">
        <f aca="false">IF(ISNUMBER(E835),E835,VALUE(SUBSTITUTE(E835,"#",".01")))</f>
        <v>-65415.067</v>
      </c>
    </row>
    <row r="836" customFormat="false" ht="12.75" hidden="false" customHeight="false" outlineLevel="0" collapsed="false">
      <c r="A836" s="1" t="n">
        <v>49</v>
      </c>
      <c r="B836" s="1" t="n">
        <v>33</v>
      </c>
      <c r="C836" s="1" t="n">
        <v>82</v>
      </c>
      <c r="D836" s="1" t="s">
        <v>471</v>
      </c>
      <c r="E836" s="1" t="n">
        <v>-70105.419</v>
      </c>
      <c r="F836" s="1" t="n">
        <v>3.729</v>
      </c>
      <c r="G836" s="1" t="n">
        <f aca="false">IF(ISNUMBER(E836),E836,VALUE(SUBSTITUTE(E836,"#",".01")))</f>
        <v>-70105.419</v>
      </c>
    </row>
    <row r="837" customFormat="false" ht="12.75" hidden="false" customHeight="false" outlineLevel="0" collapsed="false">
      <c r="A837" s="1" t="n">
        <v>48</v>
      </c>
      <c r="B837" s="1" t="n">
        <v>34</v>
      </c>
      <c r="C837" s="1" t="n">
        <v>82</v>
      </c>
      <c r="D837" s="1" t="s">
        <v>489</v>
      </c>
      <c r="E837" s="1" t="n">
        <v>-77593.882</v>
      </c>
      <c r="F837" s="1" t="n">
        <v>0.467</v>
      </c>
      <c r="G837" s="1" t="n">
        <f aca="false">IF(ISNUMBER(E837),E837,VALUE(SUBSTITUTE(E837,"#",".01")))</f>
        <v>-77593.882</v>
      </c>
    </row>
    <row r="838" customFormat="false" ht="12.75" hidden="false" customHeight="false" outlineLevel="0" collapsed="false">
      <c r="A838" s="1" t="n">
        <v>47</v>
      </c>
      <c r="B838" s="1" t="n">
        <v>35</v>
      </c>
      <c r="C838" s="1" t="n">
        <v>82</v>
      </c>
      <c r="D838" s="1" t="s">
        <v>500</v>
      </c>
      <c r="E838" s="1" t="n">
        <v>-77498.661</v>
      </c>
      <c r="F838" s="1" t="n">
        <v>0.971</v>
      </c>
      <c r="G838" s="1" t="n">
        <f aca="false">IF(ISNUMBER(E838),E838,VALUE(SUBSTITUTE(E838,"#",".01")))</f>
        <v>-77498.661</v>
      </c>
    </row>
    <row r="839" customFormat="false" ht="12.75" hidden="false" customHeight="false" outlineLevel="0" collapsed="false">
      <c r="A839" s="1" t="n">
        <v>46</v>
      </c>
      <c r="B839" s="1" t="n">
        <v>36</v>
      </c>
      <c r="C839" s="1" t="n">
        <v>82</v>
      </c>
      <c r="D839" s="1" t="s">
        <v>509</v>
      </c>
      <c r="E839" s="1" t="n">
        <v>-80591.78515</v>
      </c>
      <c r="F839" s="1" t="n">
        <v>0.00549</v>
      </c>
      <c r="G839" s="1" t="n">
        <f aca="false">IF(ISNUMBER(E839),E839,VALUE(SUBSTITUTE(E839,"#",".01")))</f>
        <v>-80591.78515</v>
      </c>
    </row>
    <row r="840" customFormat="false" ht="12.75" hidden="false" customHeight="false" outlineLevel="0" collapsed="false">
      <c r="A840" s="1" t="n">
        <v>45</v>
      </c>
      <c r="B840" s="1" t="n">
        <v>37</v>
      </c>
      <c r="C840" s="1" t="n">
        <v>82</v>
      </c>
      <c r="D840" s="1" t="s">
        <v>518</v>
      </c>
      <c r="E840" s="1" t="n">
        <v>-76187.803</v>
      </c>
      <c r="F840" s="1" t="n">
        <v>3.009</v>
      </c>
      <c r="G840" s="1" t="n">
        <f aca="false">IF(ISNUMBER(E840),E840,VALUE(SUBSTITUTE(E840,"#",".01")))</f>
        <v>-76187.803</v>
      </c>
    </row>
    <row r="841" customFormat="false" ht="12.75" hidden="false" customHeight="false" outlineLevel="0" collapsed="false">
      <c r="A841" s="1" t="n">
        <v>44</v>
      </c>
      <c r="B841" s="1" t="n">
        <v>38</v>
      </c>
      <c r="C841" s="1" t="n">
        <v>82</v>
      </c>
      <c r="D841" s="1" t="s">
        <v>527</v>
      </c>
      <c r="E841" s="1" t="n">
        <v>-76010.053</v>
      </c>
      <c r="F841" s="1" t="n">
        <v>5.992</v>
      </c>
      <c r="G841" s="1" t="n">
        <f aca="false">IF(ISNUMBER(E841),E841,VALUE(SUBSTITUTE(E841,"#",".01")))</f>
        <v>-76010.053</v>
      </c>
    </row>
    <row r="842" customFormat="false" ht="12.75" hidden="false" customHeight="false" outlineLevel="0" collapsed="false">
      <c r="A842" s="1" t="n">
        <v>43</v>
      </c>
      <c r="B842" s="1" t="n">
        <v>39</v>
      </c>
      <c r="C842" s="1" t="n">
        <v>82</v>
      </c>
      <c r="D842" s="1" t="s">
        <v>537</v>
      </c>
      <c r="E842" s="1" t="n">
        <v>-68064.091</v>
      </c>
      <c r="F842" s="1" t="n">
        <v>5.499</v>
      </c>
      <c r="G842" s="1" t="n">
        <f aca="false">IF(ISNUMBER(E842),E842,VALUE(SUBSTITUTE(E842,"#",".01")))</f>
        <v>-68064.091</v>
      </c>
    </row>
    <row r="843" customFormat="false" ht="12.75" hidden="false" customHeight="false" outlineLevel="0" collapsed="false">
      <c r="A843" s="1" t="n">
        <v>42</v>
      </c>
      <c r="B843" s="1" t="n">
        <v>40</v>
      </c>
      <c r="C843" s="1" t="n">
        <v>82</v>
      </c>
      <c r="D843" s="1" t="s">
        <v>547</v>
      </c>
      <c r="E843" s="1" t="n">
        <v>-63631.287</v>
      </c>
      <c r="F843" s="1" t="n">
        <v>11.178</v>
      </c>
      <c r="G843" s="1" t="n">
        <f aca="false">IF(ISNUMBER(E843),E843,VALUE(SUBSTITUTE(E843,"#",".01")))</f>
        <v>-63631.287</v>
      </c>
    </row>
    <row r="844" customFormat="false" ht="12.75" hidden="false" customHeight="false" outlineLevel="0" collapsed="false">
      <c r="A844" s="1" t="n">
        <v>41</v>
      </c>
      <c r="B844" s="1" t="n">
        <v>41</v>
      </c>
      <c r="C844" s="1" t="n">
        <v>82</v>
      </c>
      <c r="D844" s="1" t="s">
        <v>554</v>
      </c>
      <c r="E844" s="1" t="s">
        <v>565</v>
      </c>
      <c r="F844" s="1" t="s">
        <v>371</v>
      </c>
      <c r="G844" s="1" t="n">
        <f aca="false">IF(ISNUMBER(E844),E844,VALUE(SUBSTITUTE(E844,"#",".01")))</f>
        <v>-52090.01</v>
      </c>
    </row>
    <row r="845" customFormat="false" ht="12.75" hidden="false" customHeight="false" outlineLevel="0" collapsed="false">
      <c r="A845" s="1" t="n">
        <v>40</v>
      </c>
      <c r="B845" s="1" t="n">
        <v>42</v>
      </c>
      <c r="C845" s="1" t="n">
        <v>82</v>
      </c>
      <c r="D845" s="1" t="s">
        <v>562</v>
      </c>
      <c r="E845" s="1" t="s">
        <v>566</v>
      </c>
      <c r="F845" s="1" t="s">
        <v>378</v>
      </c>
      <c r="G845" s="1" t="n">
        <f aca="false">IF(ISNUMBER(E845),E845,VALUE(SUBSTITUTE(E845,"#",".01")))</f>
        <v>-40370.01</v>
      </c>
    </row>
    <row r="846" customFormat="false" ht="12.75" hidden="false" customHeight="false" outlineLevel="0" collapsed="false">
      <c r="A846" s="1" t="n">
        <v>53</v>
      </c>
      <c r="B846" s="1" t="n">
        <v>30</v>
      </c>
      <c r="C846" s="1" t="n">
        <v>83</v>
      </c>
      <c r="D846" s="1" t="s">
        <v>443</v>
      </c>
      <c r="E846" s="1" t="s">
        <v>567</v>
      </c>
      <c r="F846" s="1" t="s">
        <v>371</v>
      </c>
      <c r="G846" s="1" t="n">
        <f aca="false">IF(ISNUMBER(E846),E846,VALUE(SUBSTITUTE(E846,"#",".01")))</f>
        <v>-36290.01</v>
      </c>
    </row>
    <row r="847" customFormat="false" ht="12.75" hidden="false" customHeight="false" outlineLevel="0" collapsed="false">
      <c r="A847" s="1" t="n">
        <v>52</v>
      </c>
      <c r="B847" s="1" t="n">
        <v>31</v>
      </c>
      <c r="C847" s="1" t="n">
        <v>83</v>
      </c>
      <c r="D847" s="1" t="s">
        <v>452</v>
      </c>
      <c r="E847" s="1" t="n">
        <v>-49257.122</v>
      </c>
      <c r="F847" s="1" t="n">
        <v>2.613</v>
      </c>
      <c r="G847" s="1" t="n">
        <f aca="false">IF(ISNUMBER(E847),E847,VALUE(SUBSTITUTE(E847,"#",".01")))</f>
        <v>-49257.122</v>
      </c>
    </row>
    <row r="848" customFormat="false" ht="12.75" hidden="false" customHeight="false" outlineLevel="0" collapsed="false">
      <c r="A848" s="1" t="n">
        <v>51</v>
      </c>
      <c r="B848" s="1" t="n">
        <v>32</v>
      </c>
      <c r="C848" s="1" t="n">
        <v>83</v>
      </c>
      <c r="D848" s="1" t="s">
        <v>461</v>
      </c>
      <c r="E848" s="1" t="n">
        <v>-60976.435</v>
      </c>
      <c r="F848" s="1" t="n">
        <v>2.427</v>
      </c>
      <c r="G848" s="1" t="n">
        <f aca="false">IF(ISNUMBER(E848),E848,VALUE(SUBSTITUTE(E848,"#",".01")))</f>
        <v>-60976.435</v>
      </c>
    </row>
    <row r="849" customFormat="false" ht="12.75" hidden="false" customHeight="false" outlineLevel="0" collapsed="false">
      <c r="A849" s="1" t="n">
        <v>50</v>
      </c>
      <c r="B849" s="1" t="n">
        <v>33</v>
      </c>
      <c r="C849" s="1" t="n">
        <v>83</v>
      </c>
      <c r="D849" s="1" t="s">
        <v>471</v>
      </c>
      <c r="E849" s="1" t="n">
        <v>-69669.323</v>
      </c>
      <c r="F849" s="1" t="n">
        <v>2.799</v>
      </c>
      <c r="G849" s="1" t="n">
        <f aca="false">IF(ISNUMBER(E849),E849,VALUE(SUBSTITUTE(E849,"#",".01")))</f>
        <v>-69669.323</v>
      </c>
    </row>
    <row r="850" customFormat="false" ht="12.75" hidden="false" customHeight="false" outlineLevel="0" collapsed="false">
      <c r="A850" s="1" t="n">
        <v>49</v>
      </c>
      <c r="B850" s="1" t="n">
        <v>34</v>
      </c>
      <c r="C850" s="1" t="n">
        <v>83</v>
      </c>
      <c r="D850" s="1" t="s">
        <v>489</v>
      </c>
      <c r="E850" s="1" t="n">
        <v>-75340.53</v>
      </c>
      <c r="F850" s="1" t="n">
        <v>3.036</v>
      </c>
      <c r="G850" s="1" t="n">
        <f aca="false">IF(ISNUMBER(E850),E850,VALUE(SUBSTITUTE(E850,"#",".01")))</f>
        <v>-75340.53</v>
      </c>
    </row>
    <row r="851" customFormat="false" ht="12.75" hidden="false" customHeight="false" outlineLevel="0" collapsed="false">
      <c r="A851" s="1" t="n">
        <v>48</v>
      </c>
      <c r="B851" s="1" t="n">
        <v>35</v>
      </c>
      <c r="C851" s="1" t="n">
        <v>83</v>
      </c>
      <c r="D851" s="1" t="s">
        <v>500</v>
      </c>
      <c r="E851" s="1" t="n">
        <v>-79013.709</v>
      </c>
      <c r="F851" s="1" t="n">
        <v>3.795</v>
      </c>
      <c r="G851" s="1" t="n">
        <f aca="false">IF(ISNUMBER(E851),E851,VALUE(SUBSTITUTE(E851,"#",".01")))</f>
        <v>-79013.709</v>
      </c>
    </row>
    <row r="852" customFormat="false" ht="12.75" hidden="false" customHeight="false" outlineLevel="0" collapsed="false">
      <c r="A852" s="1" t="n">
        <v>47</v>
      </c>
      <c r="B852" s="1" t="n">
        <v>36</v>
      </c>
      <c r="C852" s="1" t="n">
        <v>83</v>
      </c>
      <c r="D852" s="1" t="s">
        <v>509</v>
      </c>
      <c r="E852" s="1" t="n">
        <v>-79990.633</v>
      </c>
      <c r="F852" s="1" t="n">
        <v>0.009</v>
      </c>
      <c r="G852" s="1" t="n">
        <f aca="false">IF(ISNUMBER(E852),E852,VALUE(SUBSTITUTE(E852,"#",".01")))</f>
        <v>-79990.633</v>
      </c>
    </row>
    <row r="853" customFormat="false" ht="12.75" hidden="false" customHeight="false" outlineLevel="0" collapsed="false">
      <c r="A853" s="1" t="n">
        <v>46</v>
      </c>
      <c r="B853" s="1" t="n">
        <v>37</v>
      </c>
      <c r="C853" s="1" t="n">
        <v>83</v>
      </c>
      <c r="D853" s="1" t="s">
        <v>518</v>
      </c>
      <c r="E853" s="1" t="n">
        <v>-79070.63</v>
      </c>
      <c r="F853" s="1" t="n">
        <v>2.329</v>
      </c>
      <c r="G853" s="1" t="n">
        <f aca="false">IF(ISNUMBER(E853),E853,VALUE(SUBSTITUTE(E853,"#",".01")))</f>
        <v>-79070.63</v>
      </c>
    </row>
    <row r="854" customFormat="false" ht="12.75" hidden="false" customHeight="false" outlineLevel="0" collapsed="false">
      <c r="A854" s="1" t="n">
        <v>45</v>
      </c>
      <c r="B854" s="1" t="n">
        <v>38</v>
      </c>
      <c r="C854" s="1" t="n">
        <v>83</v>
      </c>
      <c r="D854" s="1" t="s">
        <v>527</v>
      </c>
      <c r="E854" s="1" t="n">
        <v>-76797.606</v>
      </c>
      <c r="F854" s="1" t="n">
        <v>6.834</v>
      </c>
      <c r="G854" s="1" t="n">
        <f aca="false">IF(ISNUMBER(E854),E854,VALUE(SUBSTITUTE(E854,"#",".01")))</f>
        <v>-76797.606</v>
      </c>
    </row>
    <row r="855" customFormat="false" ht="12.75" hidden="false" customHeight="false" outlineLevel="0" collapsed="false">
      <c r="A855" s="1" t="n">
        <v>44</v>
      </c>
      <c r="B855" s="1" t="n">
        <v>39</v>
      </c>
      <c r="C855" s="1" t="n">
        <v>83</v>
      </c>
      <c r="D855" s="1" t="s">
        <v>537</v>
      </c>
      <c r="E855" s="1" t="n">
        <v>-72205.665</v>
      </c>
      <c r="F855" s="1" t="n">
        <v>18.631</v>
      </c>
      <c r="G855" s="1" t="n">
        <f aca="false">IF(ISNUMBER(E855),E855,VALUE(SUBSTITUTE(E855,"#",".01")))</f>
        <v>-72205.665</v>
      </c>
    </row>
    <row r="856" customFormat="false" ht="12.75" hidden="false" customHeight="false" outlineLevel="0" collapsed="false">
      <c r="A856" s="1" t="n">
        <v>43</v>
      </c>
      <c r="B856" s="1" t="n">
        <v>40</v>
      </c>
      <c r="C856" s="1" t="n">
        <v>83</v>
      </c>
      <c r="D856" s="1" t="s">
        <v>547</v>
      </c>
      <c r="E856" s="1" t="n">
        <v>-65911.654</v>
      </c>
      <c r="F856" s="1" t="n">
        <v>6.43</v>
      </c>
      <c r="G856" s="1" t="n">
        <f aca="false">IF(ISNUMBER(E856),E856,VALUE(SUBSTITUTE(E856,"#",".01")))</f>
        <v>-65911.654</v>
      </c>
    </row>
    <row r="857" customFormat="false" ht="12.75" hidden="false" customHeight="false" outlineLevel="0" collapsed="false">
      <c r="A857" s="1" t="n">
        <v>42</v>
      </c>
      <c r="B857" s="1" t="n">
        <v>41</v>
      </c>
      <c r="C857" s="1" t="n">
        <v>83</v>
      </c>
      <c r="D857" s="1" t="s">
        <v>554</v>
      </c>
      <c r="E857" s="1" t="n">
        <v>-57556.083</v>
      </c>
      <c r="F857" s="1" t="n">
        <v>150.902</v>
      </c>
      <c r="G857" s="1" t="n">
        <f aca="false">IF(ISNUMBER(E857),E857,VALUE(SUBSTITUTE(E857,"#",".01")))</f>
        <v>-57556.083</v>
      </c>
    </row>
    <row r="858" customFormat="false" ht="12.75" hidden="false" customHeight="false" outlineLevel="0" collapsed="false">
      <c r="A858" s="1" t="n">
        <v>41</v>
      </c>
      <c r="B858" s="1" t="n">
        <v>42</v>
      </c>
      <c r="C858" s="1" t="n">
        <v>83</v>
      </c>
      <c r="D858" s="1" t="s">
        <v>562</v>
      </c>
      <c r="E858" s="1" t="s">
        <v>568</v>
      </c>
      <c r="F858" s="1" t="s">
        <v>320</v>
      </c>
      <c r="G858" s="1" t="n">
        <f aca="false">IF(ISNUMBER(E858),E858,VALUE(SUBSTITUTE(E858,"#",".01")))</f>
        <v>-46340.01</v>
      </c>
    </row>
    <row r="859" customFormat="false" ht="12.75" hidden="false" customHeight="false" outlineLevel="0" collapsed="false">
      <c r="A859" s="1" t="n">
        <v>40</v>
      </c>
      <c r="B859" s="1" t="n">
        <v>43</v>
      </c>
      <c r="C859" s="1" t="n">
        <v>83</v>
      </c>
      <c r="D859" s="1" t="s">
        <v>569</v>
      </c>
      <c r="E859" s="1" t="s">
        <v>570</v>
      </c>
      <c r="F859" s="1" t="s">
        <v>337</v>
      </c>
      <c r="G859" s="1" t="n">
        <f aca="false">IF(ISNUMBER(E859),E859,VALUE(SUBSTITUTE(E859,"#",".01")))</f>
        <v>-31320.01</v>
      </c>
    </row>
    <row r="860" customFormat="false" ht="12.75" hidden="false" customHeight="false" outlineLevel="0" collapsed="false">
      <c r="A860" s="1" t="n">
        <v>54</v>
      </c>
      <c r="B860" s="1" t="n">
        <v>30</v>
      </c>
      <c r="C860" s="1" t="n">
        <v>84</v>
      </c>
      <c r="D860" s="1" t="s">
        <v>443</v>
      </c>
      <c r="E860" s="1" t="s">
        <v>571</v>
      </c>
      <c r="F860" s="1" t="s">
        <v>378</v>
      </c>
      <c r="G860" s="1" t="n">
        <f aca="false">IF(ISNUMBER(E860),E860,VALUE(SUBSTITUTE(E860,"#",".01")))</f>
        <v>-31930.01</v>
      </c>
    </row>
    <row r="861" customFormat="false" ht="12.75" hidden="false" customHeight="false" outlineLevel="0" collapsed="false">
      <c r="A861" s="1" t="n">
        <v>53</v>
      </c>
      <c r="B861" s="1" t="n">
        <v>31</v>
      </c>
      <c r="C861" s="1" t="n">
        <v>84</v>
      </c>
      <c r="D861" s="1" t="s">
        <v>452</v>
      </c>
      <c r="E861" s="1" t="s">
        <v>572</v>
      </c>
      <c r="F861" s="1" t="s">
        <v>349</v>
      </c>
      <c r="G861" s="1" t="n">
        <f aca="false">IF(ISNUMBER(E861),E861,VALUE(SUBSTITUTE(E861,"#",".01")))</f>
        <v>-44088.01</v>
      </c>
    </row>
    <row r="862" customFormat="false" ht="12.75" hidden="false" customHeight="false" outlineLevel="0" collapsed="false">
      <c r="A862" s="1" t="n">
        <v>52</v>
      </c>
      <c r="B862" s="1" t="n">
        <v>32</v>
      </c>
      <c r="C862" s="1" t="n">
        <v>84</v>
      </c>
      <c r="D862" s="1" t="s">
        <v>461</v>
      </c>
      <c r="E862" s="1" t="n">
        <v>-58148.428</v>
      </c>
      <c r="F862" s="1" t="n">
        <v>3.171</v>
      </c>
      <c r="G862" s="1" t="n">
        <f aca="false">IF(ISNUMBER(E862),E862,VALUE(SUBSTITUTE(E862,"#",".01")))</f>
        <v>-58148.428</v>
      </c>
    </row>
    <row r="863" customFormat="false" ht="12.75" hidden="false" customHeight="false" outlineLevel="0" collapsed="false">
      <c r="A863" s="1" t="n">
        <v>51</v>
      </c>
      <c r="B863" s="1" t="n">
        <v>33</v>
      </c>
      <c r="C863" s="1" t="n">
        <v>84</v>
      </c>
      <c r="D863" s="1" t="s">
        <v>471</v>
      </c>
      <c r="E863" s="1" t="n">
        <v>-65853.56</v>
      </c>
      <c r="F863" s="1" t="n">
        <v>3.171</v>
      </c>
      <c r="G863" s="1" t="n">
        <f aca="false">IF(ISNUMBER(E863),E863,VALUE(SUBSTITUTE(E863,"#",".01")))</f>
        <v>-65853.56</v>
      </c>
    </row>
    <row r="864" customFormat="false" ht="12.75" hidden="false" customHeight="false" outlineLevel="0" collapsed="false">
      <c r="A864" s="1" t="n">
        <v>50</v>
      </c>
      <c r="B864" s="1" t="n">
        <v>34</v>
      </c>
      <c r="C864" s="1" t="n">
        <v>84</v>
      </c>
      <c r="D864" s="1" t="s">
        <v>489</v>
      </c>
      <c r="E864" s="1" t="n">
        <v>-75947.721</v>
      </c>
      <c r="F864" s="1" t="n">
        <v>1.961</v>
      </c>
      <c r="G864" s="1" t="n">
        <f aca="false">IF(ISNUMBER(E864),E864,VALUE(SUBSTITUTE(E864,"#",".01")))</f>
        <v>-75947.721</v>
      </c>
    </row>
    <row r="865" customFormat="false" ht="12.75" hidden="false" customHeight="false" outlineLevel="0" collapsed="false">
      <c r="A865" s="1" t="n">
        <v>49</v>
      </c>
      <c r="B865" s="1" t="n">
        <v>35</v>
      </c>
      <c r="C865" s="1" t="n">
        <v>84</v>
      </c>
      <c r="D865" s="1" t="s">
        <v>500</v>
      </c>
      <c r="E865" s="1" t="n">
        <v>-77783.084</v>
      </c>
      <c r="F865" s="1" t="n">
        <v>25.73</v>
      </c>
      <c r="G865" s="1" t="n">
        <f aca="false">IF(ISNUMBER(E865),E865,VALUE(SUBSTITUTE(E865,"#",".01")))</f>
        <v>-77783.084</v>
      </c>
    </row>
    <row r="866" customFormat="false" ht="12.75" hidden="false" customHeight="false" outlineLevel="0" collapsed="false">
      <c r="A866" s="1" t="n">
        <v>48</v>
      </c>
      <c r="B866" s="1" t="n">
        <v>36</v>
      </c>
      <c r="C866" s="1" t="n">
        <v>84</v>
      </c>
      <c r="D866" s="1" t="s">
        <v>509</v>
      </c>
      <c r="E866" s="1" t="n">
        <v>-82439.3351</v>
      </c>
      <c r="F866" s="1" t="n">
        <v>0.00379</v>
      </c>
      <c r="G866" s="1" t="n">
        <f aca="false">IF(ISNUMBER(E866),E866,VALUE(SUBSTITUTE(E866,"#",".01")))</f>
        <v>-82439.3351</v>
      </c>
    </row>
    <row r="867" customFormat="false" ht="12.75" hidden="false" customHeight="false" outlineLevel="0" collapsed="false">
      <c r="A867" s="1" t="n">
        <v>47</v>
      </c>
      <c r="B867" s="1" t="n">
        <v>37</v>
      </c>
      <c r="C867" s="1" t="n">
        <v>84</v>
      </c>
      <c r="D867" s="1" t="s">
        <v>518</v>
      </c>
      <c r="E867" s="1" t="n">
        <v>-79758.964</v>
      </c>
      <c r="F867" s="1" t="n">
        <v>2.194</v>
      </c>
      <c r="G867" s="1" t="n">
        <f aca="false">IF(ISNUMBER(E867),E867,VALUE(SUBSTITUTE(E867,"#",".01")))</f>
        <v>-79758.964</v>
      </c>
    </row>
    <row r="868" customFormat="false" ht="12.75" hidden="false" customHeight="false" outlineLevel="0" collapsed="false">
      <c r="A868" s="1" t="n">
        <v>46</v>
      </c>
      <c r="B868" s="1" t="n">
        <v>38</v>
      </c>
      <c r="C868" s="1" t="n">
        <v>84</v>
      </c>
      <c r="D868" s="1" t="s">
        <v>527</v>
      </c>
      <c r="E868" s="1" t="n">
        <v>-80649.57</v>
      </c>
      <c r="F868" s="1" t="n">
        <v>1.243</v>
      </c>
      <c r="G868" s="1" t="n">
        <f aca="false">IF(ISNUMBER(E868),E868,VALUE(SUBSTITUTE(E868,"#",".01")))</f>
        <v>-80649.57</v>
      </c>
    </row>
    <row r="869" customFormat="false" ht="12.75" hidden="false" customHeight="false" outlineLevel="0" collapsed="false">
      <c r="A869" s="1" t="n">
        <v>45</v>
      </c>
      <c r="B869" s="1" t="n">
        <v>39</v>
      </c>
      <c r="C869" s="1" t="n">
        <v>84</v>
      </c>
      <c r="D869" s="1" t="s">
        <v>537</v>
      </c>
      <c r="E869" s="1" t="n">
        <v>-73894.431</v>
      </c>
      <c r="F869" s="1" t="n">
        <v>4.299</v>
      </c>
      <c r="G869" s="1" t="n">
        <f aca="false">IF(ISNUMBER(E869),E869,VALUE(SUBSTITUTE(E869,"#",".01")))</f>
        <v>-73894.431</v>
      </c>
    </row>
    <row r="870" customFormat="false" ht="12.75" hidden="false" customHeight="false" outlineLevel="0" collapsed="false">
      <c r="A870" s="1" t="n">
        <v>44</v>
      </c>
      <c r="B870" s="1" t="n">
        <v>40</v>
      </c>
      <c r="C870" s="1" t="n">
        <v>84</v>
      </c>
      <c r="D870" s="1" t="s">
        <v>547</v>
      </c>
      <c r="E870" s="1" t="n">
        <v>-71421.686</v>
      </c>
      <c r="F870" s="1" t="n">
        <v>5.499</v>
      </c>
      <c r="G870" s="1" t="n">
        <f aca="false">IF(ISNUMBER(E870),E870,VALUE(SUBSTITUTE(E870,"#",".01")))</f>
        <v>-71421.686</v>
      </c>
    </row>
    <row r="871" customFormat="false" ht="12.75" hidden="false" customHeight="false" outlineLevel="0" collapsed="false">
      <c r="A871" s="1" t="n">
        <v>43</v>
      </c>
      <c r="B871" s="1" t="n">
        <v>41</v>
      </c>
      <c r="C871" s="1" t="n">
        <v>84</v>
      </c>
      <c r="D871" s="1" t="s">
        <v>554</v>
      </c>
      <c r="E871" s="1" t="n">
        <v>-61218.717</v>
      </c>
      <c r="F871" s="1" t="n">
        <v>13.041</v>
      </c>
      <c r="G871" s="1" t="n">
        <f aca="false">IF(ISNUMBER(E871),E871,VALUE(SUBSTITUTE(E871,"#",".01")))</f>
        <v>-61218.717</v>
      </c>
    </row>
    <row r="872" customFormat="false" ht="12.75" hidden="false" customHeight="false" outlineLevel="0" collapsed="false">
      <c r="A872" s="1" t="n">
        <v>42</v>
      </c>
      <c r="B872" s="1" t="n">
        <v>42</v>
      </c>
      <c r="C872" s="1" t="n">
        <v>84</v>
      </c>
      <c r="D872" s="1" t="s">
        <v>562</v>
      </c>
      <c r="E872" s="1" t="s">
        <v>573</v>
      </c>
      <c r="F872" s="1" t="s">
        <v>360</v>
      </c>
      <c r="G872" s="1" t="n">
        <f aca="false">IF(ISNUMBER(E872),E872,VALUE(SUBSTITUTE(E872,"#",".01")))</f>
        <v>-54170.01</v>
      </c>
    </row>
    <row r="873" customFormat="false" ht="12.75" hidden="false" customHeight="false" outlineLevel="0" collapsed="false">
      <c r="A873" s="1" t="n">
        <v>41</v>
      </c>
      <c r="B873" s="1" t="n">
        <v>43</v>
      </c>
      <c r="C873" s="1" t="n">
        <v>84</v>
      </c>
      <c r="D873" s="1" t="s">
        <v>569</v>
      </c>
      <c r="E873" s="1" t="s">
        <v>574</v>
      </c>
      <c r="F873" s="1" t="s">
        <v>378</v>
      </c>
      <c r="G873" s="1" t="n">
        <f aca="false">IF(ISNUMBER(E873),E873,VALUE(SUBSTITUTE(E873,"#",".01")))</f>
        <v>-37700.01</v>
      </c>
    </row>
    <row r="874" customFormat="false" ht="12.75" hidden="false" customHeight="false" outlineLevel="0" collapsed="false">
      <c r="A874" s="1" t="n">
        <v>55</v>
      </c>
      <c r="B874" s="1" t="n">
        <v>30</v>
      </c>
      <c r="C874" s="1" t="n">
        <v>85</v>
      </c>
      <c r="D874" s="1" t="s">
        <v>443</v>
      </c>
      <c r="E874" s="1" t="s">
        <v>575</v>
      </c>
      <c r="F874" s="1" t="s">
        <v>337</v>
      </c>
      <c r="G874" s="1" t="n">
        <f aca="false">IF(ISNUMBER(E874),E874,VALUE(SUBSTITUTE(E874,"#",".01")))</f>
        <v>-25230.01</v>
      </c>
    </row>
    <row r="875" customFormat="false" ht="12.75" hidden="false" customHeight="false" outlineLevel="0" collapsed="false">
      <c r="A875" s="1" t="n">
        <v>54</v>
      </c>
      <c r="B875" s="1" t="n">
        <v>31</v>
      </c>
      <c r="C875" s="1" t="n">
        <v>85</v>
      </c>
      <c r="D875" s="1" t="s">
        <v>452</v>
      </c>
      <c r="E875" s="1" t="s">
        <v>576</v>
      </c>
      <c r="F875" s="1" t="s">
        <v>360</v>
      </c>
      <c r="G875" s="1" t="n">
        <f aca="false">IF(ISNUMBER(E875),E875,VALUE(SUBSTITUTE(E875,"#",".01")))</f>
        <v>-39849.01</v>
      </c>
    </row>
    <row r="876" customFormat="false" ht="12.75" hidden="false" customHeight="false" outlineLevel="0" collapsed="false">
      <c r="A876" s="1" t="n">
        <v>53</v>
      </c>
      <c r="B876" s="1" t="n">
        <v>32</v>
      </c>
      <c r="C876" s="1" t="n">
        <v>85</v>
      </c>
      <c r="D876" s="1" t="s">
        <v>461</v>
      </c>
      <c r="E876" s="1" t="n">
        <v>-53123.42</v>
      </c>
      <c r="F876" s="1" t="n">
        <v>3.729</v>
      </c>
      <c r="G876" s="1" t="n">
        <f aca="false">IF(ISNUMBER(E876),E876,VALUE(SUBSTITUTE(E876,"#",".01")))</f>
        <v>-53123.42</v>
      </c>
    </row>
    <row r="877" customFormat="false" ht="12.75" hidden="false" customHeight="false" outlineLevel="0" collapsed="false">
      <c r="A877" s="1" t="n">
        <v>52</v>
      </c>
      <c r="B877" s="1" t="n">
        <v>33</v>
      </c>
      <c r="C877" s="1" t="n">
        <v>85</v>
      </c>
      <c r="D877" s="1" t="s">
        <v>471</v>
      </c>
      <c r="E877" s="1" t="n">
        <v>-63189.144</v>
      </c>
      <c r="F877" s="1" t="n">
        <v>3.078</v>
      </c>
      <c r="G877" s="1" t="n">
        <f aca="false">IF(ISNUMBER(E877),E877,VALUE(SUBSTITUTE(E877,"#",".01")))</f>
        <v>-63189.144</v>
      </c>
    </row>
    <row r="878" customFormat="false" ht="12.75" hidden="false" customHeight="false" outlineLevel="0" collapsed="false">
      <c r="A878" s="1" t="n">
        <v>51</v>
      </c>
      <c r="B878" s="1" t="n">
        <v>34</v>
      </c>
      <c r="C878" s="1" t="n">
        <v>85</v>
      </c>
      <c r="D878" s="1" t="s">
        <v>489</v>
      </c>
      <c r="E878" s="1" t="n">
        <v>-72413.636</v>
      </c>
      <c r="F878" s="1" t="n">
        <v>2.613</v>
      </c>
      <c r="G878" s="1" t="n">
        <f aca="false">IF(ISNUMBER(E878),E878,VALUE(SUBSTITUTE(E878,"#",".01")))</f>
        <v>-72413.636</v>
      </c>
    </row>
    <row r="879" customFormat="false" ht="12.75" hidden="false" customHeight="false" outlineLevel="0" collapsed="false">
      <c r="A879" s="1" t="n">
        <v>50</v>
      </c>
      <c r="B879" s="1" t="n">
        <v>35</v>
      </c>
      <c r="C879" s="1" t="n">
        <v>85</v>
      </c>
      <c r="D879" s="1" t="s">
        <v>500</v>
      </c>
      <c r="E879" s="1" t="n">
        <v>-78575.469</v>
      </c>
      <c r="F879" s="1" t="n">
        <v>3.078</v>
      </c>
      <c r="G879" s="1" t="n">
        <f aca="false">IF(ISNUMBER(E879),E879,VALUE(SUBSTITUTE(E879,"#",".01")))</f>
        <v>-78575.469</v>
      </c>
    </row>
    <row r="880" customFormat="false" ht="12.75" hidden="false" customHeight="false" outlineLevel="0" collapsed="false">
      <c r="A880" s="1" t="n">
        <v>49</v>
      </c>
      <c r="B880" s="1" t="n">
        <v>36</v>
      </c>
      <c r="C880" s="1" t="n">
        <v>85</v>
      </c>
      <c r="D880" s="1" t="s">
        <v>509</v>
      </c>
      <c r="E880" s="1" t="n">
        <v>-81480.331</v>
      </c>
      <c r="F880" s="1" t="n">
        <v>2</v>
      </c>
      <c r="G880" s="1" t="n">
        <f aca="false">IF(ISNUMBER(E880),E880,VALUE(SUBSTITUTE(E880,"#",".01")))</f>
        <v>-81480.331</v>
      </c>
    </row>
    <row r="881" customFormat="false" ht="12.75" hidden="false" customHeight="false" outlineLevel="0" collapsed="false">
      <c r="A881" s="1" t="n">
        <v>48</v>
      </c>
      <c r="B881" s="1" t="n">
        <v>37</v>
      </c>
      <c r="C881" s="1" t="n">
        <v>85</v>
      </c>
      <c r="D881" s="1" t="s">
        <v>518</v>
      </c>
      <c r="E881" s="1" t="n">
        <v>-82167.3305</v>
      </c>
      <c r="F881" s="1" t="n">
        <v>0.00498</v>
      </c>
      <c r="G881" s="1" t="n">
        <f aca="false">IF(ISNUMBER(E881),E881,VALUE(SUBSTITUTE(E881,"#",".01")))</f>
        <v>-82167.3305</v>
      </c>
    </row>
    <row r="882" customFormat="false" ht="12.75" hidden="false" customHeight="false" outlineLevel="0" collapsed="false">
      <c r="A882" s="1" t="n">
        <v>47</v>
      </c>
      <c r="B882" s="1" t="n">
        <v>38</v>
      </c>
      <c r="C882" s="1" t="n">
        <v>85</v>
      </c>
      <c r="D882" s="1" t="s">
        <v>527</v>
      </c>
      <c r="E882" s="1" t="n">
        <v>-81103.28</v>
      </c>
      <c r="F882" s="1" t="n">
        <v>2.813</v>
      </c>
      <c r="G882" s="1" t="n">
        <f aca="false">IF(ISNUMBER(E882),E882,VALUE(SUBSTITUTE(E882,"#",".01")))</f>
        <v>-81103.28</v>
      </c>
    </row>
    <row r="883" customFormat="false" ht="12.75" hidden="false" customHeight="false" outlineLevel="0" collapsed="false">
      <c r="A883" s="1" t="n">
        <v>46</v>
      </c>
      <c r="B883" s="1" t="n">
        <v>39</v>
      </c>
      <c r="C883" s="1" t="n">
        <v>85</v>
      </c>
      <c r="D883" s="1" t="s">
        <v>537</v>
      </c>
      <c r="E883" s="1" t="n">
        <v>-77842.123</v>
      </c>
      <c r="F883" s="1" t="n">
        <v>18.965</v>
      </c>
      <c r="G883" s="1" t="n">
        <f aca="false">IF(ISNUMBER(E883),E883,VALUE(SUBSTITUTE(E883,"#",".01")))</f>
        <v>-77842.123</v>
      </c>
    </row>
    <row r="884" customFormat="false" ht="12.75" hidden="false" customHeight="false" outlineLevel="0" collapsed="false">
      <c r="A884" s="1" t="n">
        <v>45</v>
      </c>
      <c r="B884" s="1" t="n">
        <v>40</v>
      </c>
      <c r="C884" s="1" t="n">
        <v>85</v>
      </c>
      <c r="D884" s="1" t="s">
        <v>547</v>
      </c>
      <c r="E884" s="1" t="n">
        <v>-73175.189</v>
      </c>
      <c r="F884" s="1" t="n">
        <v>6.43</v>
      </c>
      <c r="G884" s="1" t="n">
        <f aca="false">IF(ISNUMBER(E884),E884,VALUE(SUBSTITUTE(E884,"#",".01")))</f>
        <v>-73175.189</v>
      </c>
    </row>
    <row r="885" customFormat="false" ht="12.75" hidden="false" customHeight="false" outlineLevel="0" collapsed="false">
      <c r="A885" s="1" t="n">
        <v>44</v>
      </c>
      <c r="B885" s="1" t="n">
        <v>41</v>
      </c>
      <c r="C885" s="1" t="n">
        <v>85</v>
      </c>
      <c r="D885" s="1" t="s">
        <v>554</v>
      </c>
      <c r="E885" s="1" t="n">
        <v>-66279.676</v>
      </c>
      <c r="F885" s="1" t="n">
        <v>4.099</v>
      </c>
      <c r="G885" s="1" t="n">
        <f aca="false">IF(ISNUMBER(E885),E885,VALUE(SUBSTITUTE(E885,"#",".01")))</f>
        <v>-66279.676</v>
      </c>
    </row>
    <row r="886" customFormat="false" ht="12.75" hidden="false" customHeight="false" outlineLevel="0" collapsed="false">
      <c r="A886" s="1" t="n">
        <v>43</v>
      </c>
      <c r="B886" s="1" t="n">
        <v>42</v>
      </c>
      <c r="C886" s="1" t="n">
        <v>85</v>
      </c>
      <c r="D886" s="1" t="s">
        <v>562</v>
      </c>
      <c r="E886" s="1" t="n">
        <v>-57509.753</v>
      </c>
      <c r="F886" s="1" t="n">
        <v>15.835</v>
      </c>
      <c r="G886" s="1" t="n">
        <f aca="false">IF(ISNUMBER(E886),E886,VALUE(SUBSTITUTE(E886,"#",".01")))</f>
        <v>-57509.753</v>
      </c>
    </row>
    <row r="887" customFormat="false" ht="12.75" hidden="false" customHeight="false" outlineLevel="0" collapsed="false">
      <c r="A887" s="1" t="n">
        <v>42</v>
      </c>
      <c r="B887" s="1" t="n">
        <v>43</v>
      </c>
      <c r="C887" s="1" t="n">
        <v>85</v>
      </c>
      <c r="D887" s="1" t="s">
        <v>569</v>
      </c>
      <c r="E887" s="1" t="s">
        <v>577</v>
      </c>
      <c r="F887" s="1" t="s">
        <v>378</v>
      </c>
      <c r="G887" s="1" t="n">
        <f aca="false">IF(ISNUMBER(E887),E887,VALUE(SUBSTITUTE(E887,"#",".01")))</f>
        <v>-45850.01</v>
      </c>
    </row>
    <row r="888" customFormat="false" ht="12.75" hidden="false" customHeight="false" outlineLevel="0" collapsed="false">
      <c r="A888" s="1" t="n">
        <v>41</v>
      </c>
      <c r="B888" s="1" t="n">
        <v>44</v>
      </c>
      <c r="C888" s="1" t="n">
        <v>85</v>
      </c>
      <c r="D888" s="1" t="s">
        <v>578</v>
      </c>
      <c r="E888" s="1" t="s">
        <v>579</v>
      </c>
      <c r="F888" s="1" t="s">
        <v>337</v>
      </c>
      <c r="G888" s="1" t="n">
        <f aca="false">IF(ISNUMBER(E888),E888,VALUE(SUBSTITUTE(E888,"#",".01")))</f>
        <v>-30950.01</v>
      </c>
    </row>
    <row r="889" customFormat="false" ht="12.75" hidden="false" customHeight="false" outlineLevel="0" collapsed="false">
      <c r="A889" s="1" t="n">
        <v>55</v>
      </c>
      <c r="B889" s="1" t="n">
        <v>31</v>
      </c>
      <c r="C889" s="1" t="n">
        <v>86</v>
      </c>
      <c r="D889" s="1" t="s">
        <v>452</v>
      </c>
      <c r="E889" s="1" t="s">
        <v>580</v>
      </c>
      <c r="F889" s="1" t="s">
        <v>378</v>
      </c>
      <c r="G889" s="1" t="n">
        <f aca="false">IF(ISNUMBER(E889),E889,VALUE(SUBSTITUTE(E889,"#",".01")))</f>
        <v>-34080.01</v>
      </c>
    </row>
    <row r="890" customFormat="false" ht="12.75" hidden="false" customHeight="false" outlineLevel="0" collapsed="false">
      <c r="A890" s="1" t="n">
        <v>54</v>
      </c>
      <c r="B890" s="1" t="n">
        <v>32</v>
      </c>
      <c r="C890" s="1" t="n">
        <v>86</v>
      </c>
      <c r="D890" s="1" t="s">
        <v>461</v>
      </c>
      <c r="E890" s="1" t="n">
        <v>-49399.922</v>
      </c>
      <c r="F890" s="1" t="n">
        <v>437.802</v>
      </c>
      <c r="G890" s="1" t="n">
        <f aca="false">IF(ISNUMBER(E890),E890,VALUE(SUBSTITUTE(E890,"#",".01")))</f>
        <v>-49399.922</v>
      </c>
    </row>
    <row r="891" customFormat="false" ht="12.75" hidden="false" customHeight="false" outlineLevel="0" collapsed="false">
      <c r="A891" s="1" t="n">
        <v>53</v>
      </c>
      <c r="B891" s="1" t="n">
        <v>33</v>
      </c>
      <c r="C891" s="1" t="n">
        <v>86</v>
      </c>
      <c r="D891" s="1" t="s">
        <v>471</v>
      </c>
      <c r="E891" s="1" t="n">
        <v>-58962.142</v>
      </c>
      <c r="F891" s="1" t="n">
        <v>3.45</v>
      </c>
      <c r="G891" s="1" t="n">
        <f aca="false">IF(ISNUMBER(E891),E891,VALUE(SUBSTITUTE(E891,"#",".01")))</f>
        <v>-58962.142</v>
      </c>
    </row>
    <row r="892" customFormat="false" ht="12.75" hidden="false" customHeight="false" outlineLevel="0" collapsed="false">
      <c r="A892" s="1" t="n">
        <v>52</v>
      </c>
      <c r="B892" s="1" t="n">
        <v>34</v>
      </c>
      <c r="C892" s="1" t="n">
        <v>86</v>
      </c>
      <c r="D892" s="1" t="s">
        <v>489</v>
      </c>
      <c r="E892" s="1" t="n">
        <v>-70503.167</v>
      </c>
      <c r="F892" s="1" t="n">
        <v>2.52</v>
      </c>
      <c r="G892" s="1" t="n">
        <f aca="false">IF(ISNUMBER(E892),E892,VALUE(SUBSTITUTE(E892,"#",".01")))</f>
        <v>-70503.167</v>
      </c>
    </row>
    <row r="893" customFormat="false" ht="12.75" hidden="false" customHeight="false" outlineLevel="0" collapsed="false">
      <c r="A893" s="1" t="n">
        <v>51</v>
      </c>
      <c r="B893" s="1" t="n">
        <v>35</v>
      </c>
      <c r="C893" s="1" t="n">
        <v>86</v>
      </c>
      <c r="D893" s="1" t="s">
        <v>500</v>
      </c>
      <c r="E893" s="1" t="n">
        <v>-75632.252</v>
      </c>
      <c r="F893" s="1" t="n">
        <v>3.078</v>
      </c>
      <c r="G893" s="1" t="n">
        <f aca="false">IF(ISNUMBER(E893),E893,VALUE(SUBSTITUTE(E893,"#",".01")))</f>
        <v>-75632.252</v>
      </c>
    </row>
    <row r="894" customFormat="false" ht="12.75" hidden="false" customHeight="false" outlineLevel="0" collapsed="false">
      <c r="A894" s="1" t="n">
        <v>50</v>
      </c>
      <c r="B894" s="1" t="n">
        <v>36</v>
      </c>
      <c r="C894" s="1" t="n">
        <v>86</v>
      </c>
      <c r="D894" s="1" t="s">
        <v>509</v>
      </c>
      <c r="E894" s="1" t="n">
        <v>-83265.66564</v>
      </c>
      <c r="F894" s="1" t="n">
        <v>0.00369</v>
      </c>
      <c r="G894" s="1" t="n">
        <f aca="false">IF(ISNUMBER(E894),E894,VALUE(SUBSTITUTE(E894,"#",".01")))</f>
        <v>-83265.66564</v>
      </c>
    </row>
    <row r="895" customFormat="false" ht="12.75" hidden="false" customHeight="false" outlineLevel="0" collapsed="false">
      <c r="A895" s="1" t="n">
        <v>49</v>
      </c>
      <c r="B895" s="1" t="n">
        <v>37</v>
      </c>
      <c r="C895" s="1" t="n">
        <v>86</v>
      </c>
      <c r="D895" s="1" t="s">
        <v>518</v>
      </c>
      <c r="E895" s="1" t="n">
        <v>-82746.993</v>
      </c>
      <c r="F895" s="1" t="n">
        <v>0.2</v>
      </c>
      <c r="G895" s="1" t="n">
        <f aca="false">IF(ISNUMBER(E895),E895,VALUE(SUBSTITUTE(E895,"#",".01")))</f>
        <v>-82746.993</v>
      </c>
    </row>
    <row r="896" customFormat="false" ht="12.75" hidden="false" customHeight="false" outlineLevel="0" collapsed="false">
      <c r="A896" s="1" t="n">
        <v>48</v>
      </c>
      <c r="B896" s="1" t="n">
        <v>38</v>
      </c>
      <c r="C896" s="1" t="n">
        <v>86</v>
      </c>
      <c r="D896" s="1" t="s">
        <v>527</v>
      </c>
      <c r="E896" s="1" t="n">
        <v>-84523.08935</v>
      </c>
      <c r="F896" s="1" t="n">
        <v>0.00522</v>
      </c>
      <c r="G896" s="1" t="n">
        <f aca="false">IF(ISNUMBER(E896),E896,VALUE(SUBSTITUTE(E896,"#",".01")))</f>
        <v>-84523.08935</v>
      </c>
    </row>
    <row r="897" customFormat="false" ht="12.75" hidden="false" customHeight="false" outlineLevel="0" collapsed="false">
      <c r="A897" s="1" t="n">
        <v>47</v>
      </c>
      <c r="B897" s="1" t="n">
        <v>39</v>
      </c>
      <c r="C897" s="1" t="n">
        <v>86</v>
      </c>
      <c r="D897" s="1" t="s">
        <v>537</v>
      </c>
      <c r="E897" s="1" t="n">
        <v>-79283.089</v>
      </c>
      <c r="F897" s="1" t="n">
        <v>14.142</v>
      </c>
      <c r="G897" s="1" t="n">
        <f aca="false">IF(ISNUMBER(E897),E897,VALUE(SUBSTITUTE(E897,"#",".01")))</f>
        <v>-79283.089</v>
      </c>
    </row>
    <row r="898" customFormat="false" ht="12.75" hidden="false" customHeight="false" outlineLevel="0" collapsed="false">
      <c r="A898" s="1" t="n">
        <v>46</v>
      </c>
      <c r="B898" s="1" t="n">
        <v>40</v>
      </c>
      <c r="C898" s="1" t="n">
        <v>86</v>
      </c>
      <c r="D898" s="1" t="s">
        <v>547</v>
      </c>
      <c r="E898" s="1" t="n">
        <v>-77969.014</v>
      </c>
      <c r="F898" s="1" t="n">
        <v>3.566</v>
      </c>
      <c r="G898" s="1" t="n">
        <f aca="false">IF(ISNUMBER(E898),E898,VALUE(SUBSTITUTE(E898,"#",".01")))</f>
        <v>-77969.014</v>
      </c>
    </row>
    <row r="899" customFormat="false" ht="12.75" hidden="false" customHeight="false" outlineLevel="0" collapsed="false">
      <c r="A899" s="1" t="n">
        <v>45</v>
      </c>
      <c r="B899" s="1" t="n">
        <v>41</v>
      </c>
      <c r="C899" s="1" t="n">
        <v>86</v>
      </c>
      <c r="D899" s="1" t="s">
        <v>554</v>
      </c>
      <c r="E899" s="1" t="n">
        <v>-69134.054</v>
      </c>
      <c r="F899" s="1" t="n">
        <v>5.499</v>
      </c>
      <c r="G899" s="1" t="n">
        <f aca="false">IF(ISNUMBER(E899),E899,VALUE(SUBSTITUTE(E899,"#",".01")))</f>
        <v>-69134.054</v>
      </c>
    </row>
    <row r="900" customFormat="false" ht="12.75" hidden="false" customHeight="false" outlineLevel="0" collapsed="false">
      <c r="A900" s="1" t="n">
        <v>44</v>
      </c>
      <c r="B900" s="1" t="n">
        <v>42</v>
      </c>
      <c r="C900" s="1" t="n">
        <v>86</v>
      </c>
      <c r="D900" s="1" t="s">
        <v>562</v>
      </c>
      <c r="E900" s="1" t="n">
        <v>-64110.245</v>
      </c>
      <c r="F900" s="1" t="n">
        <v>3.726</v>
      </c>
      <c r="G900" s="1" t="n">
        <f aca="false">IF(ISNUMBER(E900),E900,VALUE(SUBSTITUTE(E900,"#",".01")))</f>
        <v>-64110.245</v>
      </c>
    </row>
    <row r="901" customFormat="false" ht="12.75" hidden="false" customHeight="false" outlineLevel="0" collapsed="false">
      <c r="A901" s="1" t="n">
        <v>43</v>
      </c>
      <c r="B901" s="1" t="n">
        <v>43</v>
      </c>
      <c r="C901" s="1" t="n">
        <v>86</v>
      </c>
      <c r="D901" s="1" t="s">
        <v>569</v>
      </c>
      <c r="E901" s="1" t="s">
        <v>581</v>
      </c>
      <c r="F901" s="1" t="s">
        <v>371</v>
      </c>
      <c r="G901" s="1" t="n">
        <f aca="false">IF(ISNUMBER(E901),E901,VALUE(SUBSTITUTE(E901,"#",".01")))</f>
        <v>-51570.01</v>
      </c>
    </row>
    <row r="902" customFormat="false" ht="12.75" hidden="false" customHeight="false" outlineLevel="0" collapsed="false">
      <c r="A902" s="1" t="n">
        <v>42</v>
      </c>
      <c r="B902" s="1" t="n">
        <v>44</v>
      </c>
      <c r="C902" s="1" t="n">
        <v>86</v>
      </c>
      <c r="D902" s="1" t="s">
        <v>578</v>
      </c>
      <c r="E902" s="1" t="s">
        <v>582</v>
      </c>
      <c r="F902" s="1" t="s">
        <v>378</v>
      </c>
      <c r="G902" s="1" t="n">
        <f aca="false">IF(ISNUMBER(E902),E902,VALUE(SUBSTITUTE(E902,"#",".01")))</f>
        <v>-39770.01</v>
      </c>
    </row>
    <row r="903" customFormat="false" ht="12.75" hidden="false" customHeight="false" outlineLevel="0" collapsed="false">
      <c r="A903" s="1" t="n">
        <v>56</v>
      </c>
      <c r="B903" s="1" t="n">
        <v>31</v>
      </c>
      <c r="C903" s="1" t="n">
        <v>87</v>
      </c>
      <c r="D903" s="1" t="s">
        <v>452</v>
      </c>
      <c r="E903" s="1" t="s">
        <v>583</v>
      </c>
      <c r="F903" s="1" t="s">
        <v>337</v>
      </c>
      <c r="G903" s="1" t="n">
        <f aca="false">IF(ISNUMBER(E903),E903,VALUE(SUBSTITUTE(E903,"#",".01")))</f>
        <v>-29250.01</v>
      </c>
    </row>
    <row r="904" customFormat="false" ht="12.75" hidden="false" customHeight="false" outlineLevel="0" collapsed="false">
      <c r="A904" s="1" t="n">
        <v>55</v>
      </c>
      <c r="B904" s="1" t="n">
        <v>32</v>
      </c>
      <c r="C904" s="1" t="n">
        <v>87</v>
      </c>
      <c r="D904" s="1" t="s">
        <v>461</v>
      </c>
      <c r="E904" s="1" t="s">
        <v>584</v>
      </c>
      <c r="F904" s="1" t="s">
        <v>371</v>
      </c>
      <c r="G904" s="1" t="n">
        <f aca="false">IF(ISNUMBER(E904),E904,VALUE(SUBSTITUTE(E904,"#",".01")))</f>
        <v>-44078.01</v>
      </c>
    </row>
    <row r="905" customFormat="false" ht="12.75" hidden="false" customHeight="false" outlineLevel="0" collapsed="false">
      <c r="A905" s="1" t="n">
        <v>54</v>
      </c>
      <c r="B905" s="1" t="n">
        <v>33</v>
      </c>
      <c r="C905" s="1" t="n">
        <v>87</v>
      </c>
      <c r="D905" s="1" t="s">
        <v>471</v>
      </c>
      <c r="E905" s="1" t="n">
        <v>-55617.907</v>
      </c>
      <c r="F905" s="1" t="n">
        <v>2.985</v>
      </c>
      <c r="G905" s="1" t="n">
        <f aca="false">IF(ISNUMBER(E905),E905,VALUE(SUBSTITUTE(E905,"#",".01")))</f>
        <v>-55617.907</v>
      </c>
    </row>
    <row r="906" customFormat="false" ht="12.75" hidden="false" customHeight="false" outlineLevel="0" collapsed="false">
      <c r="A906" s="1" t="n">
        <v>53</v>
      </c>
      <c r="B906" s="1" t="n">
        <v>34</v>
      </c>
      <c r="C906" s="1" t="n">
        <v>87</v>
      </c>
      <c r="D906" s="1" t="s">
        <v>489</v>
      </c>
      <c r="E906" s="1" t="n">
        <v>-66426.125</v>
      </c>
      <c r="F906" s="1" t="n">
        <v>2.241</v>
      </c>
      <c r="G906" s="1" t="n">
        <f aca="false">IF(ISNUMBER(E906),E906,VALUE(SUBSTITUTE(E906,"#",".01")))</f>
        <v>-66426.125</v>
      </c>
    </row>
    <row r="907" customFormat="false" ht="12.75" hidden="false" customHeight="false" outlineLevel="0" collapsed="false">
      <c r="A907" s="1" t="n">
        <v>52</v>
      </c>
      <c r="B907" s="1" t="n">
        <v>35</v>
      </c>
      <c r="C907" s="1" t="n">
        <v>87</v>
      </c>
      <c r="D907" s="1" t="s">
        <v>500</v>
      </c>
      <c r="E907" s="1" t="n">
        <v>-73891.676</v>
      </c>
      <c r="F907" s="1" t="n">
        <v>3.171</v>
      </c>
      <c r="G907" s="1" t="n">
        <f aca="false">IF(ISNUMBER(E907),E907,VALUE(SUBSTITUTE(E907,"#",".01")))</f>
        <v>-73891.676</v>
      </c>
    </row>
    <row r="908" customFormat="false" ht="12.75" hidden="false" customHeight="false" outlineLevel="0" collapsed="false">
      <c r="A908" s="1" t="n">
        <v>51</v>
      </c>
      <c r="B908" s="1" t="n">
        <v>36</v>
      </c>
      <c r="C908" s="1" t="n">
        <v>87</v>
      </c>
      <c r="D908" s="1" t="s">
        <v>509</v>
      </c>
      <c r="E908" s="1" t="n">
        <v>-80709.522</v>
      </c>
      <c r="F908" s="1" t="n">
        <v>0.246</v>
      </c>
      <c r="G908" s="1" t="n">
        <f aca="false">IF(ISNUMBER(E908),E908,VALUE(SUBSTITUTE(E908,"#",".01")))</f>
        <v>-80709.522</v>
      </c>
    </row>
    <row r="909" customFormat="false" ht="12.75" hidden="false" customHeight="false" outlineLevel="0" collapsed="false">
      <c r="A909" s="1" t="n">
        <v>50</v>
      </c>
      <c r="B909" s="1" t="n">
        <v>37</v>
      </c>
      <c r="C909" s="1" t="n">
        <v>87</v>
      </c>
      <c r="D909" s="1" t="s">
        <v>518</v>
      </c>
      <c r="E909" s="1" t="n">
        <v>-84597.791</v>
      </c>
      <c r="F909" s="1" t="n">
        <v>0.006</v>
      </c>
      <c r="G909" s="1" t="n">
        <f aca="false">IF(ISNUMBER(E909),E909,VALUE(SUBSTITUTE(E909,"#",".01")))</f>
        <v>-84597.791</v>
      </c>
    </row>
    <row r="910" customFormat="false" ht="12.75" hidden="false" customHeight="false" outlineLevel="0" collapsed="false">
      <c r="A910" s="1" t="n">
        <v>49</v>
      </c>
      <c r="B910" s="1" t="n">
        <v>38</v>
      </c>
      <c r="C910" s="1" t="n">
        <v>87</v>
      </c>
      <c r="D910" s="1" t="s">
        <v>527</v>
      </c>
      <c r="E910" s="1" t="n">
        <v>-84880.06595</v>
      </c>
      <c r="F910" s="1" t="n">
        <v>0.0051</v>
      </c>
      <c r="G910" s="1" t="n">
        <f aca="false">IF(ISNUMBER(E910),E910,VALUE(SUBSTITUTE(E910,"#",".01")))</f>
        <v>-84880.06595</v>
      </c>
    </row>
    <row r="911" customFormat="false" ht="12.75" hidden="false" customHeight="false" outlineLevel="0" collapsed="false">
      <c r="A911" s="1" t="n">
        <v>48</v>
      </c>
      <c r="B911" s="1" t="n">
        <v>39</v>
      </c>
      <c r="C911" s="1" t="n">
        <v>87</v>
      </c>
      <c r="D911" s="1" t="s">
        <v>537</v>
      </c>
      <c r="E911" s="1" t="n">
        <v>-83018.376</v>
      </c>
      <c r="F911" s="1" t="n">
        <v>1.128</v>
      </c>
      <c r="G911" s="1" t="n">
        <f aca="false">IF(ISNUMBER(E911),E911,VALUE(SUBSTITUTE(E911,"#",".01")))</f>
        <v>-83018.376</v>
      </c>
    </row>
    <row r="912" customFormat="false" ht="12.75" hidden="false" customHeight="false" outlineLevel="0" collapsed="false">
      <c r="A912" s="1" t="n">
        <v>47</v>
      </c>
      <c r="B912" s="1" t="n">
        <v>40</v>
      </c>
      <c r="C912" s="1" t="n">
        <v>87</v>
      </c>
      <c r="D912" s="1" t="s">
        <v>547</v>
      </c>
      <c r="E912" s="1" t="n">
        <v>-79347.137</v>
      </c>
      <c r="F912" s="1" t="n">
        <v>4.146</v>
      </c>
      <c r="G912" s="1" t="n">
        <f aca="false">IF(ISNUMBER(E912),E912,VALUE(SUBSTITUTE(E912,"#",".01")))</f>
        <v>-79347.137</v>
      </c>
    </row>
    <row r="913" customFormat="false" ht="12.75" hidden="false" customHeight="false" outlineLevel="0" collapsed="false">
      <c r="A913" s="1" t="n">
        <v>46</v>
      </c>
      <c r="B913" s="1" t="n">
        <v>41</v>
      </c>
      <c r="C913" s="1" t="n">
        <v>87</v>
      </c>
      <c r="D913" s="1" t="s">
        <v>554</v>
      </c>
      <c r="E913" s="1" t="n">
        <v>-73874.486</v>
      </c>
      <c r="F913" s="1" t="n">
        <v>6.802</v>
      </c>
      <c r="G913" s="1" t="n">
        <f aca="false">IF(ISNUMBER(E913),E913,VALUE(SUBSTITUTE(E913,"#",".01")))</f>
        <v>-73874.486</v>
      </c>
    </row>
    <row r="914" customFormat="false" ht="12.75" hidden="false" customHeight="false" outlineLevel="0" collapsed="false">
      <c r="A914" s="1" t="n">
        <v>45</v>
      </c>
      <c r="B914" s="1" t="n">
        <v>42</v>
      </c>
      <c r="C914" s="1" t="n">
        <v>87</v>
      </c>
      <c r="D914" s="1" t="s">
        <v>562</v>
      </c>
      <c r="E914" s="1" t="n">
        <v>-66884.808</v>
      </c>
      <c r="F914" s="1" t="n">
        <v>2.857</v>
      </c>
      <c r="G914" s="1" t="n">
        <f aca="false">IF(ISNUMBER(E914),E914,VALUE(SUBSTITUTE(E914,"#",".01")))</f>
        <v>-66884.808</v>
      </c>
    </row>
    <row r="915" customFormat="false" ht="12.75" hidden="false" customHeight="false" outlineLevel="0" collapsed="false">
      <c r="A915" s="1" t="n">
        <v>44</v>
      </c>
      <c r="B915" s="1" t="n">
        <v>43</v>
      </c>
      <c r="C915" s="1" t="n">
        <v>87</v>
      </c>
      <c r="D915" s="1" t="s">
        <v>569</v>
      </c>
      <c r="E915" s="1" t="n">
        <v>-57690.044</v>
      </c>
      <c r="F915" s="1" t="n">
        <v>4.192</v>
      </c>
      <c r="G915" s="1" t="n">
        <f aca="false">IF(ISNUMBER(E915),E915,VALUE(SUBSTITUTE(E915,"#",".01")))</f>
        <v>-57690.044</v>
      </c>
    </row>
    <row r="916" customFormat="false" ht="12.75" hidden="false" customHeight="false" outlineLevel="0" collapsed="false">
      <c r="A916" s="1" t="n">
        <v>43</v>
      </c>
      <c r="B916" s="1" t="n">
        <v>44</v>
      </c>
      <c r="C916" s="1" t="n">
        <v>87</v>
      </c>
      <c r="D916" s="1" t="s">
        <v>578</v>
      </c>
      <c r="E916" s="1" t="s">
        <v>585</v>
      </c>
      <c r="F916" s="1" t="s">
        <v>378</v>
      </c>
      <c r="G916" s="1" t="n">
        <f aca="false">IF(ISNUMBER(E916),E916,VALUE(SUBSTITUTE(E916,"#",".01")))</f>
        <v>-45520.01</v>
      </c>
    </row>
    <row r="917" customFormat="false" ht="12.75" hidden="false" customHeight="false" outlineLevel="0" collapsed="false">
      <c r="A917" s="1" t="n">
        <v>56</v>
      </c>
      <c r="B917" s="1" t="n">
        <v>32</v>
      </c>
      <c r="C917" s="1" t="n">
        <v>88</v>
      </c>
      <c r="D917" s="1" t="s">
        <v>461</v>
      </c>
      <c r="E917" s="1" t="s">
        <v>586</v>
      </c>
      <c r="F917" s="1" t="s">
        <v>378</v>
      </c>
      <c r="G917" s="1" t="n">
        <f aca="false">IF(ISNUMBER(E917),E917,VALUE(SUBSTITUTE(E917,"#",".01")))</f>
        <v>-40138.01</v>
      </c>
    </row>
    <row r="918" customFormat="false" ht="12.75" hidden="false" customHeight="false" outlineLevel="0" collapsed="false">
      <c r="A918" s="1" t="n">
        <v>55</v>
      </c>
      <c r="B918" s="1" t="n">
        <v>33</v>
      </c>
      <c r="C918" s="1" t="n">
        <v>88</v>
      </c>
      <c r="D918" s="1" t="s">
        <v>471</v>
      </c>
      <c r="E918" s="1" t="s">
        <v>587</v>
      </c>
      <c r="F918" s="1" t="s">
        <v>333</v>
      </c>
      <c r="G918" s="1" t="n">
        <f aca="false">IF(ISNUMBER(E918),E918,VALUE(SUBSTITUTE(E918,"#",".01")))</f>
        <v>-50720.01</v>
      </c>
    </row>
    <row r="919" customFormat="false" ht="12.75" hidden="false" customHeight="false" outlineLevel="0" collapsed="false">
      <c r="A919" s="1" t="n">
        <v>54</v>
      </c>
      <c r="B919" s="1" t="n">
        <v>34</v>
      </c>
      <c r="C919" s="1" t="n">
        <v>88</v>
      </c>
      <c r="D919" s="1" t="s">
        <v>489</v>
      </c>
      <c r="E919" s="1" t="n">
        <v>-63884.195</v>
      </c>
      <c r="F919" s="1" t="n">
        <v>3.357</v>
      </c>
      <c r="G919" s="1" t="n">
        <f aca="false">IF(ISNUMBER(E919),E919,VALUE(SUBSTITUTE(E919,"#",".01")))</f>
        <v>-63884.195</v>
      </c>
    </row>
    <row r="920" customFormat="false" ht="12.75" hidden="false" customHeight="false" outlineLevel="0" collapsed="false">
      <c r="A920" s="1" t="n">
        <v>53</v>
      </c>
      <c r="B920" s="1" t="n">
        <v>35</v>
      </c>
      <c r="C920" s="1" t="n">
        <v>88</v>
      </c>
      <c r="D920" s="1" t="s">
        <v>500</v>
      </c>
      <c r="E920" s="1" t="n">
        <v>-70715.959</v>
      </c>
      <c r="F920" s="1" t="n">
        <v>3.171</v>
      </c>
      <c r="G920" s="1" t="n">
        <f aca="false">IF(ISNUMBER(E920),E920,VALUE(SUBSTITUTE(E920,"#",".01")))</f>
        <v>-70715.959</v>
      </c>
    </row>
    <row r="921" customFormat="false" ht="12.75" hidden="false" customHeight="false" outlineLevel="0" collapsed="false">
      <c r="A921" s="1" t="n">
        <v>52</v>
      </c>
      <c r="B921" s="1" t="n">
        <v>36</v>
      </c>
      <c r="C921" s="1" t="n">
        <v>88</v>
      </c>
      <c r="D921" s="1" t="s">
        <v>509</v>
      </c>
      <c r="E921" s="1" t="n">
        <v>-79691.286</v>
      </c>
      <c r="F921" s="1" t="n">
        <v>2.608</v>
      </c>
      <c r="G921" s="1" t="n">
        <f aca="false">IF(ISNUMBER(E921),E921,VALUE(SUBSTITUTE(E921,"#",".01")))</f>
        <v>-79691.286</v>
      </c>
    </row>
    <row r="922" customFormat="false" ht="12.75" hidden="false" customHeight="false" outlineLevel="0" collapsed="false">
      <c r="A922" s="1" t="n">
        <v>51</v>
      </c>
      <c r="B922" s="1" t="n">
        <v>37</v>
      </c>
      <c r="C922" s="1" t="n">
        <v>88</v>
      </c>
      <c r="D922" s="1" t="s">
        <v>518</v>
      </c>
      <c r="E922" s="1" t="n">
        <v>-82608.995</v>
      </c>
      <c r="F922" s="1" t="n">
        <v>0.159</v>
      </c>
      <c r="G922" s="1" t="n">
        <f aca="false">IF(ISNUMBER(E922),E922,VALUE(SUBSTITUTE(E922,"#",".01")))</f>
        <v>-82608.995</v>
      </c>
    </row>
    <row r="923" customFormat="false" ht="12.75" hidden="false" customHeight="false" outlineLevel="0" collapsed="false">
      <c r="A923" s="1" t="n">
        <v>50</v>
      </c>
      <c r="B923" s="1" t="n">
        <v>38</v>
      </c>
      <c r="C923" s="1" t="n">
        <v>88</v>
      </c>
      <c r="D923" s="1" t="s">
        <v>527</v>
      </c>
      <c r="E923" s="1" t="n">
        <v>-87921.61793</v>
      </c>
      <c r="F923" s="1" t="n">
        <v>0.00558</v>
      </c>
      <c r="G923" s="1" t="n">
        <f aca="false">IF(ISNUMBER(E923),E923,VALUE(SUBSTITUTE(E923,"#",".01")))</f>
        <v>-87921.61793</v>
      </c>
    </row>
    <row r="924" customFormat="false" ht="12.75" hidden="false" customHeight="false" outlineLevel="0" collapsed="false">
      <c r="A924" s="1" t="n">
        <v>49</v>
      </c>
      <c r="B924" s="1" t="n">
        <v>39</v>
      </c>
      <c r="C924" s="1" t="n">
        <v>88</v>
      </c>
      <c r="D924" s="1" t="s">
        <v>537</v>
      </c>
      <c r="E924" s="1" t="n">
        <v>-84299.018</v>
      </c>
      <c r="F924" s="1" t="n">
        <v>1.5</v>
      </c>
      <c r="G924" s="1" t="n">
        <f aca="false">IF(ISNUMBER(E924),E924,VALUE(SUBSTITUTE(E924,"#",".01")))</f>
        <v>-84299.018</v>
      </c>
    </row>
    <row r="925" customFormat="false" ht="12.75" hidden="false" customHeight="false" outlineLevel="0" collapsed="false">
      <c r="A925" s="1" t="n">
        <v>48</v>
      </c>
      <c r="B925" s="1" t="n">
        <v>40</v>
      </c>
      <c r="C925" s="1" t="n">
        <v>88</v>
      </c>
      <c r="D925" s="1" t="s">
        <v>547</v>
      </c>
      <c r="E925" s="1" t="n">
        <v>-83628.871</v>
      </c>
      <c r="F925" s="1" t="n">
        <v>5.403</v>
      </c>
      <c r="G925" s="1" t="n">
        <f aca="false">IF(ISNUMBER(E925),E925,VALUE(SUBSTITUTE(E925,"#",".01")))</f>
        <v>-83628.871</v>
      </c>
    </row>
    <row r="926" customFormat="false" ht="12.75" hidden="false" customHeight="false" outlineLevel="0" collapsed="false">
      <c r="A926" s="1" t="n">
        <v>47</v>
      </c>
      <c r="B926" s="1" t="n">
        <v>41</v>
      </c>
      <c r="C926" s="1" t="n">
        <v>88</v>
      </c>
      <c r="D926" s="1" t="s">
        <v>554</v>
      </c>
      <c r="E926" s="1" t="n">
        <v>-76173.586</v>
      </c>
      <c r="F926" s="1" t="n">
        <v>58.81</v>
      </c>
      <c r="G926" s="1" t="n">
        <f aca="false">IF(ISNUMBER(E926),E926,VALUE(SUBSTITUTE(E926,"#",".01")))</f>
        <v>-76173.586</v>
      </c>
    </row>
    <row r="927" customFormat="false" ht="12.75" hidden="false" customHeight="false" outlineLevel="0" collapsed="false">
      <c r="A927" s="1" t="n">
        <v>46</v>
      </c>
      <c r="B927" s="1" t="n">
        <v>42</v>
      </c>
      <c r="C927" s="1" t="n">
        <v>88</v>
      </c>
      <c r="D927" s="1" t="s">
        <v>562</v>
      </c>
      <c r="E927" s="1" t="n">
        <v>-72686.544</v>
      </c>
      <c r="F927" s="1" t="n">
        <v>3.819</v>
      </c>
      <c r="G927" s="1" t="n">
        <f aca="false">IF(ISNUMBER(E927),E927,VALUE(SUBSTITUTE(E927,"#",".01")))</f>
        <v>-72686.544</v>
      </c>
    </row>
    <row r="928" customFormat="false" ht="12.75" hidden="false" customHeight="false" outlineLevel="0" collapsed="false">
      <c r="A928" s="1" t="n">
        <v>45</v>
      </c>
      <c r="B928" s="1" t="n">
        <v>43</v>
      </c>
      <c r="C928" s="1" t="n">
        <v>88</v>
      </c>
      <c r="D928" s="1" t="s">
        <v>569</v>
      </c>
      <c r="E928" s="1" t="n">
        <v>-61681.315</v>
      </c>
      <c r="F928" s="1" t="n">
        <v>149.039</v>
      </c>
      <c r="G928" s="1" t="n">
        <f aca="false">IF(ISNUMBER(E928),E928,VALUE(SUBSTITUTE(E928,"#",".01")))</f>
        <v>-61681.315</v>
      </c>
    </row>
    <row r="929" customFormat="false" ht="12.75" hidden="false" customHeight="false" outlineLevel="0" collapsed="false">
      <c r="A929" s="1" t="n">
        <v>44</v>
      </c>
      <c r="B929" s="1" t="n">
        <v>44</v>
      </c>
      <c r="C929" s="1" t="n">
        <v>88</v>
      </c>
      <c r="D929" s="1" t="s">
        <v>578</v>
      </c>
      <c r="E929" s="1" t="s">
        <v>588</v>
      </c>
      <c r="F929" s="1" t="s">
        <v>371</v>
      </c>
      <c r="G929" s="1" t="n">
        <f aca="false">IF(ISNUMBER(E929),E929,VALUE(SUBSTITUTE(E929,"#",".01")))</f>
        <v>-54340.01</v>
      </c>
    </row>
    <row r="930" customFormat="false" ht="12.75" hidden="false" customHeight="false" outlineLevel="0" collapsed="false">
      <c r="A930" s="1" t="n">
        <v>43</v>
      </c>
      <c r="B930" s="1" t="n">
        <v>45</v>
      </c>
      <c r="C930" s="1" t="n">
        <v>88</v>
      </c>
      <c r="D930" s="1" t="s">
        <v>589</v>
      </c>
      <c r="E930" s="1" t="s">
        <v>590</v>
      </c>
      <c r="F930" s="1" t="s">
        <v>378</v>
      </c>
      <c r="G930" s="1" t="n">
        <f aca="false">IF(ISNUMBER(E930),E930,VALUE(SUBSTITUTE(E930,"#",".01")))</f>
        <v>-36860.01</v>
      </c>
    </row>
    <row r="931" customFormat="false" ht="12.75" hidden="false" customHeight="false" outlineLevel="0" collapsed="false">
      <c r="A931" s="1" t="n">
        <v>57</v>
      </c>
      <c r="B931" s="1" t="n">
        <v>32</v>
      </c>
      <c r="C931" s="1" t="n">
        <v>89</v>
      </c>
      <c r="D931" s="1" t="s">
        <v>461</v>
      </c>
      <c r="E931" s="1" t="s">
        <v>591</v>
      </c>
      <c r="F931" s="1" t="s">
        <v>378</v>
      </c>
      <c r="G931" s="1" t="n">
        <f aca="false">IF(ISNUMBER(E931),E931,VALUE(SUBSTITUTE(E931,"#",".01")))</f>
        <v>-33729.01</v>
      </c>
    </row>
    <row r="932" customFormat="false" ht="12.75" hidden="false" customHeight="false" outlineLevel="0" collapsed="false">
      <c r="A932" s="1" t="n">
        <v>56</v>
      </c>
      <c r="B932" s="1" t="n">
        <v>33</v>
      </c>
      <c r="C932" s="1" t="n">
        <v>89</v>
      </c>
      <c r="D932" s="1" t="s">
        <v>471</v>
      </c>
      <c r="E932" s="1" t="s">
        <v>592</v>
      </c>
      <c r="F932" s="1" t="s">
        <v>360</v>
      </c>
      <c r="G932" s="1" t="n">
        <f aca="false">IF(ISNUMBER(E932),E932,VALUE(SUBSTITUTE(E932,"#",".01")))</f>
        <v>-46798.01</v>
      </c>
    </row>
    <row r="933" customFormat="false" ht="12.75" hidden="false" customHeight="false" outlineLevel="0" collapsed="false">
      <c r="A933" s="1" t="n">
        <v>55</v>
      </c>
      <c r="B933" s="1" t="n">
        <v>34</v>
      </c>
      <c r="C933" s="1" t="n">
        <v>89</v>
      </c>
      <c r="D933" s="1" t="s">
        <v>489</v>
      </c>
      <c r="E933" s="1" t="n">
        <v>-58992.391</v>
      </c>
      <c r="F933" s="1" t="n">
        <v>3.729</v>
      </c>
      <c r="G933" s="1" t="n">
        <f aca="false">IF(ISNUMBER(E933),E933,VALUE(SUBSTITUTE(E933,"#",".01")))</f>
        <v>-58992.391</v>
      </c>
    </row>
    <row r="934" customFormat="false" ht="12.75" hidden="false" customHeight="false" outlineLevel="0" collapsed="false">
      <c r="A934" s="1" t="n">
        <v>54</v>
      </c>
      <c r="B934" s="1" t="n">
        <v>35</v>
      </c>
      <c r="C934" s="1" t="n">
        <v>89</v>
      </c>
      <c r="D934" s="1" t="s">
        <v>500</v>
      </c>
      <c r="E934" s="1" t="n">
        <v>-68274.263</v>
      </c>
      <c r="F934" s="1" t="n">
        <v>3.264</v>
      </c>
      <c r="G934" s="1" t="n">
        <f aca="false">IF(ISNUMBER(E934),E934,VALUE(SUBSTITUTE(E934,"#",".01")))</f>
        <v>-68274.263</v>
      </c>
    </row>
    <row r="935" customFormat="false" ht="12.75" hidden="false" customHeight="false" outlineLevel="0" collapsed="false">
      <c r="A935" s="1" t="n">
        <v>53</v>
      </c>
      <c r="B935" s="1" t="n">
        <v>36</v>
      </c>
      <c r="C935" s="1" t="n">
        <v>89</v>
      </c>
      <c r="D935" s="1" t="s">
        <v>509</v>
      </c>
      <c r="E935" s="1" t="n">
        <v>-76535.785</v>
      </c>
      <c r="F935" s="1" t="n">
        <v>2.142</v>
      </c>
      <c r="G935" s="1" t="n">
        <f aca="false">IF(ISNUMBER(E935),E935,VALUE(SUBSTITUTE(E935,"#",".01")))</f>
        <v>-76535.785</v>
      </c>
    </row>
    <row r="936" customFormat="false" ht="12.75" hidden="false" customHeight="false" outlineLevel="0" collapsed="false">
      <c r="A936" s="1" t="n">
        <v>52</v>
      </c>
      <c r="B936" s="1" t="n">
        <v>37</v>
      </c>
      <c r="C936" s="1" t="n">
        <v>89</v>
      </c>
      <c r="D936" s="1" t="s">
        <v>518</v>
      </c>
      <c r="E936" s="1" t="n">
        <v>-81712.388</v>
      </c>
      <c r="F936" s="1" t="n">
        <v>5.427</v>
      </c>
      <c r="G936" s="1" t="n">
        <f aca="false">IF(ISNUMBER(E936),E936,VALUE(SUBSTITUTE(E936,"#",".01")))</f>
        <v>-81712.388</v>
      </c>
    </row>
    <row r="937" customFormat="false" ht="12.75" hidden="false" customHeight="false" outlineLevel="0" collapsed="false">
      <c r="A937" s="1" t="n">
        <v>51</v>
      </c>
      <c r="B937" s="1" t="n">
        <v>38</v>
      </c>
      <c r="C937" s="1" t="n">
        <v>89</v>
      </c>
      <c r="D937" s="1" t="s">
        <v>527</v>
      </c>
      <c r="E937" s="1" t="n">
        <v>-86209.017</v>
      </c>
      <c r="F937" s="1" t="n">
        <v>0.092</v>
      </c>
      <c r="G937" s="1" t="n">
        <f aca="false">IF(ISNUMBER(E937),E937,VALUE(SUBSTITUTE(E937,"#",".01")))</f>
        <v>-86209.017</v>
      </c>
    </row>
    <row r="938" customFormat="false" ht="12.75" hidden="false" customHeight="false" outlineLevel="0" collapsed="false">
      <c r="A938" s="1" t="n">
        <v>50</v>
      </c>
      <c r="B938" s="1" t="n">
        <v>39</v>
      </c>
      <c r="C938" s="1" t="n">
        <v>89</v>
      </c>
      <c r="D938" s="1" t="s">
        <v>537</v>
      </c>
      <c r="E938" s="1" t="n">
        <v>-87708.352</v>
      </c>
      <c r="F938" s="1" t="n">
        <v>1.612</v>
      </c>
      <c r="G938" s="1" t="n">
        <f aca="false">IF(ISNUMBER(E938),E938,VALUE(SUBSTITUTE(E938,"#",".01")))</f>
        <v>-87708.352</v>
      </c>
    </row>
    <row r="939" customFormat="false" ht="12.75" hidden="false" customHeight="false" outlineLevel="0" collapsed="false">
      <c r="A939" s="1" t="n">
        <v>49</v>
      </c>
      <c r="B939" s="1" t="n">
        <v>40</v>
      </c>
      <c r="C939" s="1" t="n">
        <v>89</v>
      </c>
      <c r="D939" s="1" t="s">
        <v>547</v>
      </c>
      <c r="E939" s="1" t="n">
        <v>-84875.561</v>
      </c>
      <c r="F939" s="1" t="n">
        <v>3.083</v>
      </c>
      <c r="G939" s="1" t="n">
        <f aca="false">IF(ISNUMBER(E939),E939,VALUE(SUBSTITUTE(E939,"#",".01")))</f>
        <v>-84875.561</v>
      </c>
    </row>
    <row r="940" customFormat="false" ht="12.75" hidden="false" customHeight="false" outlineLevel="0" collapsed="false">
      <c r="A940" s="1" t="n">
        <v>48</v>
      </c>
      <c r="B940" s="1" t="n">
        <v>41</v>
      </c>
      <c r="C940" s="1" t="n">
        <v>89</v>
      </c>
      <c r="D940" s="1" t="s">
        <v>554</v>
      </c>
      <c r="E940" s="1" t="n">
        <v>-80625.209</v>
      </c>
      <c r="F940" s="1" t="n">
        <v>23.631</v>
      </c>
      <c r="G940" s="1" t="n">
        <f aca="false">IF(ISNUMBER(E940),E940,VALUE(SUBSTITUTE(E940,"#",".01")))</f>
        <v>-80625.209</v>
      </c>
    </row>
    <row r="941" customFormat="false" ht="12.75" hidden="false" customHeight="false" outlineLevel="0" collapsed="false">
      <c r="A941" s="1" t="n">
        <v>47</v>
      </c>
      <c r="B941" s="1" t="n">
        <v>42</v>
      </c>
      <c r="C941" s="1" t="n">
        <v>89</v>
      </c>
      <c r="D941" s="1" t="s">
        <v>562</v>
      </c>
      <c r="E941" s="1" t="n">
        <v>-75014.935</v>
      </c>
      <c r="F941" s="1" t="n">
        <v>3.912</v>
      </c>
      <c r="G941" s="1" t="n">
        <f aca="false">IF(ISNUMBER(E941),E941,VALUE(SUBSTITUTE(E941,"#",".01")))</f>
        <v>-75014.935</v>
      </c>
    </row>
    <row r="942" customFormat="false" ht="12.75" hidden="false" customHeight="false" outlineLevel="0" collapsed="false">
      <c r="A942" s="1" t="n">
        <v>46</v>
      </c>
      <c r="B942" s="1" t="n">
        <v>43</v>
      </c>
      <c r="C942" s="1" t="n">
        <v>89</v>
      </c>
      <c r="D942" s="1" t="s">
        <v>569</v>
      </c>
      <c r="E942" s="1" t="n">
        <v>-67394.848</v>
      </c>
      <c r="F942" s="1" t="n">
        <v>3.819</v>
      </c>
      <c r="G942" s="1" t="n">
        <f aca="false">IF(ISNUMBER(E942),E942,VALUE(SUBSTITUTE(E942,"#",".01")))</f>
        <v>-67394.848</v>
      </c>
    </row>
    <row r="943" customFormat="false" ht="12.75" hidden="false" customHeight="false" outlineLevel="0" collapsed="false">
      <c r="A943" s="1" t="n">
        <v>45</v>
      </c>
      <c r="B943" s="1" t="n">
        <v>44</v>
      </c>
      <c r="C943" s="1" t="n">
        <v>89</v>
      </c>
      <c r="D943" s="1" t="s">
        <v>578</v>
      </c>
      <c r="E943" s="1" t="s">
        <v>593</v>
      </c>
      <c r="F943" s="1" t="s">
        <v>360</v>
      </c>
      <c r="G943" s="1" t="n">
        <f aca="false">IF(ISNUMBER(E943),E943,VALUE(SUBSTITUTE(E943,"#",".01")))</f>
        <v>-58260.01</v>
      </c>
    </row>
    <row r="944" customFormat="false" ht="12.75" hidden="false" customHeight="false" outlineLevel="0" collapsed="false">
      <c r="A944" s="1" t="n">
        <v>44</v>
      </c>
      <c r="B944" s="1" t="n">
        <v>45</v>
      </c>
      <c r="C944" s="1" t="n">
        <v>89</v>
      </c>
      <c r="D944" s="1" t="s">
        <v>589</v>
      </c>
      <c r="E944" s="1" t="s">
        <v>594</v>
      </c>
      <c r="F944" s="1" t="s">
        <v>595</v>
      </c>
      <c r="G944" s="1" t="n">
        <f aca="false">IF(ISNUMBER(E944),E944,VALUE(SUBSTITUTE(E944,"#",".01")))</f>
        <v>-45861.01</v>
      </c>
    </row>
    <row r="945" customFormat="false" ht="12.75" hidden="false" customHeight="false" outlineLevel="0" collapsed="false">
      <c r="A945" s="1" t="n">
        <v>58</v>
      </c>
      <c r="B945" s="1" t="n">
        <v>32</v>
      </c>
      <c r="C945" s="1" t="n">
        <v>90</v>
      </c>
      <c r="D945" s="1" t="s">
        <v>461</v>
      </c>
      <c r="E945" s="1" t="s">
        <v>596</v>
      </c>
      <c r="F945" s="1" t="s">
        <v>337</v>
      </c>
      <c r="G945" s="1" t="n">
        <f aca="false">IF(ISNUMBER(E945),E945,VALUE(SUBSTITUTE(E945,"#",".01")))</f>
        <v>-29221.01</v>
      </c>
    </row>
    <row r="946" customFormat="false" ht="12.75" hidden="false" customHeight="false" outlineLevel="0" collapsed="false">
      <c r="A946" s="1" t="n">
        <v>57</v>
      </c>
      <c r="B946" s="1" t="n">
        <v>33</v>
      </c>
      <c r="C946" s="1" t="n">
        <v>90</v>
      </c>
      <c r="D946" s="1" t="s">
        <v>471</v>
      </c>
      <c r="E946" s="1" t="s">
        <v>597</v>
      </c>
      <c r="F946" s="1" t="s">
        <v>378</v>
      </c>
      <c r="G946" s="1" t="n">
        <f aca="false">IF(ISNUMBER(E946),E946,VALUE(SUBSTITUTE(E946,"#",".01")))</f>
        <v>-41330.01</v>
      </c>
    </row>
    <row r="947" customFormat="false" ht="12.75" hidden="false" customHeight="false" outlineLevel="0" collapsed="false">
      <c r="A947" s="1" t="n">
        <v>56</v>
      </c>
      <c r="B947" s="1" t="n">
        <v>34</v>
      </c>
      <c r="C947" s="1" t="n">
        <v>90</v>
      </c>
      <c r="D947" s="1" t="s">
        <v>489</v>
      </c>
      <c r="E947" s="1" t="n">
        <v>-55800.217</v>
      </c>
      <c r="F947" s="1" t="n">
        <v>329.749</v>
      </c>
      <c r="G947" s="1" t="n">
        <f aca="false">IF(ISNUMBER(E947),E947,VALUE(SUBSTITUTE(E947,"#",".01")))</f>
        <v>-55800.217</v>
      </c>
    </row>
    <row r="948" customFormat="false" ht="12.75" hidden="false" customHeight="false" outlineLevel="0" collapsed="false">
      <c r="A948" s="1" t="n">
        <v>55</v>
      </c>
      <c r="B948" s="1" t="n">
        <v>35</v>
      </c>
      <c r="C948" s="1" t="n">
        <v>90</v>
      </c>
      <c r="D948" s="1" t="s">
        <v>500</v>
      </c>
      <c r="E948" s="1" t="n">
        <v>-64000.298</v>
      </c>
      <c r="F948" s="1" t="n">
        <v>3.357</v>
      </c>
      <c r="G948" s="1" t="n">
        <f aca="false">IF(ISNUMBER(E948),E948,VALUE(SUBSTITUTE(E948,"#",".01")))</f>
        <v>-64000.298</v>
      </c>
    </row>
    <row r="949" customFormat="false" ht="12.75" hidden="false" customHeight="false" outlineLevel="0" collapsed="false">
      <c r="A949" s="1" t="n">
        <v>54</v>
      </c>
      <c r="B949" s="1" t="n">
        <v>36</v>
      </c>
      <c r="C949" s="1" t="n">
        <v>90</v>
      </c>
      <c r="D949" s="1" t="s">
        <v>509</v>
      </c>
      <c r="E949" s="1" t="n">
        <v>-74959.25</v>
      </c>
      <c r="F949" s="1" t="n">
        <v>1.863</v>
      </c>
      <c r="G949" s="1" t="n">
        <f aca="false">IF(ISNUMBER(E949),E949,VALUE(SUBSTITUTE(E949,"#",".01")))</f>
        <v>-74959.25</v>
      </c>
    </row>
    <row r="950" customFormat="false" ht="12.75" hidden="false" customHeight="false" outlineLevel="0" collapsed="false">
      <c r="A950" s="1" t="n">
        <v>53</v>
      </c>
      <c r="B950" s="1" t="n">
        <v>37</v>
      </c>
      <c r="C950" s="1" t="n">
        <v>90</v>
      </c>
      <c r="D950" s="1" t="s">
        <v>518</v>
      </c>
      <c r="E950" s="1" t="n">
        <v>-79364.404</v>
      </c>
      <c r="F950" s="1" t="n">
        <v>6.484</v>
      </c>
      <c r="G950" s="1" t="n">
        <f aca="false">IF(ISNUMBER(E950),E950,VALUE(SUBSTITUTE(E950,"#",".01")))</f>
        <v>-79364.404</v>
      </c>
    </row>
    <row r="951" customFormat="false" ht="12.75" hidden="false" customHeight="false" outlineLevel="0" collapsed="false">
      <c r="A951" s="1" t="n">
        <v>52</v>
      </c>
      <c r="B951" s="1" t="n">
        <v>38</v>
      </c>
      <c r="C951" s="1" t="n">
        <v>90</v>
      </c>
      <c r="D951" s="1" t="s">
        <v>527</v>
      </c>
      <c r="E951" s="1" t="n">
        <v>-85948.127</v>
      </c>
      <c r="F951" s="1" t="n">
        <v>2.124</v>
      </c>
      <c r="G951" s="1" t="n">
        <f aca="false">IF(ISNUMBER(E951),E951,VALUE(SUBSTITUTE(E951,"#",".01")))</f>
        <v>-85948.127</v>
      </c>
    </row>
    <row r="952" customFormat="false" ht="12.75" hidden="false" customHeight="false" outlineLevel="0" collapsed="false">
      <c r="A952" s="1" t="n">
        <v>51</v>
      </c>
      <c r="B952" s="1" t="n">
        <v>39</v>
      </c>
      <c r="C952" s="1" t="n">
        <v>90</v>
      </c>
      <c r="D952" s="1" t="s">
        <v>537</v>
      </c>
      <c r="E952" s="1" t="n">
        <v>-86494.062</v>
      </c>
      <c r="F952" s="1" t="n">
        <v>1.611</v>
      </c>
      <c r="G952" s="1" t="n">
        <f aca="false">IF(ISNUMBER(E952),E952,VALUE(SUBSTITUTE(E952,"#",".01")))</f>
        <v>-86494.062</v>
      </c>
    </row>
    <row r="953" customFormat="false" ht="12.75" hidden="false" customHeight="false" outlineLevel="0" collapsed="false">
      <c r="A953" s="1" t="n">
        <v>50</v>
      </c>
      <c r="B953" s="1" t="n">
        <v>40</v>
      </c>
      <c r="C953" s="1" t="n">
        <v>90</v>
      </c>
      <c r="D953" s="1" t="s">
        <v>547</v>
      </c>
      <c r="E953" s="1" t="n">
        <v>-88772.535</v>
      </c>
      <c r="F953" s="1" t="n">
        <v>0.118</v>
      </c>
      <c r="G953" s="1" t="n">
        <f aca="false">IF(ISNUMBER(E953),E953,VALUE(SUBSTITUTE(E953,"#",".01")))</f>
        <v>-88772.535</v>
      </c>
    </row>
    <row r="954" customFormat="false" ht="12.75" hidden="false" customHeight="false" outlineLevel="0" collapsed="false">
      <c r="A954" s="1" t="n">
        <v>49</v>
      </c>
      <c r="B954" s="1" t="n">
        <v>41</v>
      </c>
      <c r="C954" s="1" t="n">
        <v>90</v>
      </c>
      <c r="D954" s="1" t="s">
        <v>554</v>
      </c>
      <c r="E954" s="1" t="n">
        <v>-82661.519</v>
      </c>
      <c r="F954" s="1" t="n">
        <v>3.317</v>
      </c>
      <c r="G954" s="1" t="n">
        <f aca="false">IF(ISNUMBER(E954),E954,VALUE(SUBSTITUTE(E954,"#",".01")))</f>
        <v>-82661.519</v>
      </c>
    </row>
    <row r="955" customFormat="false" ht="12.75" hidden="false" customHeight="false" outlineLevel="0" collapsed="false">
      <c r="A955" s="1" t="n">
        <v>48</v>
      </c>
      <c r="B955" s="1" t="n">
        <v>42</v>
      </c>
      <c r="C955" s="1" t="n">
        <v>90</v>
      </c>
      <c r="D955" s="1" t="s">
        <v>562</v>
      </c>
      <c r="E955" s="1" t="n">
        <v>-80172.503</v>
      </c>
      <c r="F955" s="1" t="n">
        <v>3.463</v>
      </c>
      <c r="G955" s="1" t="n">
        <f aca="false">IF(ISNUMBER(E955),E955,VALUE(SUBSTITUTE(E955,"#",".01")))</f>
        <v>-80172.503</v>
      </c>
    </row>
    <row r="956" customFormat="false" ht="12.75" hidden="false" customHeight="false" outlineLevel="0" collapsed="false">
      <c r="A956" s="1" t="n">
        <v>47</v>
      </c>
      <c r="B956" s="1" t="n">
        <v>43</v>
      </c>
      <c r="C956" s="1" t="n">
        <v>90</v>
      </c>
      <c r="D956" s="1" t="s">
        <v>569</v>
      </c>
      <c r="E956" s="1" t="n">
        <v>-70724.687</v>
      </c>
      <c r="F956" s="1" t="n">
        <v>1.025</v>
      </c>
      <c r="G956" s="1" t="n">
        <f aca="false">IF(ISNUMBER(E956),E956,VALUE(SUBSTITUTE(E956,"#",".01")))</f>
        <v>-70724.687</v>
      </c>
    </row>
    <row r="957" customFormat="false" ht="12.75" hidden="false" customHeight="false" outlineLevel="0" collapsed="false">
      <c r="A957" s="1" t="n">
        <v>46</v>
      </c>
      <c r="B957" s="1" t="n">
        <v>44</v>
      </c>
      <c r="C957" s="1" t="n">
        <v>90</v>
      </c>
      <c r="D957" s="1" t="s">
        <v>578</v>
      </c>
      <c r="E957" s="1" t="n">
        <v>-64883.792</v>
      </c>
      <c r="F957" s="1" t="n">
        <v>3.73</v>
      </c>
      <c r="G957" s="1" t="n">
        <f aca="false">IF(ISNUMBER(E957),E957,VALUE(SUBSTITUTE(E957,"#",".01")))</f>
        <v>-64883.792</v>
      </c>
    </row>
    <row r="958" customFormat="false" ht="12.75" hidden="false" customHeight="false" outlineLevel="0" collapsed="false">
      <c r="A958" s="1" t="n">
        <v>45</v>
      </c>
      <c r="B958" s="1" t="n">
        <v>45</v>
      </c>
      <c r="C958" s="1" t="n">
        <v>90</v>
      </c>
      <c r="D958" s="1" t="s">
        <v>589</v>
      </c>
      <c r="E958" s="1" t="s">
        <v>598</v>
      </c>
      <c r="F958" s="1" t="s">
        <v>371</v>
      </c>
      <c r="G958" s="1" t="n">
        <f aca="false">IF(ISNUMBER(E958),E958,VALUE(SUBSTITUTE(E958,"#",".01")))</f>
        <v>-51700.01</v>
      </c>
    </row>
    <row r="959" customFormat="false" ht="12.75" hidden="false" customHeight="false" outlineLevel="0" collapsed="false">
      <c r="A959" s="1" t="n">
        <v>44</v>
      </c>
      <c r="B959" s="1" t="n">
        <v>46</v>
      </c>
      <c r="C959" s="1" t="n">
        <v>90</v>
      </c>
      <c r="D959" s="1" t="s">
        <v>599</v>
      </c>
      <c r="E959" s="1" t="s">
        <v>600</v>
      </c>
      <c r="F959" s="1" t="s">
        <v>378</v>
      </c>
      <c r="G959" s="1" t="n">
        <f aca="false">IF(ISNUMBER(E959),E959,VALUE(SUBSTITUTE(E959,"#",".01")))</f>
        <v>-39710.01</v>
      </c>
    </row>
    <row r="960" customFormat="false" ht="12.75" hidden="false" customHeight="false" outlineLevel="0" collapsed="false">
      <c r="A960" s="1" t="n">
        <v>58</v>
      </c>
      <c r="B960" s="1" t="n">
        <v>33</v>
      </c>
      <c r="C960" s="1" t="n">
        <v>91</v>
      </c>
      <c r="D960" s="1" t="s">
        <v>471</v>
      </c>
      <c r="E960" s="1" t="s">
        <v>601</v>
      </c>
      <c r="F960" s="1" t="s">
        <v>378</v>
      </c>
      <c r="G960" s="1" t="n">
        <f aca="false">IF(ISNUMBER(E960),E960,VALUE(SUBSTITUTE(E960,"#",".01")))</f>
        <v>-36896.01</v>
      </c>
    </row>
    <row r="961" customFormat="false" ht="12.75" hidden="false" customHeight="false" outlineLevel="0" collapsed="false">
      <c r="A961" s="1" t="n">
        <v>57</v>
      </c>
      <c r="B961" s="1" t="n">
        <v>34</v>
      </c>
      <c r="C961" s="1" t="n">
        <v>91</v>
      </c>
      <c r="D961" s="1" t="s">
        <v>489</v>
      </c>
      <c r="E961" s="1" t="n">
        <v>-50580.124</v>
      </c>
      <c r="F961" s="1" t="n">
        <v>433.145</v>
      </c>
      <c r="G961" s="1" t="n">
        <f aca="false">IF(ISNUMBER(E961),E961,VALUE(SUBSTITUTE(E961,"#",".01")))</f>
        <v>-50580.124</v>
      </c>
    </row>
    <row r="962" customFormat="false" ht="12.75" hidden="false" customHeight="false" outlineLevel="0" collapsed="false">
      <c r="A962" s="1" t="n">
        <v>56</v>
      </c>
      <c r="B962" s="1" t="n">
        <v>35</v>
      </c>
      <c r="C962" s="1" t="n">
        <v>91</v>
      </c>
      <c r="D962" s="1" t="s">
        <v>500</v>
      </c>
      <c r="E962" s="1" t="n">
        <v>-61107.294</v>
      </c>
      <c r="F962" s="1" t="n">
        <v>3.544</v>
      </c>
      <c r="G962" s="1" t="n">
        <f aca="false">IF(ISNUMBER(E962),E962,VALUE(SUBSTITUTE(E962,"#",".01")))</f>
        <v>-61107.294</v>
      </c>
    </row>
    <row r="963" customFormat="false" ht="12.75" hidden="false" customHeight="false" outlineLevel="0" collapsed="false">
      <c r="A963" s="1" t="n">
        <v>55</v>
      </c>
      <c r="B963" s="1" t="n">
        <v>36</v>
      </c>
      <c r="C963" s="1" t="n">
        <v>91</v>
      </c>
      <c r="D963" s="1" t="s">
        <v>509</v>
      </c>
      <c r="E963" s="1" t="n">
        <v>-70973.965</v>
      </c>
      <c r="F963" s="1" t="n">
        <v>2.236</v>
      </c>
      <c r="G963" s="1" t="n">
        <f aca="false">IF(ISNUMBER(E963),E963,VALUE(SUBSTITUTE(E963,"#",".01")))</f>
        <v>-70973.965</v>
      </c>
    </row>
    <row r="964" customFormat="false" ht="12.75" hidden="false" customHeight="false" outlineLevel="0" collapsed="false">
      <c r="A964" s="1" t="n">
        <v>54</v>
      </c>
      <c r="B964" s="1" t="n">
        <v>37</v>
      </c>
      <c r="C964" s="1" t="n">
        <v>91</v>
      </c>
      <c r="D964" s="1" t="s">
        <v>518</v>
      </c>
      <c r="E964" s="1" t="n">
        <v>-77745.037</v>
      </c>
      <c r="F964" s="1" t="n">
        <v>7.801</v>
      </c>
      <c r="G964" s="1" t="n">
        <f aca="false">IF(ISNUMBER(E964),E964,VALUE(SUBSTITUTE(E964,"#",".01")))</f>
        <v>-77745.037</v>
      </c>
    </row>
    <row r="965" customFormat="false" ht="12.75" hidden="false" customHeight="false" outlineLevel="0" collapsed="false">
      <c r="A965" s="1" t="n">
        <v>53</v>
      </c>
      <c r="B965" s="1" t="n">
        <v>38</v>
      </c>
      <c r="C965" s="1" t="n">
        <v>91</v>
      </c>
      <c r="D965" s="1" t="s">
        <v>527</v>
      </c>
      <c r="E965" s="1" t="n">
        <v>-83651.927</v>
      </c>
      <c r="F965" s="1" t="n">
        <v>5.453</v>
      </c>
      <c r="G965" s="1" t="n">
        <f aca="false">IF(ISNUMBER(E965),E965,VALUE(SUBSTITUTE(E965,"#",".01")))</f>
        <v>-83651.927</v>
      </c>
    </row>
    <row r="966" customFormat="false" ht="12.75" hidden="false" customHeight="false" outlineLevel="0" collapsed="false">
      <c r="A966" s="1" t="n">
        <v>52</v>
      </c>
      <c r="B966" s="1" t="n">
        <v>39</v>
      </c>
      <c r="C966" s="1" t="n">
        <v>91</v>
      </c>
      <c r="D966" s="1" t="s">
        <v>537</v>
      </c>
      <c r="E966" s="1" t="n">
        <v>-86351.295</v>
      </c>
      <c r="F966" s="1" t="n">
        <v>1.843</v>
      </c>
      <c r="G966" s="1" t="n">
        <f aca="false">IF(ISNUMBER(E966),E966,VALUE(SUBSTITUTE(E966,"#",".01")))</f>
        <v>-86351.295</v>
      </c>
    </row>
    <row r="967" customFormat="false" ht="12.75" hidden="false" customHeight="false" outlineLevel="0" collapsed="false">
      <c r="A967" s="1" t="n">
        <v>51</v>
      </c>
      <c r="B967" s="1" t="n">
        <v>40</v>
      </c>
      <c r="C967" s="1" t="n">
        <v>91</v>
      </c>
      <c r="D967" s="1" t="s">
        <v>547</v>
      </c>
      <c r="E967" s="1" t="n">
        <v>-87895.566</v>
      </c>
      <c r="F967" s="1" t="n">
        <v>0.105</v>
      </c>
      <c r="G967" s="1" t="n">
        <f aca="false">IF(ISNUMBER(E967),E967,VALUE(SUBSTITUTE(E967,"#",".01")))</f>
        <v>-87895.566</v>
      </c>
    </row>
    <row r="968" customFormat="false" ht="12.75" hidden="false" customHeight="false" outlineLevel="0" collapsed="false">
      <c r="A968" s="1" t="n">
        <v>50</v>
      </c>
      <c r="B968" s="1" t="n">
        <v>41</v>
      </c>
      <c r="C968" s="1" t="n">
        <v>91</v>
      </c>
      <c r="D968" s="1" t="s">
        <v>554</v>
      </c>
      <c r="E968" s="1" t="n">
        <v>-86638.001</v>
      </c>
      <c r="F968" s="1" t="n">
        <v>2.926</v>
      </c>
      <c r="G968" s="1" t="n">
        <f aca="false">IF(ISNUMBER(E968),E968,VALUE(SUBSTITUTE(E968,"#",".01")))</f>
        <v>-86638.001</v>
      </c>
    </row>
    <row r="969" customFormat="false" ht="12.75" hidden="false" customHeight="false" outlineLevel="0" collapsed="false">
      <c r="A969" s="1" t="n">
        <v>49</v>
      </c>
      <c r="B969" s="1" t="n">
        <v>42</v>
      </c>
      <c r="C969" s="1" t="n">
        <v>91</v>
      </c>
      <c r="D969" s="1" t="s">
        <v>562</v>
      </c>
      <c r="E969" s="1" t="n">
        <v>-82208.821</v>
      </c>
      <c r="F969" s="1" t="n">
        <v>6.238</v>
      </c>
      <c r="G969" s="1" t="n">
        <f aca="false">IF(ISNUMBER(E969),E969,VALUE(SUBSTITUTE(E969,"#",".01")))</f>
        <v>-82208.821</v>
      </c>
    </row>
    <row r="970" customFormat="false" ht="12.75" hidden="false" customHeight="false" outlineLevel="0" collapsed="false">
      <c r="A970" s="1" t="n">
        <v>48</v>
      </c>
      <c r="B970" s="1" t="n">
        <v>43</v>
      </c>
      <c r="C970" s="1" t="n">
        <v>91</v>
      </c>
      <c r="D970" s="1" t="s">
        <v>569</v>
      </c>
      <c r="E970" s="1" t="n">
        <v>-75986.646</v>
      </c>
      <c r="F970" s="1" t="n">
        <v>2.363</v>
      </c>
      <c r="G970" s="1" t="n">
        <f aca="false">IF(ISNUMBER(E970),E970,VALUE(SUBSTITUTE(E970,"#",".01")))</f>
        <v>-75986.646</v>
      </c>
    </row>
    <row r="971" customFormat="false" ht="12.75" hidden="false" customHeight="false" outlineLevel="0" collapsed="false">
      <c r="A971" s="1" t="n">
        <v>47</v>
      </c>
      <c r="B971" s="1" t="n">
        <v>44</v>
      </c>
      <c r="C971" s="1" t="n">
        <v>91</v>
      </c>
      <c r="D971" s="1" t="s">
        <v>578</v>
      </c>
      <c r="E971" s="1" t="n">
        <v>-68239.823</v>
      </c>
      <c r="F971" s="1" t="n">
        <v>2.221</v>
      </c>
      <c r="G971" s="1" t="n">
        <f aca="false">IF(ISNUMBER(E971),E971,VALUE(SUBSTITUTE(E971,"#",".01")))</f>
        <v>-68239.823</v>
      </c>
    </row>
    <row r="972" customFormat="false" ht="12.75" hidden="false" customHeight="false" outlineLevel="0" collapsed="false">
      <c r="A972" s="1" t="n">
        <v>46</v>
      </c>
      <c r="B972" s="1" t="n">
        <v>45</v>
      </c>
      <c r="C972" s="1" t="n">
        <v>91</v>
      </c>
      <c r="D972" s="1" t="s">
        <v>589</v>
      </c>
      <c r="E972" s="1" t="s">
        <v>602</v>
      </c>
      <c r="F972" s="1" t="s">
        <v>360</v>
      </c>
      <c r="G972" s="1" t="n">
        <f aca="false">IF(ISNUMBER(E972),E972,VALUE(SUBSTITUTE(E972,"#",".01")))</f>
        <v>-58570.01</v>
      </c>
    </row>
    <row r="973" customFormat="false" ht="12.75" hidden="false" customHeight="false" outlineLevel="0" collapsed="false">
      <c r="A973" s="1" t="n">
        <v>45</v>
      </c>
      <c r="B973" s="1" t="n">
        <v>46</v>
      </c>
      <c r="C973" s="1" t="n">
        <v>91</v>
      </c>
      <c r="D973" s="1" t="s">
        <v>599</v>
      </c>
      <c r="E973" s="1" t="s">
        <v>603</v>
      </c>
      <c r="F973" s="1" t="s">
        <v>320</v>
      </c>
      <c r="G973" s="1" t="n">
        <f aca="false">IF(ISNUMBER(E973),E973,VALUE(SUBSTITUTE(E973,"#",".01")))</f>
        <v>-45930.01</v>
      </c>
    </row>
    <row r="974" customFormat="false" ht="12.75" hidden="false" customHeight="false" outlineLevel="0" collapsed="false">
      <c r="A974" s="1" t="n">
        <v>59</v>
      </c>
      <c r="B974" s="1" t="n">
        <v>33</v>
      </c>
      <c r="C974" s="1" t="n">
        <v>92</v>
      </c>
      <c r="D974" s="1" t="s">
        <v>471</v>
      </c>
      <c r="E974" s="1" t="s">
        <v>604</v>
      </c>
      <c r="F974" s="1" t="s">
        <v>337</v>
      </c>
      <c r="G974" s="1" t="n">
        <f aca="false">IF(ISNUMBER(E974),E974,VALUE(SUBSTITUTE(E974,"#",".01")))</f>
        <v>-30981.01</v>
      </c>
    </row>
    <row r="975" customFormat="false" ht="12.75" hidden="false" customHeight="false" outlineLevel="0" collapsed="false">
      <c r="A975" s="1" t="n">
        <v>58</v>
      </c>
      <c r="B975" s="1" t="n">
        <v>34</v>
      </c>
      <c r="C975" s="1" t="n">
        <v>92</v>
      </c>
      <c r="D975" s="1" t="s">
        <v>489</v>
      </c>
      <c r="E975" s="1" t="s">
        <v>605</v>
      </c>
      <c r="F975" s="1" t="s">
        <v>378</v>
      </c>
      <c r="G975" s="1" t="n">
        <f aca="false">IF(ISNUMBER(E975),E975,VALUE(SUBSTITUTE(E975,"#",".01")))</f>
        <v>-46724.01</v>
      </c>
    </row>
    <row r="976" customFormat="false" ht="12.75" hidden="false" customHeight="false" outlineLevel="0" collapsed="false">
      <c r="A976" s="1" t="n">
        <v>57</v>
      </c>
      <c r="B976" s="1" t="n">
        <v>35</v>
      </c>
      <c r="C976" s="1" t="n">
        <v>92</v>
      </c>
      <c r="D976" s="1" t="s">
        <v>500</v>
      </c>
      <c r="E976" s="1" t="n">
        <v>-56232.805</v>
      </c>
      <c r="F976" s="1" t="n">
        <v>6.709</v>
      </c>
      <c r="G976" s="1" t="n">
        <f aca="false">IF(ISNUMBER(E976),E976,VALUE(SUBSTITUTE(E976,"#",".01")))</f>
        <v>-56232.805</v>
      </c>
    </row>
    <row r="977" customFormat="false" ht="12.75" hidden="false" customHeight="false" outlineLevel="0" collapsed="false">
      <c r="A977" s="1" t="n">
        <v>56</v>
      </c>
      <c r="B977" s="1" t="n">
        <v>36</v>
      </c>
      <c r="C977" s="1" t="n">
        <v>92</v>
      </c>
      <c r="D977" s="1" t="s">
        <v>509</v>
      </c>
      <c r="E977" s="1" t="n">
        <v>-68769.32</v>
      </c>
      <c r="F977" s="1" t="n">
        <v>2.701</v>
      </c>
      <c r="G977" s="1" t="n">
        <f aca="false">IF(ISNUMBER(E977),E977,VALUE(SUBSTITUTE(E977,"#",".01")))</f>
        <v>-68769.32</v>
      </c>
    </row>
    <row r="978" customFormat="false" ht="12.75" hidden="false" customHeight="false" outlineLevel="0" collapsed="false">
      <c r="A978" s="1" t="n">
        <v>55</v>
      </c>
      <c r="B978" s="1" t="n">
        <v>37</v>
      </c>
      <c r="C978" s="1" t="n">
        <v>92</v>
      </c>
      <c r="D978" s="1" t="s">
        <v>518</v>
      </c>
      <c r="E978" s="1" t="n">
        <v>-74772.438</v>
      </c>
      <c r="F978" s="1" t="n">
        <v>6.123</v>
      </c>
      <c r="G978" s="1" t="n">
        <f aca="false">IF(ISNUMBER(E978),E978,VALUE(SUBSTITUTE(E978,"#",".01")))</f>
        <v>-74772.438</v>
      </c>
    </row>
    <row r="979" customFormat="false" ht="12.75" hidden="false" customHeight="false" outlineLevel="0" collapsed="false">
      <c r="A979" s="1" t="n">
        <v>54</v>
      </c>
      <c r="B979" s="1" t="n">
        <v>38</v>
      </c>
      <c r="C979" s="1" t="n">
        <v>92</v>
      </c>
      <c r="D979" s="1" t="s">
        <v>527</v>
      </c>
      <c r="E979" s="1" t="n">
        <v>-82867.361</v>
      </c>
      <c r="F979" s="1" t="n">
        <v>3.423</v>
      </c>
      <c r="G979" s="1" t="n">
        <f aca="false">IF(ISNUMBER(E979),E979,VALUE(SUBSTITUTE(E979,"#",".01")))</f>
        <v>-82867.361</v>
      </c>
    </row>
    <row r="980" customFormat="false" ht="12.75" hidden="false" customHeight="false" outlineLevel="0" collapsed="false">
      <c r="A980" s="1" t="n">
        <v>53</v>
      </c>
      <c r="B980" s="1" t="n">
        <v>39</v>
      </c>
      <c r="C980" s="1" t="n">
        <v>92</v>
      </c>
      <c r="D980" s="1" t="s">
        <v>537</v>
      </c>
      <c r="E980" s="1" t="n">
        <v>-84816.492</v>
      </c>
      <c r="F980" s="1" t="n">
        <v>9.127</v>
      </c>
      <c r="G980" s="1" t="n">
        <f aca="false">IF(ISNUMBER(E980),E980,VALUE(SUBSTITUTE(E980,"#",".01")))</f>
        <v>-84816.492</v>
      </c>
    </row>
    <row r="981" customFormat="false" ht="12.75" hidden="false" customHeight="false" outlineLevel="0" collapsed="false">
      <c r="A981" s="1" t="n">
        <v>52</v>
      </c>
      <c r="B981" s="1" t="n">
        <v>40</v>
      </c>
      <c r="C981" s="1" t="n">
        <v>92</v>
      </c>
      <c r="D981" s="1" t="s">
        <v>547</v>
      </c>
      <c r="E981" s="1" t="n">
        <v>-88459.028</v>
      </c>
      <c r="F981" s="1" t="n">
        <v>0.102</v>
      </c>
      <c r="G981" s="1" t="n">
        <f aca="false">IF(ISNUMBER(E981),E981,VALUE(SUBSTITUTE(E981,"#",".01")))</f>
        <v>-88459.028</v>
      </c>
    </row>
    <row r="982" customFormat="false" ht="12.75" hidden="false" customHeight="false" outlineLevel="0" collapsed="false">
      <c r="A982" s="1" t="n">
        <v>51</v>
      </c>
      <c r="B982" s="1" t="n">
        <v>41</v>
      </c>
      <c r="C982" s="1" t="n">
        <v>92</v>
      </c>
      <c r="D982" s="1" t="s">
        <v>554</v>
      </c>
      <c r="E982" s="1" t="n">
        <v>-86453.292</v>
      </c>
      <c r="F982" s="1" t="n">
        <v>1.785</v>
      </c>
      <c r="G982" s="1" t="n">
        <f aca="false">IF(ISNUMBER(E982),E982,VALUE(SUBSTITUTE(E982,"#",".01")))</f>
        <v>-86453.292</v>
      </c>
    </row>
    <row r="983" customFormat="false" ht="12.75" hidden="false" customHeight="false" outlineLevel="0" collapsed="false">
      <c r="A983" s="1" t="n">
        <v>50</v>
      </c>
      <c r="B983" s="1" t="n">
        <v>42</v>
      </c>
      <c r="C983" s="1" t="n">
        <v>92</v>
      </c>
      <c r="D983" s="1" t="s">
        <v>562</v>
      </c>
      <c r="E983" s="1" t="n">
        <v>-86808.576</v>
      </c>
      <c r="F983" s="1" t="n">
        <v>0.157</v>
      </c>
      <c r="G983" s="1" t="n">
        <f aca="false">IF(ISNUMBER(E983),E983,VALUE(SUBSTITUTE(E983,"#",".01")))</f>
        <v>-86808.576</v>
      </c>
    </row>
    <row r="984" customFormat="false" ht="12.75" hidden="false" customHeight="false" outlineLevel="0" collapsed="false">
      <c r="A984" s="1" t="n">
        <v>49</v>
      </c>
      <c r="B984" s="1" t="n">
        <v>43</v>
      </c>
      <c r="C984" s="1" t="n">
        <v>92</v>
      </c>
      <c r="D984" s="1" t="s">
        <v>569</v>
      </c>
      <c r="E984" s="1" t="n">
        <v>-78925.693</v>
      </c>
      <c r="F984" s="1" t="n">
        <v>3.102</v>
      </c>
      <c r="G984" s="1" t="n">
        <f aca="false">IF(ISNUMBER(E984),E984,VALUE(SUBSTITUTE(E984,"#",".01")))</f>
        <v>-78925.693</v>
      </c>
    </row>
    <row r="985" customFormat="false" ht="12.75" hidden="false" customHeight="false" outlineLevel="0" collapsed="false">
      <c r="A985" s="1" t="n">
        <v>48</v>
      </c>
      <c r="B985" s="1" t="n">
        <v>44</v>
      </c>
      <c r="C985" s="1" t="n">
        <v>92</v>
      </c>
      <c r="D985" s="1" t="s">
        <v>578</v>
      </c>
      <c r="E985" s="1" t="n">
        <v>-74301.201</v>
      </c>
      <c r="F985" s="1" t="n">
        <v>2.718</v>
      </c>
      <c r="G985" s="1" t="n">
        <f aca="false">IF(ISNUMBER(E985),E985,VALUE(SUBSTITUTE(E985,"#",".01")))</f>
        <v>-74301.201</v>
      </c>
    </row>
    <row r="986" customFormat="false" ht="12.75" hidden="false" customHeight="false" outlineLevel="0" collapsed="false">
      <c r="A986" s="1" t="n">
        <v>47</v>
      </c>
      <c r="B986" s="1" t="n">
        <v>45</v>
      </c>
      <c r="C986" s="1" t="n">
        <v>92</v>
      </c>
      <c r="D986" s="1" t="s">
        <v>589</v>
      </c>
      <c r="E986" s="1" t="n">
        <v>-62999.087</v>
      </c>
      <c r="F986" s="1" t="n">
        <v>4.378</v>
      </c>
      <c r="G986" s="1" t="n">
        <f aca="false">IF(ISNUMBER(E986),E986,VALUE(SUBSTITUTE(E986,"#",".01")))</f>
        <v>-62999.087</v>
      </c>
    </row>
    <row r="987" customFormat="false" ht="12.75" hidden="false" customHeight="false" outlineLevel="0" collapsed="false">
      <c r="A987" s="1" t="n">
        <v>46</v>
      </c>
      <c r="B987" s="1" t="n">
        <v>46</v>
      </c>
      <c r="C987" s="1" t="n">
        <v>92</v>
      </c>
      <c r="D987" s="1" t="s">
        <v>599</v>
      </c>
      <c r="E987" s="1" t="s">
        <v>606</v>
      </c>
      <c r="F987" s="1" t="s">
        <v>371</v>
      </c>
      <c r="G987" s="1" t="n">
        <f aca="false">IF(ISNUMBER(E987),E987,VALUE(SUBSTITUTE(E987,"#",".01")))</f>
        <v>-54580.01</v>
      </c>
    </row>
    <row r="988" customFormat="false" ht="12.75" hidden="false" customHeight="false" outlineLevel="0" collapsed="false">
      <c r="A988" s="1" t="n">
        <v>45</v>
      </c>
      <c r="B988" s="1" t="n">
        <v>47</v>
      </c>
      <c r="C988" s="1" t="n">
        <v>92</v>
      </c>
      <c r="D988" s="1" t="s">
        <v>607</v>
      </c>
      <c r="E988" s="1" t="s">
        <v>608</v>
      </c>
      <c r="F988" s="1" t="s">
        <v>337</v>
      </c>
      <c r="G988" s="1" t="n">
        <f aca="false">IF(ISNUMBER(E988),E988,VALUE(SUBSTITUTE(E988,"#",".01")))</f>
        <v>-37130.01</v>
      </c>
    </row>
    <row r="989" customFormat="false" ht="12.75" hidden="false" customHeight="false" outlineLevel="0" collapsed="false">
      <c r="A989" s="1" t="n">
        <v>59</v>
      </c>
      <c r="B989" s="1" t="n">
        <v>34</v>
      </c>
      <c r="C989" s="1" t="n">
        <v>93</v>
      </c>
      <c r="D989" s="1" t="s">
        <v>489</v>
      </c>
      <c r="E989" s="1" t="s">
        <v>609</v>
      </c>
      <c r="F989" s="1" t="s">
        <v>378</v>
      </c>
      <c r="G989" s="1" t="n">
        <f aca="false">IF(ISNUMBER(E989),E989,VALUE(SUBSTITUTE(E989,"#",".01")))</f>
        <v>-40716.01</v>
      </c>
    </row>
    <row r="990" customFormat="false" ht="12.75" hidden="false" customHeight="false" outlineLevel="0" collapsed="false">
      <c r="A990" s="1" t="n">
        <v>58</v>
      </c>
      <c r="B990" s="1" t="n">
        <v>35</v>
      </c>
      <c r="C990" s="1" t="n">
        <v>93</v>
      </c>
      <c r="D990" s="1" t="s">
        <v>500</v>
      </c>
      <c r="E990" s="1" t="n">
        <v>-52890.23</v>
      </c>
      <c r="F990" s="1" t="n">
        <v>430.816</v>
      </c>
      <c r="G990" s="1" t="n">
        <f aca="false">IF(ISNUMBER(E990),E990,VALUE(SUBSTITUTE(E990,"#",".01")))</f>
        <v>-52890.23</v>
      </c>
    </row>
    <row r="991" customFormat="false" ht="12.75" hidden="false" customHeight="false" outlineLevel="0" collapsed="false">
      <c r="A991" s="1" t="n">
        <v>57</v>
      </c>
      <c r="B991" s="1" t="n">
        <v>36</v>
      </c>
      <c r="C991" s="1" t="n">
        <v>93</v>
      </c>
      <c r="D991" s="1" t="s">
        <v>509</v>
      </c>
      <c r="E991" s="1" t="n">
        <v>-64135.994</v>
      </c>
      <c r="F991" s="1" t="n">
        <v>2.515</v>
      </c>
      <c r="G991" s="1" t="n">
        <f aca="false">IF(ISNUMBER(E991),E991,VALUE(SUBSTITUTE(E991,"#",".01")))</f>
        <v>-64135.994</v>
      </c>
    </row>
    <row r="992" customFormat="false" ht="12.75" hidden="false" customHeight="false" outlineLevel="0" collapsed="false">
      <c r="A992" s="1" t="n">
        <v>56</v>
      </c>
      <c r="B992" s="1" t="n">
        <v>37</v>
      </c>
      <c r="C992" s="1" t="n">
        <v>93</v>
      </c>
      <c r="D992" s="1" t="s">
        <v>518</v>
      </c>
      <c r="E992" s="1" t="n">
        <v>-72619.901</v>
      </c>
      <c r="F992" s="1" t="n">
        <v>7.83</v>
      </c>
      <c r="G992" s="1" t="n">
        <f aca="false">IF(ISNUMBER(E992),E992,VALUE(SUBSTITUTE(E992,"#",".01")))</f>
        <v>-72619.901</v>
      </c>
    </row>
    <row r="993" customFormat="false" ht="12.75" hidden="false" customHeight="false" outlineLevel="0" collapsed="false">
      <c r="A993" s="1" t="n">
        <v>55</v>
      </c>
      <c r="B993" s="1" t="n">
        <v>38</v>
      </c>
      <c r="C993" s="1" t="n">
        <v>93</v>
      </c>
      <c r="D993" s="1" t="s">
        <v>527</v>
      </c>
      <c r="E993" s="1" t="n">
        <v>-80085.838</v>
      </c>
      <c r="F993" s="1" t="n">
        <v>7.554</v>
      </c>
      <c r="G993" s="1" t="n">
        <f aca="false">IF(ISNUMBER(E993),E993,VALUE(SUBSTITUTE(E993,"#",".01")))</f>
        <v>-80085.838</v>
      </c>
    </row>
    <row r="994" customFormat="false" ht="12.75" hidden="false" customHeight="false" outlineLevel="0" collapsed="false">
      <c r="A994" s="1" t="n">
        <v>54</v>
      </c>
      <c r="B994" s="1" t="n">
        <v>39</v>
      </c>
      <c r="C994" s="1" t="n">
        <v>93</v>
      </c>
      <c r="D994" s="1" t="s">
        <v>537</v>
      </c>
      <c r="E994" s="1" t="n">
        <v>-84227.157</v>
      </c>
      <c r="F994" s="1" t="n">
        <v>10.488</v>
      </c>
      <c r="G994" s="1" t="n">
        <f aca="false">IF(ISNUMBER(E994),E994,VALUE(SUBSTITUTE(E994,"#",".01")))</f>
        <v>-84227.157</v>
      </c>
    </row>
    <row r="995" customFormat="false" ht="12.75" hidden="false" customHeight="false" outlineLevel="0" collapsed="false">
      <c r="A995" s="1" t="n">
        <v>53</v>
      </c>
      <c r="B995" s="1" t="n">
        <v>40</v>
      </c>
      <c r="C995" s="1" t="n">
        <v>93</v>
      </c>
      <c r="D995" s="1" t="s">
        <v>547</v>
      </c>
      <c r="E995" s="1" t="n">
        <v>-87122.032</v>
      </c>
      <c r="F995" s="1" t="n">
        <v>0.457</v>
      </c>
      <c r="G995" s="1" t="n">
        <f aca="false">IF(ISNUMBER(E995),E995,VALUE(SUBSTITUTE(E995,"#",".01")))</f>
        <v>-87122.032</v>
      </c>
    </row>
    <row r="996" customFormat="false" ht="12.75" hidden="false" customHeight="false" outlineLevel="0" collapsed="false">
      <c r="A996" s="1" t="n">
        <v>52</v>
      </c>
      <c r="B996" s="1" t="n">
        <v>41</v>
      </c>
      <c r="C996" s="1" t="n">
        <v>93</v>
      </c>
      <c r="D996" s="1" t="s">
        <v>554</v>
      </c>
      <c r="E996" s="1" t="n">
        <v>-87212.838</v>
      </c>
      <c r="F996" s="1" t="n">
        <v>1.491</v>
      </c>
      <c r="G996" s="1" t="n">
        <f aca="false">IF(ISNUMBER(E996),E996,VALUE(SUBSTITUTE(E996,"#",".01")))</f>
        <v>-87212.838</v>
      </c>
    </row>
    <row r="997" customFormat="false" ht="12.75" hidden="false" customHeight="false" outlineLevel="0" collapsed="false">
      <c r="A997" s="1" t="n">
        <v>51</v>
      </c>
      <c r="B997" s="1" t="n">
        <v>42</v>
      </c>
      <c r="C997" s="1" t="n">
        <v>93</v>
      </c>
      <c r="D997" s="1" t="s">
        <v>562</v>
      </c>
      <c r="E997" s="1" t="n">
        <v>-86807.069</v>
      </c>
      <c r="F997" s="1" t="n">
        <v>0.181</v>
      </c>
      <c r="G997" s="1" t="n">
        <f aca="false">IF(ISNUMBER(E997),E997,VALUE(SUBSTITUTE(E997,"#",".01")))</f>
        <v>-86807.069</v>
      </c>
    </row>
    <row r="998" customFormat="false" ht="12.75" hidden="false" customHeight="false" outlineLevel="0" collapsed="false">
      <c r="A998" s="1" t="n">
        <v>50</v>
      </c>
      <c r="B998" s="1" t="n">
        <v>43</v>
      </c>
      <c r="C998" s="1" t="n">
        <v>93</v>
      </c>
      <c r="D998" s="1" t="s">
        <v>569</v>
      </c>
      <c r="E998" s="1" t="n">
        <v>-83606.106</v>
      </c>
      <c r="F998" s="1" t="n">
        <v>1.012</v>
      </c>
      <c r="G998" s="1" t="n">
        <f aca="false">IF(ISNUMBER(E998),E998,VALUE(SUBSTITUTE(E998,"#",".01")))</f>
        <v>-83606.106</v>
      </c>
    </row>
    <row r="999" customFormat="false" ht="12.75" hidden="false" customHeight="false" outlineLevel="0" collapsed="false">
      <c r="A999" s="1" t="n">
        <v>49</v>
      </c>
      <c r="B999" s="1" t="n">
        <v>44</v>
      </c>
      <c r="C999" s="1" t="n">
        <v>93</v>
      </c>
      <c r="D999" s="1" t="s">
        <v>578</v>
      </c>
      <c r="E999" s="1" t="n">
        <v>-77216.713</v>
      </c>
      <c r="F999" s="1" t="n">
        <v>2.065</v>
      </c>
      <c r="G999" s="1" t="n">
        <f aca="false">IF(ISNUMBER(E999),E999,VALUE(SUBSTITUTE(E999,"#",".01")))</f>
        <v>-77216.713</v>
      </c>
    </row>
    <row r="1000" customFormat="false" ht="12.75" hidden="false" customHeight="false" outlineLevel="0" collapsed="false">
      <c r="A1000" s="1" t="n">
        <v>48</v>
      </c>
      <c r="B1000" s="1" t="n">
        <v>45</v>
      </c>
      <c r="C1000" s="1" t="n">
        <v>93</v>
      </c>
      <c r="D1000" s="1" t="s">
        <v>589</v>
      </c>
      <c r="E1000" s="1" t="n">
        <v>-69011.8</v>
      </c>
      <c r="F1000" s="1" t="n">
        <v>2.629</v>
      </c>
      <c r="G1000" s="1" t="n">
        <f aca="false">IF(ISNUMBER(E1000),E1000,VALUE(SUBSTITUTE(E1000,"#",".01")))</f>
        <v>-69011.8</v>
      </c>
    </row>
    <row r="1001" customFormat="false" ht="12.75" hidden="false" customHeight="false" outlineLevel="0" collapsed="false">
      <c r="A1001" s="1" t="n">
        <v>47</v>
      </c>
      <c r="B1001" s="1" t="n">
        <v>46</v>
      </c>
      <c r="C1001" s="1" t="n">
        <v>93</v>
      </c>
      <c r="D1001" s="1" t="s">
        <v>599</v>
      </c>
      <c r="E1001" s="1" t="s">
        <v>610</v>
      </c>
      <c r="F1001" s="1" t="s">
        <v>371</v>
      </c>
      <c r="G1001" s="1" t="n">
        <f aca="false">IF(ISNUMBER(E1001),E1001,VALUE(SUBSTITUTE(E1001,"#",".01")))</f>
        <v>-59001.01</v>
      </c>
    </row>
    <row r="1002" customFormat="false" ht="12.75" hidden="false" customHeight="false" outlineLevel="0" collapsed="false">
      <c r="A1002" s="1" t="n">
        <v>46</v>
      </c>
      <c r="B1002" s="1" t="n">
        <v>47</v>
      </c>
      <c r="C1002" s="1" t="n">
        <v>93</v>
      </c>
      <c r="D1002" s="1" t="s">
        <v>607</v>
      </c>
      <c r="E1002" s="1" t="s">
        <v>611</v>
      </c>
      <c r="F1002" s="1" t="s">
        <v>320</v>
      </c>
      <c r="G1002" s="1" t="n">
        <f aca="false">IF(ISNUMBER(E1002),E1002,VALUE(SUBSTITUTE(E1002,"#",".01")))</f>
        <v>-46267.01</v>
      </c>
    </row>
    <row r="1003" customFormat="false" ht="12.75" hidden="false" customHeight="false" outlineLevel="0" collapsed="false">
      <c r="A1003" s="1" t="n">
        <v>60</v>
      </c>
      <c r="B1003" s="1" t="n">
        <v>34</v>
      </c>
      <c r="C1003" s="1" t="n">
        <v>94</v>
      </c>
      <c r="D1003" s="1" t="s">
        <v>489</v>
      </c>
      <c r="E1003" s="1" t="s">
        <v>612</v>
      </c>
      <c r="F1003" s="1" t="s">
        <v>337</v>
      </c>
      <c r="G1003" s="1" t="n">
        <f aca="false">IF(ISNUMBER(E1003),E1003,VALUE(SUBSTITUTE(E1003,"#",".01")))</f>
        <v>-36803.01</v>
      </c>
    </row>
    <row r="1004" customFormat="false" ht="12.75" hidden="false" customHeight="false" outlineLevel="0" collapsed="false">
      <c r="A1004" s="1" t="n">
        <v>59</v>
      </c>
      <c r="B1004" s="1" t="n">
        <v>35</v>
      </c>
      <c r="C1004" s="1" t="n">
        <v>94</v>
      </c>
      <c r="D1004" s="1" t="s">
        <v>500</v>
      </c>
      <c r="E1004" s="1" t="s">
        <v>613</v>
      </c>
      <c r="F1004" s="1" t="s">
        <v>371</v>
      </c>
      <c r="G1004" s="1" t="n">
        <f aca="false">IF(ISNUMBER(E1004),E1004,VALUE(SUBSTITUTE(E1004,"#",".01")))</f>
        <v>-47400.01</v>
      </c>
    </row>
    <row r="1005" customFormat="false" ht="12.75" hidden="false" customHeight="false" outlineLevel="0" collapsed="false">
      <c r="A1005" s="1" t="n">
        <v>58</v>
      </c>
      <c r="B1005" s="1" t="n">
        <v>36</v>
      </c>
      <c r="C1005" s="1" t="n">
        <v>94</v>
      </c>
      <c r="D1005" s="1" t="s">
        <v>509</v>
      </c>
      <c r="E1005" s="1" t="n">
        <v>-61347.772</v>
      </c>
      <c r="F1005" s="1" t="n">
        <v>12.109</v>
      </c>
      <c r="G1005" s="1" t="n">
        <f aca="false">IF(ISNUMBER(E1005),E1005,VALUE(SUBSTITUTE(E1005,"#",".01")))</f>
        <v>-61347.772</v>
      </c>
    </row>
    <row r="1006" customFormat="false" ht="12.75" hidden="false" customHeight="false" outlineLevel="0" collapsed="false">
      <c r="A1006" s="1" t="n">
        <v>57</v>
      </c>
      <c r="B1006" s="1" t="n">
        <v>37</v>
      </c>
      <c r="C1006" s="1" t="n">
        <v>94</v>
      </c>
      <c r="D1006" s="1" t="s">
        <v>518</v>
      </c>
      <c r="E1006" s="1" t="n">
        <v>-68562.785</v>
      </c>
      <c r="F1006" s="1" t="n">
        <v>2.029</v>
      </c>
      <c r="G1006" s="1" t="n">
        <f aca="false">IF(ISNUMBER(E1006),E1006,VALUE(SUBSTITUTE(E1006,"#",".01")))</f>
        <v>-68562.785</v>
      </c>
    </row>
    <row r="1007" customFormat="false" ht="12.75" hidden="false" customHeight="false" outlineLevel="0" collapsed="false">
      <c r="A1007" s="1" t="n">
        <v>56</v>
      </c>
      <c r="B1007" s="1" t="n">
        <v>38</v>
      </c>
      <c r="C1007" s="1" t="n">
        <v>94</v>
      </c>
      <c r="D1007" s="1" t="s">
        <v>527</v>
      </c>
      <c r="E1007" s="1" t="n">
        <v>-78845.711</v>
      </c>
      <c r="F1007" s="1" t="n">
        <v>1.663</v>
      </c>
      <c r="G1007" s="1" t="n">
        <f aca="false">IF(ISNUMBER(E1007),E1007,VALUE(SUBSTITUTE(E1007,"#",".01")))</f>
        <v>-78845.711</v>
      </c>
    </row>
    <row r="1008" customFormat="false" ht="12.75" hidden="false" customHeight="false" outlineLevel="0" collapsed="false">
      <c r="A1008" s="1" t="n">
        <v>55</v>
      </c>
      <c r="B1008" s="1" t="n">
        <v>39</v>
      </c>
      <c r="C1008" s="1" t="n">
        <v>94</v>
      </c>
      <c r="D1008" s="1" t="s">
        <v>537</v>
      </c>
      <c r="E1008" s="1" t="n">
        <v>-82351.463</v>
      </c>
      <c r="F1008" s="1" t="n">
        <v>6.38</v>
      </c>
      <c r="G1008" s="1" t="n">
        <f aca="false">IF(ISNUMBER(E1008),E1008,VALUE(SUBSTITUTE(E1008,"#",".01")))</f>
        <v>-82351.463</v>
      </c>
    </row>
    <row r="1009" customFormat="false" ht="12.75" hidden="false" customHeight="false" outlineLevel="0" collapsed="false">
      <c r="A1009" s="1" t="n">
        <v>54</v>
      </c>
      <c r="B1009" s="1" t="n">
        <v>40</v>
      </c>
      <c r="C1009" s="1" t="n">
        <v>94</v>
      </c>
      <c r="D1009" s="1" t="s">
        <v>547</v>
      </c>
      <c r="E1009" s="1" t="n">
        <v>-87269.322</v>
      </c>
      <c r="F1009" s="1" t="n">
        <v>0.164</v>
      </c>
      <c r="G1009" s="1" t="n">
        <f aca="false">IF(ISNUMBER(E1009),E1009,VALUE(SUBSTITUTE(E1009,"#",".01")))</f>
        <v>-87269.322</v>
      </c>
    </row>
    <row r="1010" customFormat="false" ht="12.75" hidden="false" customHeight="false" outlineLevel="0" collapsed="false">
      <c r="A1010" s="1" t="n">
        <v>53</v>
      </c>
      <c r="B1010" s="1" t="n">
        <v>41</v>
      </c>
      <c r="C1010" s="1" t="n">
        <v>94</v>
      </c>
      <c r="D1010" s="1" t="s">
        <v>554</v>
      </c>
      <c r="E1010" s="1" t="n">
        <v>-86369.062</v>
      </c>
      <c r="F1010" s="1" t="n">
        <v>1.491</v>
      </c>
      <c r="G1010" s="1" t="n">
        <f aca="false">IF(ISNUMBER(E1010),E1010,VALUE(SUBSTITUTE(E1010,"#",".01")))</f>
        <v>-86369.062</v>
      </c>
    </row>
    <row r="1011" customFormat="false" ht="12.75" hidden="false" customHeight="false" outlineLevel="0" collapsed="false">
      <c r="A1011" s="1" t="n">
        <v>52</v>
      </c>
      <c r="B1011" s="1" t="n">
        <v>42</v>
      </c>
      <c r="C1011" s="1" t="n">
        <v>94</v>
      </c>
      <c r="D1011" s="1" t="s">
        <v>562</v>
      </c>
      <c r="E1011" s="1" t="n">
        <v>-88414.065</v>
      </c>
      <c r="F1011" s="1" t="n">
        <v>0.141</v>
      </c>
      <c r="G1011" s="1" t="n">
        <f aca="false">IF(ISNUMBER(E1011),E1011,VALUE(SUBSTITUTE(E1011,"#",".01")))</f>
        <v>-88414.065</v>
      </c>
    </row>
    <row r="1012" customFormat="false" ht="12.75" hidden="false" customHeight="false" outlineLevel="0" collapsed="false">
      <c r="A1012" s="1" t="n">
        <v>51</v>
      </c>
      <c r="B1012" s="1" t="n">
        <v>43</v>
      </c>
      <c r="C1012" s="1" t="n">
        <v>94</v>
      </c>
      <c r="D1012" s="1" t="s">
        <v>569</v>
      </c>
      <c r="E1012" s="1" t="n">
        <v>-84158.317</v>
      </c>
      <c r="F1012" s="1" t="n">
        <v>4.071</v>
      </c>
      <c r="G1012" s="1" t="n">
        <f aca="false">IF(ISNUMBER(E1012),E1012,VALUE(SUBSTITUTE(E1012,"#",".01")))</f>
        <v>-84158.317</v>
      </c>
    </row>
    <row r="1013" customFormat="false" ht="12.75" hidden="false" customHeight="false" outlineLevel="0" collapsed="false">
      <c r="A1013" s="1" t="n">
        <v>50</v>
      </c>
      <c r="B1013" s="1" t="n">
        <v>44</v>
      </c>
      <c r="C1013" s="1" t="n">
        <v>94</v>
      </c>
      <c r="D1013" s="1" t="s">
        <v>578</v>
      </c>
      <c r="E1013" s="1" t="n">
        <v>-82583.591</v>
      </c>
      <c r="F1013" s="1" t="n">
        <v>3.143</v>
      </c>
      <c r="G1013" s="1" t="n">
        <f aca="false">IF(ISNUMBER(E1013),E1013,VALUE(SUBSTITUTE(E1013,"#",".01")))</f>
        <v>-82583.591</v>
      </c>
    </row>
    <row r="1014" customFormat="false" ht="12.75" hidden="false" customHeight="false" outlineLevel="0" collapsed="false">
      <c r="A1014" s="1" t="n">
        <v>49</v>
      </c>
      <c r="B1014" s="1" t="n">
        <v>45</v>
      </c>
      <c r="C1014" s="1" t="n">
        <v>94</v>
      </c>
      <c r="D1014" s="1" t="s">
        <v>589</v>
      </c>
      <c r="E1014" s="1" t="n">
        <v>-72907.613</v>
      </c>
      <c r="F1014" s="1" t="n">
        <v>3.379</v>
      </c>
      <c r="G1014" s="1" t="n">
        <f aca="false">IF(ISNUMBER(E1014),E1014,VALUE(SUBSTITUTE(E1014,"#",".01")))</f>
        <v>-72907.613</v>
      </c>
    </row>
    <row r="1015" customFormat="false" ht="12.75" hidden="false" customHeight="false" outlineLevel="0" collapsed="false">
      <c r="A1015" s="1" t="n">
        <v>48</v>
      </c>
      <c r="B1015" s="1" t="n">
        <v>46</v>
      </c>
      <c r="C1015" s="1" t="n">
        <v>94</v>
      </c>
      <c r="D1015" s="1" t="s">
        <v>599</v>
      </c>
      <c r="E1015" s="1" t="n">
        <v>-66102.268</v>
      </c>
      <c r="F1015" s="1" t="n">
        <v>4.287</v>
      </c>
      <c r="G1015" s="1" t="n">
        <f aca="false">IF(ISNUMBER(E1015),E1015,VALUE(SUBSTITUTE(E1015,"#",".01")))</f>
        <v>-66102.268</v>
      </c>
    </row>
    <row r="1016" customFormat="false" ht="12.75" hidden="false" customHeight="false" outlineLevel="0" collapsed="false">
      <c r="A1016" s="1" t="n">
        <v>47</v>
      </c>
      <c r="B1016" s="1" t="n">
        <v>47</v>
      </c>
      <c r="C1016" s="1" t="n">
        <v>94</v>
      </c>
      <c r="D1016" s="1" t="s">
        <v>607</v>
      </c>
      <c r="E1016" s="1" t="s">
        <v>614</v>
      </c>
      <c r="F1016" s="1" t="s">
        <v>378</v>
      </c>
      <c r="G1016" s="1" t="n">
        <f aca="false">IF(ISNUMBER(E1016),E1016,VALUE(SUBSTITUTE(E1016,"#",".01")))</f>
        <v>-52410.01</v>
      </c>
    </row>
    <row r="1017" customFormat="false" ht="12.75" hidden="false" customHeight="false" outlineLevel="0" collapsed="false">
      <c r="A1017" s="1" t="n">
        <v>46</v>
      </c>
      <c r="B1017" s="1" t="n">
        <v>48</v>
      </c>
      <c r="C1017" s="1" t="n">
        <v>94</v>
      </c>
      <c r="D1017" s="1" t="s">
        <v>615</v>
      </c>
      <c r="E1017" s="1" t="s">
        <v>616</v>
      </c>
      <c r="F1017" s="1" t="s">
        <v>337</v>
      </c>
      <c r="G1017" s="1" t="n">
        <f aca="false">IF(ISNUMBER(E1017),E1017,VALUE(SUBSTITUTE(E1017,"#",".01")))</f>
        <v>-40140.01</v>
      </c>
    </row>
    <row r="1018" customFormat="false" ht="12.75" hidden="false" customHeight="false" outlineLevel="0" collapsed="false">
      <c r="A1018" s="1" t="n">
        <v>61</v>
      </c>
      <c r="B1018" s="1" t="n">
        <v>34</v>
      </c>
      <c r="C1018" s="1" t="n">
        <v>95</v>
      </c>
      <c r="D1018" s="1" t="s">
        <v>489</v>
      </c>
      <c r="E1018" s="1" t="s">
        <v>617</v>
      </c>
      <c r="F1018" s="1" t="s">
        <v>337</v>
      </c>
      <c r="G1018" s="1" t="n">
        <f aca="false">IF(ISNUMBER(E1018),E1018,VALUE(SUBSTITUTE(E1018,"#",".01")))</f>
        <v>-30460.01</v>
      </c>
    </row>
    <row r="1019" customFormat="false" ht="12.75" hidden="false" customHeight="false" outlineLevel="0" collapsed="false">
      <c r="A1019" s="1" t="n">
        <v>60</v>
      </c>
      <c r="B1019" s="1" t="n">
        <v>35</v>
      </c>
      <c r="C1019" s="1" t="n">
        <v>95</v>
      </c>
      <c r="D1019" s="1" t="s">
        <v>500</v>
      </c>
      <c r="E1019" s="1" t="s">
        <v>618</v>
      </c>
      <c r="F1019" s="1" t="s">
        <v>360</v>
      </c>
      <c r="G1019" s="1" t="n">
        <f aca="false">IF(ISNUMBER(E1019),E1019,VALUE(SUBSTITUTE(E1019,"#",".01")))</f>
        <v>-43771.01</v>
      </c>
    </row>
    <row r="1020" customFormat="false" ht="12.75" hidden="false" customHeight="false" outlineLevel="0" collapsed="false">
      <c r="A1020" s="1" t="n">
        <v>59</v>
      </c>
      <c r="B1020" s="1" t="n">
        <v>36</v>
      </c>
      <c r="C1020" s="1" t="n">
        <v>95</v>
      </c>
      <c r="D1020" s="1" t="s">
        <v>509</v>
      </c>
      <c r="E1020" s="1" t="n">
        <v>-56158.913</v>
      </c>
      <c r="F1020" s="1" t="n">
        <v>18.63</v>
      </c>
      <c r="G1020" s="1" t="n">
        <f aca="false">IF(ISNUMBER(E1020),E1020,VALUE(SUBSTITUTE(E1020,"#",".01")))</f>
        <v>-56158.913</v>
      </c>
    </row>
    <row r="1021" customFormat="false" ht="12.75" hidden="false" customHeight="false" outlineLevel="0" collapsed="false">
      <c r="A1021" s="1" t="n">
        <v>58</v>
      </c>
      <c r="B1021" s="1" t="n">
        <v>37</v>
      </c>
      <c r="C1021" s="1" t="n">
        <v>95</v>
      </c>
      <c r="D1021" s="1" t="s">
        <v>518</v>
      </c>
      <c r="E1021" s="1" t="n">
        <v>-65891.493</v>
      </c>
      <c r="F1021" s="1" t="n">
        <v>20.245</v>
      </c>
      <c r="G1021" s="1" t="n">
        <f aca="false">IF(ISNUMBER(E1021),E1021,VALUE(SUBSTITUTE(E1021,"#",".01")))</f>
        <v>-65891.493</v>
      </c>
    </row>
    <row r="1022" customFormat="false" ht="12.75" hidden="false" customHeight="false" outlineLevel="0" collapsed="false">
      <c r="A1022" s="1" t="n">
        <v>57</v>
      </c>
      <c r="B1022" s="1" t="n">
        <v>38</v>
      </c>
      <c r="C1022" s="1" t="n">
        <v>95</v>
      </c>
      <c r="D1022" s="1" t="s">
        <v>527</v>
      </c>
      <c r="E1022" s="1" t="n">
        <v>-75119.551</v>
      </c>
      <c r="F1022" s="1" t="n">
        <v>5.812</v>
      </c>
      <c r="G1022" s="1" t="n">
        <f aca="false">IF(ISNUMBER(E1022),E1022,VALUE(SUBSTITUTE(E1022,"#",".01")))</f>
        <v>-75119.551</v>
      </c>
    </row>
    <row r="1023" customFormat="false" ht="12.75" hidden="false" customHeight="false" outlineLevel="0" collapsed="false">
      <c r="A1023" s="1" t="n">
        <v>56</v>
      </c>
      <c r="B1023" s="1" t="n">
        <v>39</v>
      </c>
      <c r="C1023" s="1" t="n">
        <v>95</v>
      </c>
      <c r="D1023" s="1" t="s">
        <v>537</v>
      </c>
      <c r="E1023" s="1" t="n">
        <v>-81208.848</v>
      </c>
      <c r="F1023" s="1" t="n">
        <v>6.779</v>
      </c>
      <c r="G1023" s="1" t="n">
        <f aca="false">IF(ISNUMBER(E1023),E1023,VALUE(SUBSTITUTE(E1023,"#",".01")))</f>
        <v>-81208.848</v>
      </c>
    </row>
    <row r="1024" customFormat="false" ht="12.75" hidden="false" customHeight="false" outlineLevel="0" collapsed="false">
      <c r="A1024" s="1" t="n">
        <v>55</v>
      </c>
      <c r="B1024" s="1" t="n">
        <v>40</v>
      </c>
      <c r="C1024" s="1" t="n">
        <v>95</v>
      </c>
      <c r="D1024" s="1" t="s">
        <v>547</v>
      </c>
      <c r="E1024" s="1" t="n">
        <v>-85659.94</v>
      </c>
      <c r="F1024" s="1" t="n">
        <v>0.869</v>
      </c>
      <c r="G1024" s="1" t="n">
        <f aca="false">IF(ISNUMBER(E1024),E1024,VALUE(SUBSTITUTE(E1024,"#",".01")))</f>
        <v>-85659.94</v>
      </c>
    </row>
    <row r="1025" customFormat="false" ht="12.75" hidden="false" customHeight="false" outlineLevel="0" collapsed="false">
      <c r="A1025" s="1" t="n">
        <v>54</v>
      </c>
      <c r="B1025" s="1" t="n">
        <v>41</v>
      </c>
      <c r="C1025" s="1" t="n">
        <v>95</v>
      </c>
      <c r="D1025" s="1" t="s">
        <v>554</v>
      </c>
      <c r="E1025" s="1" t="n">
        <v>-86786.258</v>
      </c>
      <c r="F1025" s="1" t="n">
        <v>0.508</v>
      </c>
      <c r="G1025" s="1" t="n">
        <f aca="false">IF(ISNUMBER(E1025),E1025,VALUE(SUBSTITUTE(E1025,"#",".01")))</f>
        <v>-86786.258</v>
      </c>
    </row>
    <row r="1026" customFormat="false" ht="12.75" hidden="false" customHeight="false" outlineLevel="0" collapsed="false">
      <c r="A1026" s="1" t="n">
        <v>53</v>
      </c>
      <c r="B1026" s="1" t="n">
        <v>42</v>
      </c>
      <c r="C1026" s="1" t="n">
        <v>95</v>
      </c>
      <c r="D1026" s="1" t="s">
        <v>562</v>
      </c>
      <c r="E1026" s="1" t="n">
        <v>-87711.858</v>
      </c>
      <c r="F1026" s="1" t="n">
        <v>0.123</v>
      </c>
      <c r="G1026" s="1" t="n">
        <f aca="false">IF(ISNUMBER(E1026),E1026,VALUE(SUBSTITUTE(E1026,"#",".01")))</f>
        <v>-87711.858</v>
      </c>
    </row>
    <row r="1027" customFormat="false" ht="12.75" hidden="false" customHeight="false" outlineLevel="0" collapsed="false">
      <c r="A1027" s="1" t="n">
        <v>52</v>
      </c>
      <c r="B1027" s="1" t="n">
        <v>43</v>
      </c>
      <c r="C1027" s="1" t="n">
        <v>95</v>
      </c>
      <c r="D1027" s="1" t="s">
        <v>569</v>
      </c>
      <c r="E1027" s="1" t="n">
        <v>-86021.341</v>
      </c>
      <c r="F1027" s="1" t="n">
        <v>5.08</v>
      </c>
      <c r="G1027" s="1" t="n">
        <f aca="false">IF(ISNUMBER(E1027),E1027,VALUE(SUBSTITUTE(E1027,"#",".01")))</f>
        <v>-86021.341</v>
      </c>
    </row>
    <row r="1028" customFormat="false" ht="12.75" hidden="false" customHeight="false" outlineLevel="0" collapsed="false">
      <c r="A1028" s="1" t="n">
        <v>51</v>
      </c>
      <c r="B1028" s="1" t="n">
        <v>44</v>
      </c>
      <c r="C1028" s="1" t="n">
        <v>95</v>
      </c>
      <c r="D1028" s="1" t="s">
        <v>578</v>
      </c>
      <c r="E1028" s="1" t="n">
        <v>-83457.745</v>
      </c>
      <c r="F1028" s="1" t="n">
        <v>9.502</v>
      </c>
      <c r="G1028" s="1" t="n">
        <f aca="false">IF(ISNUMBER(E1028),E1028,VALUE(SUBSTITUTE(E1028,"#",".01")))</f>
        <v>-83457.745</v>
      </c>
    </row>
    <row r="1029" customFormat="false" ht="12.75" hidden="false" customHeight="false" outlineLevel="0" collapsed="false">
      <c r="A1029" s="1" t="n">
        <v>50</v>
      </c>
      <c r="B1029" s="1" t="n">
        <v>45</v>
      </c>
      <c r="C1029" s="1" t="n">
        <v>95</v>
      </c>
      <c r="D1029" s="1" t="s">
        <v>589</v>
      </c>
      <c r="E1029" s="1" t="n">
        <v>-78340.606</v>
      </c>
      <c r="F1029" s="1" t="n">
        <v>3.886</v>
      </c>
      <c r="G1029" s="1" t="n">
        <f aca="false">IF(ISNUMBER(E1029),E1029,VALUE(SUBSTITUTE(E1029,"#",".01")))</f>
        <v>-78340.606</v>
      </c>
    </row>
    <row r="1030" customFormat="false" ht="12.75" hidden="false" customHeight="false" outlineLevel="0" collapsed="false">
      <c r="A1030" s="1" t="n">
        <v>49</v>
      </c>
      <c r="B1030" s="1" t="n">
        <v>46</v>
      </c>
      <c r="C1030" s="1" t="n">
        <v>95</v>
      </c>
      <c r="D1030" s="1" t="s">
        <v>599</v>
      </c>
      <c r="E1030" s="1" t="n">
        <v>-69965.9</v>
      </c>
      <c r="F1030" s="1" t="n">
        <v>3.031</v>
      </c>
      <c r="G1030" s="1" t="n">
        <f aca="false">IF(ISNUMBER(E1030),E1030,VALUE(SUBSTITUTE(E1030,"#",".01")))</f>
        <v>-69965.9</v>
      </c>
    </row>
    <row r="1031" customFormat="false" ht="12.75" hidden="false" customHeight="false" outlineLevel="0" collapsed="false">
      <c r="A1031" s="1" t="n">
        <v>48</v>
      </c>
      <c r="B1031" s="1" t="n">
        <v>47</v>
      </c>
      <c r="C1031" s="1" t="n">
        <v>95</v>
      </c>
      <c r="D1031" s="1" t="s">
        <v>607</v>
      </c>
      <c r="E1031" s="1" t="s">
        <v>619</v>
      </c>
      <c r="F1031" s="1" t="s">
        <v>360</v>
      </c>
      <c r="G1031" s="1" t="n">
        <f aca="false">IF(ISNUMBER(E1031),E1031,VALUE(SUBSTITUTE(E1031,"#",".01")))</f>
        <v>-59597.01</v>
      </c>
    </row>
    <row r="1032" customFormat="false" ht="12.75" hidden="false" customHeight="false" outlineLevel="0" collapsed="false">
      <c r="A1032" s="1" t="n">
        <v>47</v>
      </c>
      <c r="B1032" s="1" t="n">
        <v>48</v>
      </c>
      <c r="C1032" s="1" t="n">
        <v>95</v>
      </c>
      <c r="D1032" s="1" t="s">
        <v>615</v>
      </c>
      <c r="E1032" s="1" t="s">
        <v>620</v>
      </c>
      <c r="F1032" s="1" t="s">
        <v>320</v>
      </c>
      <c r="G1032" s="1" t="n">
        <f aca="false">IF(ISNUMBER(E1032),E1032,VALUE(SUBSTITUTE(E1032,"#",".01")))</f>
        <v>-46631.01</v>
      </c>
    </row>
    <row r="1033" customFormat="false" ht="12.75" hidden="false" customHeight="false" outlineLevel="0" collapsed="false">
      <c r="A1033" s="1" t="n">
        <v>61</v>
      </c>
      <c r="B1033" s="1" t="n">
        <v>35</v>
      </c>
      <c r="C1033" s="1" t="n">
        <v>96</v>
      </c>
      <c r="D1033" s="1" t="s">
        <v>500</v>
      </c>
      <c r="E1033" s="1" t="s">
        <v>621</v>
      </c>
      <c r="F1033" s="1" t="s">
        <v>360</v>
      </c>
      <c r="G1033" s="1" t="n">
        <f aca="false">IF(ISNUMBER(E1033),E1033,VALUE(SUBSTITUTE(E1033,"#",".01")))</f>
        <v>-38163.01</v>
      </c>
    </row>
    <row r="1034" customFormat="false" ht="12.75" hidden="false" customHeight="false" outlineLevel="0" collapsed="false">
      <c r="A1034" s="1" t="n">
        <v>60</v>
      </c>
      <c r="B1034" s="1" t="n">
        <v>36</v>
      </c>
      <c r="C1034" s="1" t="n">
        <v>96</v>
      </c>
      <c r="D1034" s="1" t="s">
        <v>509</v>
      </c>
      <c r="E1034" s="1" t="n">
        <v>-53079.678</v>
      </c>
      <c r="F1034" s="1" t="n">
        <v>20.493</v>
      </c>
      <c r="G1034" s="1" t="n">
        <f aca="false">IF(ISNUMBER(E1034),E1034,VALUE(SUBSTITUTE(E1034,"#",".01")))</f>
        <v>-53079.678</v>
      </c>
    </row>
    <row r="1035" customFormat="false" ht="12.75" hidden="false" customHeight="false" outlineLevel="0" collapsed="false">
      <c r="A1035" s="1" t="n">
        <v>59</v>
      </c>
      <c r="B1035" s="1" t="n">
        <v>37</v>
      </c>
      <c r="C1035" s="1" t="n">
        <v>96</v>
      </c>
      <c r="D1035" s="1" t="s">
        <v>518</v>
      </c>
      <c r="E1035" s="1" t="n">
        <v>-61354.349</v>
      </c>
      <c r="F1035" s="1" t="n">
        <v>3.353</v>
      </c>
      <c r="G1035" s="1" t="n">
        <f aca="false">IF(ISNUMBER(E1035),E1035,VALUE(SUBSTITUTE(E1035,"#",".01")))</f>
        <v>-61354.349</v>
      </c>
    </row>
    <row r="1036" customFormat="false" ht="12.75" hidden="false" customHeight="false" outlineLevel="0" collapsed="false">
      <c r="A1036" s="1" t="n">
        <v>58</v>
      </c>
      <c r="B1036" s="1" t="n">
        <v>38</v>
      </c>
      <c r="C1036" s="1" t="n">
        <v>96</v>
      </c>
      <c r="D1036" s="1" t="s">
        <v>527</v>
      </c>
      <c r="E1036" s="1" t="n">
        <v>-72924.157</v>
      </c>
      <c r="F1036" s="1" t="n">
        <v>8.475</v>
      </c>
      <c r="G1036" s="1" t="n">
        <f aca="false">IF(ISNUMBER(E1036),E1036,VALUE(SUBSTITUTE(E1036,"#",".01")))</f>
        <v>-72924.157</v>
      </c>
    </row>
    <row r="1037" customFormat="false" ht="12.75" hidden="false" customHeight="false" outlineLevel="0" collapsed="false">
      <c r="A1037" s="1" t="n">
        <v>57</v>
      </c>
      <c r="B1037" s="1" t="n">
        <v>39</v>
      </c>
      <c r="C1037" s="1" t="n">
        <v>96</v>
      </c>
      <c r="D1037" s="1" t="s">
        <v>537</v>
      </c>
      <c r="E1037" s="1" t="n">
        <v>-78335.895</v>
      </c>
      <c r="F1037" s="1" t="n">
        <v>6.088</v>
      </c>
      <c r="G1037" s="1" t="n">
        <f aca="false">IF(ISNUMBER(E1037),E1037,VALUE(SUBSTITUTE(E1037,"#",".01")))</f>
        <v>-78335.895</v>
      </c>
    </row>
    <row r="1038" customFormat="false" ht="12.75" hidden="false" customHeight="false" outlineLevel="0" collapsed="false">
      <c r="A1038" s="1" t="n">
        <v>56</v>
      </c>
      <c r="B1038" s="1" t="n">
        <v>40</v>
      </c>
      <c r="C1038" s="1" t="n">
        <v>96</v>
      </c>
      <c r="D1038" s="1" t="s">
        <v>547</v>
      </c>
      <c r="E1038" s="1" t="n">
        <v>-85438.846</v>
      </c>
      <c r="F1038" s="1" t="n">
        <v>0.114</v>
      </c>
      <c r="G1038" s="1" t="n">
        <f aca="false">IF(ISNUMBER(E1038),E1038,VALUE(SUBSTITUTE(E1038,"#",".01")))</f>
        <v>-85438.846</v>
      </c>
    </row>
    <row r="1039" customFormat="false" ht="12.75" hidden="false" customHeight="false" outlineLevel="0" collapsed="false">
      <c r="A1039" s="1" t="n">
        <v>55</v>
      </c>
      <c r="B1039" s="1" t="n">
        <v>41</v>
      </c>
      <c r="C1039" s="1" t="n">
        <v>96</v>
      </c>
      <c r="D1039" s="1" t="s">
        <v>554</v>
      </c>
      <c r="E1039" s="1" t="n">
        <v>-85602.816</v>
      </c>
      <c r="F1039" s="1" t="n">
        <v>0.147</v>
      </c>
      <c r="G1039" s="1" t="n">
        <f aca="false">IF(ISNUMBER(E1039),E1039,VALUE(SUBSTITUTE(E1039,"#",".01")))</f>
        <v>-85602.816</v>
      </c>
    </row>
    <row r="1040" customFormat="false" ht="12.75" hidden="false" customHeight="false" outlineLevel="0" collapsed="false">
      <c r="A1040" s="1" t="n">
        <v>54</v>
      </c>
      <c r="B1040" s="1" t="n">
        <v>42</v>
      </c>
      <c r="C1040" s="1" t="n">
        <v>96</v>
      </c>
      <c r="D1040" s="1" t="s">
        <v>562</v>
      </c>
      <c r="E1040" s="1" t="n">
        <v>-88794.876</v>
      </c>
      <c r="F1040" s="1" t="n">
        <v>0.12</v>
      </c>
      <c r="G1040" s="1" t="n">
        <f aca="false">IF(ISNUMBER(E1040),E1040,VALUE(SUBSTITUTE(E1040,"#",".01")))</f>
        <v>-88794.876</v>
      </c>
    </row>
    <row r="1041" customFormat="false" ht="12.75" hidden="false" customHeight="false" outlineLevel="0" collapsed="false">
      <c r="A1041" s="1" t="n">
        <v>53</v>
      </c>
      <c r="B1041" s="1" t="n">
        <v>43</v>
      </c>
      <c r="C1041" s="1" t="n">
        <v>96</v>
      </c>
      <c r="D1041" s="1" t="s">
        <v>569</v>
      </c>
      <c r="E1041" s="1" t="n">
        <v>-85821.634</v>
      </c>
      <c r="F1041" s="1" t="n">
        <v>5.146</v>
      </c>
      <c r="G1041" s="1" t="n">
        <f aca="false">IF(ISNUMBER(E1041),E1041,VALUE(SUBSTITUTE(E1041,"#",".01")))</f>
        <v>-85821.634</v>
      </c>
    </row>
    <row r="1042" customFormat="false" ht="12.75" hidden="false" customHeight="false" outlineLevel="0" collapsed="false">
      <c r="A1042" s="1" t="n">
        <v>52</v>
      </c>
      <c r="B1042" s="1" t="n">
        <v>44</v>
      </c>
      <c r="C1042" s="1" t="n">
        <v>96</v>
      </c>
      <c r="D1042" s="1" t="s">
        <v>578</v>
      </c>
      <c r="E1042" s="1" t="n">
        <v>-86080.372</v>
      </c>
      <c r="F1042" s="1" t="n">
        <v>0.17</v>
      </c>
      <c r="G1042" s="1" t="n">
        <f aca="false">IF(ISNUMBER(E1042),E1042,VALUE(SUBSTITUTE(E1042,"#",".01")))</f>
        <v>-86080.372</v>
      </c>
    </row>
    <row r="1043" customFormat="false" ht="12.75" hidden="false" customHeight="false" outlineLevel="0" collapsed="false">
      <c r="A1043" s="1" t="n">
        <v>51</v>
      </c>
      <c r="B1043" s="1" t="n">
        <v>45</v>
      </c>
      <c r="C1043" s="1" t="n">
        <v>96</v>
      </c>
      <c r="D1043" s="1" t="s">
        <v>589</v>
      </c>
      <c r="E1043" s="1" t="n">
        <v>-79687.718</v>
      </c>
      <c r="F1043" s="1" t="n">
        <v>10.001</v>
      </c>
      <c r="G1043" s="1" t="n">
        <f aca="false">IF(ISNUMBER(E1043),E1043,VALUE(SUBSTITUTE(E1043,"#",".01")))</f>
        <v>-79687.718</v>
      </c>
    </row>
    <row r="1044" customFormat="false" ht="12.75" hidden="false" customHeight="false" outlineLevel="0" collapsed="false">
      <c r="A1044" s="1" t="n">
        <v>50</v>
      </c>
      <c r="B1044" s="1" t="n">
        <v>46</v>
      </c>
      <c r="C1044" s="1" t="n">
        <v>96</v>
      </c>
      <c r="D1044" s="1" t="s">
        <v>599</v>
      </c>
      <c r="E1044" s="1" t="n">
        <v>-76183.406</v>
      </c>
      <c r="F1044" s="1" t="n">
        <v>4.194</v>
      </c>
      <c r="G1044" s="1" t="n">
        <f aca="false">IF(ISNUMBER(E1044),E1044,VALUE(SUBSTITUTE(E1044,"#",".01")))</f>
        <v>-76183.406</v>
      </c>
    </row>
    <row r="1045" customFormat="false" ht="12.75" hidden="false" customHeight="false" outlineLevel="0" collapsed="false">
      <c r="A1045" s="1" t="n">
        <v>49</v>
      </c>
      <c r="B1045" s="1" t="n">
        <v>47</v>
      </c>
      <c r="C1045" s="1" t="n">
        <v>96</v>
      </c>
      <c r="D1045" s="1" t="s">
        <v>607</v>
      </c>
      <c r="E1045" s="1" t="n">
        <v>-64511.636</v>
      </c>
      <c r="F1045" s="1" t="n">
        <v>90.084</v>
      </c>
      <c r="G1045" s="1" t="n">
        <f aca="false">IF(ISNUMBER(E1045),E1045,VALUE(SUBSTITUTE(E1045,"#",".01")))</f>
        <v>-64511.636</v>
      </c>
    </row>
    <row r="1046" customFormat="false" ht="12.75" hidden="false" customHeight="false" outlineLevel="0" collapsed="false">
      <c r="A1046" s="1" t="n">
        <v>48</v>
      </c>
      <c r="B1046" s="1" t="n">
        <v>48</v>
      </c>
      <c r="C1046" s="1" t="n">
        <v>96</v>
      </c>
      <c r="D1046" s="1" t="s">
        <v>615</v>
      </c>
      <c r="E1046" s="1" t="s">
        <v>622</v>
      </c>
      <c r="F1046" s="1" t="s">
        <v>320</v>
      </c>
      <c r="G1046" s="1" t="n">
        <f aca="false">IF(ISNUMBER(E1046),E1046,VALUE(SUBSTITUTE(E1046,"#",".01")))</f>
        <v>-55573.01</v>
      </c>
    </row>
    <row r="1047" customFormat="false" ht="12.75" hidden="false" customHeight="false" outlineLevel="0" collapsed="false">
      <c r="A1047" s="1" t="n">
        <v>47</v>
      </c>
      <c r="B1047" s="1" t="n">
        <v>49</v>
      </c>
      <c r="C1047" s="1" t="n">
        <v>96</v>
      </c>
      <c r="D1047" s="1" t="s">
        <v>623</v>
      </c>
      <c r="E1047" s="1" t="s">
        <v>624</v>
      </c>
      <c r="F1047" s="1" t="s">
        <v>337</v>
      </c>
      <c r="G1047" s="1" t="n">
        <f aca="false">IF(ISNUMBER(E1047),E1047,VALUE(SUBSTITUTE(E1047,"#",".01")))</f>
        <v>-37890.01</v>
      </c>
    </row>
    <row r="1048" customFormat="false" ht="12.75" hidden="false" customHeight="false" outlineLevel="0" collapsed="false">
      <c r="A1048" s="1" t="n">
        <v>62</v>
      </c>
      <c r="B1048" s="1" t="n">
        <v>35</v>
      </c>
      <c r="C1048" s="1" t="n">
        <v>97</v>
      </c>
      <c r="D1048" s="1" t="s">
        <v>500</v>
      </c>
      <c r="E1048" s="1" t="s">
        <v>625</v>
      </c>
      <c r="F1048" s="1" t="s">
        <v>320</v>
      </c>
      <c r="G1048" s="1" t="n">
        <f aca="false">IF(ISNUMBER(E1048),E1048,VALUE(SUBSTITUTE(E1048,"#",".01")))</f>
        <v>-34055.01</v>
      </c>
    </row>
    <row r="1049" customFormat="false" ht="12.75" hidden="false" customHeight="false" outlineLevel="0" collapsed="false">
      <c r="A1049" s="1" t="n">
        <v>61</v>
      </c>
      <c r="B1049" s="1" t="n">
        <v>36</v>
      </c>
      <c r="C1049" s="1" t="n">
        <v>97</v>
      </c>
      <c r="D1049" s="1" t="s">
        <v>509</v>
      </c>
      <c r="E1049" s="1" t="n">
        <v>-47423.492</v>
      </c>
      <c r="F1049" s="1" t="n">
        <v>130.409</v>
      </c>
      <c r="G1049" s="1" t="n">
        <f aca="false">IF(ISNUMBER(E1049),E1049,VALUE(SUBSTITUTE(E1049,"#",".01")))</f>
        <v>-47423.492</v>
      </c>
    </row>
    <row r="1050" customFormat="false" ht="12.75" hidden="false" customHeight="false" outlineLevel="0" collapsed="false">
      <c r="A1050" s="1" t="n">
        <v>60</v>
      </c>
      <c r="B1050" s="1" t="n">
        <v>37</v>
      </c>
      <c r="C1050" s="1" t="n">
        <v>97</v>
      </c>
      <c r="D1050" s="1" t="s">
        <v>518</v>
      </c>
      <c r="E1050" s="1" t="n">
        <v>-58519.137</v>
      </c>
      <c r="F1050" s="1" t="n">
        <v>1.912</v>
      </c>
      <c r="G1050" s="1" t="n">
        <f aca="false">IF(ISNUMBER(E1050),E1050,VALUE(SUBSTITUTE(E1050,"#",".01")))</f>
        <v>-58519.137</v>
      </c>
    </row>
    <row r="1051" customFormat="false" ht="12.75" hidden="false" customHeight="false" outlineLevel="0" collapsed="false">
      <c r="A1051" s="1" t="n">
        <v>59</v>
      </c>
      <c r="B1051" s="1" t="n">
        <v>38</v>
      </c>
      <c r="C1051" s="1" t="n">
        <v>97</v>
      </c>
      <c r="D1051" s="1" t="s">
        <v>527</v>
      </c>
      <c r="E1051" s="1" t="n">
        <v>-68581.454</v>
      </c>
      <c r="F1051" s="1" t="n">
        <v>3.385</v>
      </c>
      <c r="G1051" s="1" t="n">
        <f aca="false">IF(ISNUMBER(E1051),E1051,VALUE(SUBSTITUTE(E1051,"#",".01")))</f>
        <v>-68581.454</v>
      </c>
    </row>
    <row r="1052" customFormat="false" ht="12.75" hidden="false" customHeight="false" outlineLevel="0" collapsed="false">
      <c r="A1052" s="1" t="n">
        <v>58</v>
      </c>
      <c r="B1052" s="1" t="n">
        <v>39</v>
      </c>
      <c r="C1052" s="1" t="n">
        <v>97</v>
      </c>
      <c r="D1052" s="1" t="s">
        <v>537</v>
      </c>
      <c r="E1052" s="1" t="n">
        <v>-76121.424</v>
      </c>
      <c r="F1052" s="1" t="n">
        <v>6.719</v>
      </c>
      <c r="G1052" s="1" t="n">
        <f aca="false">IF(ISNUMBER(E1052),E1052,VALUE(SUBSTITUTE(E1052,"#",".01")))</f>
        <v>-76121.424</v>
      </c>
    </row>
    <row r="1053" customFormat="false" ht="12.75" hidden="false" customHeight="false" outlineLevel="0" collapsed="false">
      <c r="A1053" s="1" t="n">
        <v>57</v>
      </c>
      <c r="B1053" s="1" t="n">
        <v>40</v>
      </c>
      <c r="C1053" s="1" t="n">
        <v>97</v>
      </c>
      <c r="D1053" s="1" t="s">
        <v>547</v>
      </c>
      <c r="E1053" s="1" t="n">
        <v>-82942.661</v>
      </c>
      <c r="F1053" s="1" t="n">
        <v>0.414</v>
      </c>
      <c r="G1053" s="1" t="n">
        <f aca="false">IF(ISNUMBER(E1053),E1053,VALUE(SUBSTITUTE(E1053,"#",".01")))</f>
        <v>-82942.661</v>
      </c>
    </row>
    <row r="1054" customFormat="false" ht="12.75" hidden="false" customHeight="false" outlineLevel="0" collapsed="false">
      <c r="A1054" s="1" t="n">
        <v>56</v>
      </c>
      <c r="B1054" s="1" t="n">
        <v>41</v>
      </c>
      <c r="C1054" s="1" t="n">
        <v>97</v>
      </c>
      <c r="D1054" s="1" t="s">
        <v>554</v>
      </c>
      <c r="E1054" s="1" t="n">
        <v>-85605.776</v>
      </c>
      <c r="F1054" s="1" t="n">
        <v>4.249</v>
      </c>
      <c r="G1054" s="1" t="n">
        <f aca="false">IF(ISNUMBER(E1054),E1054,VALUE(SUBSTITUTE(E1054,"#",".01")))</f>
        <v>-85605.776</v>
      </c>
    </row>
    <row r="1055" customFormat="false" ht="12.75" hidden="false" customHeight="false" outlineLevel="0" collapsed="false">
      <c r="A1055" s="1" t="n">
        <v>55</v>
      </c>
      <c r="B1055" s="1" t="n">
        <v>42</v>
      </c>
      <c r="C1055" s="1" t="n">
        <v>97</v>
      </c>
      <c r="D1055" s="1" t="s">
        <v>562</v>
      </c>
      <c r="E1055" s="1" t="n">
        <v>-87544.691</v>
      </c>
      <c r="F1055" s="1" t="n">
        <v>0.165</v>
      </c>
      <c r="G1055" s="1" t="n">
        <f aca="false">IF(ISNUMBER(E1055),E1055,VALUE(SUBSTITUTE(E1055,"#",".01")))</f>
        <v>-87544.691</v>
      </c>
    </row>
    <row r="1056" customFormat="false" ht="12.75" hidden="false" customHeight="false" outlineLevel="0" collapsed="false">
      <c r="A1056" s="1" t="n">
        <v>54</v>
      </c>
      <c r="B1056" s="1" t="n">
        <v>43</v>
      </c>
      <c r="C1056" s="1" t="n">
        <v>97</v>
      </c>
      <c r="D1056" s="1" t="s">
        <v>569</v>
      </c>
      <c r="E1056" s="1" t="n">
        <v>-87224.424</v>
      </c>
      <c r="F1056" s="1" t="n">
        <v>4.118</v>
      </c>
      <c r="G1056" s="1" t="n">
        <f aca="false">IF(ISNUMBER(E1056),E1056,VALUE(SUBSTITUTE(E1056,"#",".01")))</f>
        <v>-87224.424</v>
      </c>
    </row>
    <row r="1057" customFormat="false" ht="12.75" hidden="false" customHeight="false" outlineLevel="0" collapsed="false">
      <c r="A1057" s="1" t="n">
        <v>53</v>
      </c>
      <c r="B1057" s="1" t="n">
        <v>44</v>
      </c>
      <c r="C1057" s="1" t="n">
        <v>97</v>
      </c>
      <c r="D1057" s="1" t="s">
        <v>578</v>
      </c>
      <c r="E1057" s="1" t="n">
        <v>-86120.552</v>
      </c>
      <c r="F1057" s="1" t="n">
        <v>2.763</v>
      </c>
      <c r="G1057" s="1" t="n">
        <f aca="false">IF(ISNUMBER(E1057),E1057,VALUE(SUBSTITUTE(E1057,"#",".01")))</f>
        <v>-86120.552</v>
      </c>
    </row>
    <row r="1058" customFormat="false" ht="12.75" hidden="false" customHeight="false" outlineLevel="0" collapsed="false">
      <c r="A1058" s="1" t="n">
        <v>52</v>
      </c>
      <c r="B1058" s="1" t="n">
        <v>45</v>
      </c>
      <c r="C1058" s="1" t="n">
        <v>97</v>
      </c>
      <c r="D1058" s="1" t="s">
        <v>589</v>
      </c>
      <c r="E1058" s="1" t="n">
        <v>-82597.552</v>
      </c>
      <c r="F1058" s="1" t="n">
        <v>35.463</v>
      </c>
      <c r="G1058" s="1" t="n">
        <f aca="false">IF(ISNUMBER(E1058),E1058,VALUE(SUBSTITUTE(E1058,"#",".01")))</f>
        <v>-82597.552</v>
      </c>
    </row>
    <row r="1059" customFormat="false" ht="12.75" hidden="false" customHeight="false" outlineLevel="0" collapsed="false">
      <c r="A1059" s="1" t="n">
        <v>51</v>
      </c>
      <c r="B1059" s="1" t="n">
        <v>46</v>
      </c>
      <c r="C1059" s="1" t="n">
        <v>97</v>
      </c>
      <c r="D1059" s="1" t="s">
        <v>599</v>
      </c>
      <c r="E1059" s="1" t="n">
        <v>-77805.843</v>
      </c>
      <c r="F1059" s="1" t="n">
        <v>4.844</v>
      </c>
      <c r="G1059" s="1" t="n">
        <f aca="false">IF(ISNUMBER(E1059),E1059,VALUE(SUBSTITUTE(E1059,"#",".01")))</f>
        <v>-77805.843</v>
      </c>
    </row>
    <row r="1060" customFormat="false" ht="12.75" hidden="false" customHeight="false" outlineLevel="0" collapsed="false">
      <c r="A1060" s="1" t="n">
        <v>50</v>
      </c>
      <c r="B1060" s="1" t="n">
        <v>47</v>
      </c>
      <c r="C1060" s="1" t="n">
        <v>97</v>
      </c>
      <c r="D1060" s="1" t="s">
        <v>607</v>
      </c>
      <c r="E1060" s="1" t="n">
        <v>-70825.843</v>
      </c>
      <c r="F1060" s="1" t="n">
        <v>110.107</v>
      </c>
      <c r="G1060" s="1" t="n">
        <f aca="false">IF(ISNUMBER(E1060),E1060,VALUE(SUBSTITUTE(E1060,"#",".01")))</f>
        <v>-70825.843</v>
      </c>
    </row>
    <row r="1061" customFormat="false" ht="12.75" hidden="false" customHeight="false" outlineLevel="0" collapsed="false">
      <c r="A1061" s="1" t="n">
        <v>49</v>
      </c>
      <c r="B1061" s="1" t="n">
        <v>48</v>
      </c>
      <c r="C1061" s="1" t="n">
        <v>97</v>
      </c>
      <c r="D1061" s="1" t="s">
        <v>615</v>
      </c>
      <c r="E1061" s="1" t="s">
        <v>626</v>
      </c>
      <c r="F1061" s="1" t="s">
        <v>360</v>
      </c>
      <c r="G1061" s="1" t="n">
        <f aca="false">IF(ISNUMBER(E1061),E1061,VALUE(SUBSTITUTE(E1061,"#",".01")))</f>
        <v>-60454.01</v>
      </c>
    </row>
    <row r="1062" customFormat="false" ht="12.75" hidden="false" customHeight="false" outlineLevel="0" collapsed="false">
      <c r="A1062" s="1" t="n">
        <v>48</v>
      </c>
      <c r="B1062" s="1" t="n">
        <v>49</v>
      </c>
      <c r="C1062" s="1" t="n">
        <v>97</v>
      </c>
      <c r="D1062" s="1" t="s">
        <v>623</v>
      </c>
      <c r="E1062" s="1" t="s">
        <v>627</v>
      </c>
      <c r="F1062" s="1" t="s">
        <v>320</v>
      </c>
      <c r="G1062" s="1" t="n">
        <f aca="false">IF(ISNUMBER(E1062),E1062,VALUE(SUBSTITUTE(E1062,"#",".01")))</f>
        <v>-47189.01</v>
      </c>
    </row>
    <row r="1063" customFormat="false" ht="12.75" hidden="false" customHeight="false" outlineLevel="0" collapsed="false">
      <c r="A1063" s="1" t="n">
        <v>63</v>
      </c>
      <c r="B1063" s="1" t="n">
        <v>35</v>
      </c>
      <c r="C1063" s="1" t="n">
        <v>98</v>
      </c>
      <c r="D1063" s="1" t="s">
        <v>500</v>
      </c>
      <c r="E1063" s="1" t="s">
        <v>628</v>
      </c>
      <c r="F1063" s="1" t="s">
        <v>378</v>
      </c>
      <c r="G1063" s="1" t="n">
        <f aca="false">IF(ISNUMBER(E1063),E1063,VALUE(SUBSTITUTE(E1063,"#",".01")))</f>
        <v>-28250.01</v>
      </c>
    </row>
    <row r="1064" customFormat="false" ht="12.75" hidden="false" customHeight="false" outlineLevel="0" collapsed="false">
      <c r="A1064" s="1" t="n">
        <v>62</v>
      </c>
      <c r="B1064" s="1" t="n">
        <v>36</v>
      </c>
      <c r="C1064" s="1" t="n">
        <v>98</v>
      </c>
      <c r="D1064" s="1" t="s">
        <v>509</v>
      </c>
      <c r="E1064" s="1" t="s">
        <v>629</v>
      </c>
      <c r="F1064" s="1" t="s">
        <v>360</v>
      </c>
      <c r="G1064" s="1" t="n">
        <f aca="false">IF(ISNUMBER(E1064),E1064,VALUE(SUBSTITUTE(E1064,"#",".01")))</f>
        <v>-44311.01</v>
      </c>
    </row>
    <row r="1065" customFormat="false" ht="12.75" hidden="false" customHeight="false" outlineLevel="0" collapsed="false">
      <c r="A1065" s="1" t="n">
        <v>61</v>
      </c>
      <c r="B1065" s="1" t="n">
        <v>37</v>
      </c>
      <c r="C1065" s="1" t="n">
        <v>98</v>
      </c>
      <c r="D1065" s="1" t="s">
        <v>518</v>
      </c>
      <c r="E1065" s="1" t="n">
        <v>-54369.146</v>
      </c>
      <c r="F1065" s="1" t="n">
        <v>16.083</v>
      </c>
      <c r="G1065" s="1" t="n">
        <f aca="false">IF(ISNUMBER(E1065),E1065,VALUE(SUBSTITUTE(E1065,"#",".01")))</f>
        <v>-54369.146</v>
      </c>
    </row>
    <row r="1066" customFormat="false" ht="12.75" hidden="false" customHeight="false" outlineLevel="0" collapsed="false">
      <c r="A1066" s="1" t="n">
        <v>60</v>
      </c>
      <c r="B1066" s="1" t="n">
        <v>38</v>
      </c>
      <c r="C1066" s="1" t="n">
        <v>98</v>
      </c>
      <c r="D1066" s="1" t="s">
        <v>527</v>
      </c>
      <c r="E1066" s="1" t="n">
        <v>-66423.104</v>
      </c>
      <c r="F1066" s="1" t="n">
        <v>3.226</v>
      </c>
      <c r="G1066" s="1" t="n">
        <f aca="false">IF(ISNUMBER(E1066),E1066,VALUE(SUBSTITUTE(E1066,"#",".01")))</f>
        <v>-66423.104</v>
      </c>
    </row>
    <row r="1067" customFormat="false" ht="12.75" hidden="false" customHeight="false" outlineLevel="0" collapsed="false">
      <c r="A1067" s="1" t="n">
        <v>59</v>
      </c>
      <c r="B1067" s="1" t="n">
        <v>39</v>
      </c>
      <c r="C1067" s="1" t="n">
        <v>98</v>
      </c>
      <c r="D1067" s="1" t="s">
        <v>537</v>
      </c>
      <c r="E1067" s="1" t="n">
        <v>-72294.777</v>
      </c>
      <c r="F1067" s="1" t="n">
        <v>7.929</v>
      </c>
      <c r="G1067" s="1" t="n">
        <f aca="false">IF(ISNUMBER(E1067),E1067,VALUE(SUBSTITUTE(E1067,"#",".01")))</f>
        <v>-72294.777</v>
      </c>
    </row>
    <row r="1068" customFormat="false" ht="12.75" hidden="false" customHeight="false" outlineLevel="0" collapsed="false">
      <c r="A1068" s="1" t="n">
        <v>58</v>
      </c>
      <c r="B1068" s="1" t="n">
        <v>40</v>
      </c>
      <c r="C1068" s="1" t="n">
        <v>98</v>
      </c>
      <c r="D1068" s="1" t="s">
        <v>547</v>
      </c>
      <c r="E1068" s="1" t="n">
        <v>-81286.709</v>
      </c>
      <c r="F1068" s="1" t="n">
        <v>8.451</v>
      </c>
      <c r="G1068" s="1" t="n">
        <f aca="false">IF(ISNUMBER(E1068),E1068,VALUE(SUBSTITUTE(E1068,"#",".01")))</f>
        <v>-81286.709</v>
      </c>
    </row>
    <row r="1069" customFormat="false" ht="12.75" hidden="false" customHeight="false" outlineLevel="0" collapsed="false">
      <c r="A1069" s="1" t="n">
        <v>57</v>
      </c>
      <c r="B1069" s="1" t="n">
        <v>41</v>
      </c>
      <c r="C1069" s="1" t="n">
        <v>98</v>
      </c>
      <c r="D1069" s="1" t="s">
        <v>554</v>
      </c>
      <c r="E1069" s="1" t="n">
        <v>-83524.598</v>
      </c>
      <c r="F1069" s="1" t="n">
        <v>5.001</v>
      </c>
      <c r="G1069" s="1" t="n">
        <f aca="false">IF(ISNUMBER(E1069),E1069,VALUE(SUBSTITUTE(E1069,"#",".01")))</f>
        <v>-83524.598</v>
      </c>
    </row>
    <row r="1070" customFormat="false" ht="12.75" hidden="false" customHeight="false" outlineLevel="0" collapsed="false">
      <c r="A1070" s="1" t="n">
        <v>56</v>
      </c>
      <c r="B1070" s="1" t="n">
        <v>42</v>
      </c>
      <c r="C1070" s="1" t="n">
        <v>98</v>
      </c>
      <c r="D1070" s="1" t="s">
        <v>562</v>
      </c>
      <c r="E1070" s="1" t="n">
        <v>-88115.972</v>
      </c>
      <c r="F1070" s="1" t="n">
        <v>0.174</v>
      </c>
      <c r="G1070" s="1" t="n">
        <f aca="false">IF(ISNUMBER(E1070),E1070,VALUE(SUBSTITUTE(E1070,"#",".01")))</f>
        <v>-88115.972</v>
      </c>
    </row>
    <row r="1071" customFormat="false" ht="12.75" hidden="false" customHeight="false" outlineLevel="0" collapsed="false">
      <c r="A1071" s="1" t="n">
        <v>55</v>
      </c>
      <c r="B1071" s="1" t="n">
        <v>43</v>
      </c>
      <c r="C1071" s="1" t="n">
        <v>98</v>
      </c>
      <c r="D1071" s="1" t="s">
        <v>569</v>
      </c>
      <c r="E1071" s="1" t="n">
        <v>-86432.205</v>
      </c>
      <c r="F1071" s="1" t="n">
        <v>3.38</v>
      </c>
      <c r="G1071" s="1" t="n">
        <f aca="false">IF(ISNUMBER(E1071),E1071,VALUE(SUBSTITUTE(E1071,"#",".01")))</f>
        <v>-86432.205</v>
      </c>
    </row>
    <row r="1072" customFormat="false" ht="12.75" hidden="false" customHeight="false" outlineLevel="0" collapsed="false">
      <c r="A1072" s="1" t="n">
        <v>54</v>
      </c>
      <c r="B1072" s="1" t="n">
        <v>44</v>
      </c>
      <c r="C1072" s="1" t="n">
        <v>98</v>
      </c>
      <c r="D1072" s="1" t="s">
        <v>578</v>
      </c>
      <c r="E1072" s="1" t="n">
        <v>-88224.858</v>
      </c>
      <c r="F1072" s="1" t="n">
        <v>6.463</v>
      </c>
      <c r="G1072" s="1" t="n">
        <f aca="false">IF(ISNUMBER(E1072),E1072,VALUE(SUBSTITUTE(E1072,"#",".01")))</f>
        <v>-88224.858</v>
      </c>
    </row>
    <row r="1073" customFormat="false" ht="12.75" hidden="false" customHeight="false" outlineLevel="0" collapsed="false">
      <c r="A1073" s="1" t="n">
        <v>53</v>
      </c>
      <c r="B1073" s="1" t="n">
        <v>45</v>
      </c>
      <c r="C1073" s="1" t="n">
        <v>98</v>
      </c>
      <c r="D1073" s="1" t="s">
        <v>589</v>
      </c>
      <c r="E1073" s="1" t="n">
        <v>-83175.205</v>
      </c>
      <c r="F1073" s="1" t="n">
        <v>11.906</v>
      </c>
      <c r="G1073" s="1" t="n">
        <f aca="false">IF(ISNUMBER(E1073),E1073,VALUE(SUBSTITUTE(E1073,"#",".01")))</f>
        <v>-83175.205</v>
      </c>
    </row>
    <row r="1074" customFormat="false" ht="12.75" hidden="false" customHeight="false" outlineLevel="0" collapsed="false">
      <c r="A1074" s="1" t="n">
        <v>52</v>
      </c>
      <c r="B1074" s="1" t="n">
        <v>46</v>
      </c>
      <c r="C1074" s="1" t="n">
        <v>98</v>
      </c>
      <c r="D1074" s="1" t="s">
        <v>599</v>
      </c>
      <c r="E1074" s="1" t="n">
        <v>-81320.975</v>
      </c>
      <c r="F1074" s="1" t="n">
        <v>4.742</v>
      </c>
      <c r="G1074" s="1" t="n">
        <f aca="false">IF(ISNUMBER(E1074),E1074,VALUE(SUBSTITUTE(E1074,"#",".01")))</f>
        <v>-81320.975</v>
      </c>
    </row>
    <row r="1075" customFormat="false" ht="12.75" hidden="false" customHeight="false" outlineLevel="0" collapsed="false">
      <c r="A1075" s="1" t="n">
        <v>51</v>
      </c>
      <c r="B1075" s="1" t="n">
        <v>47</v>
      </c>
      <c r="C1075" s="1" t="n">
        <v>98</v>
      </c>
      <c r="D1075" s="1" t="s">
        <v>607</v>
      </c>
      <c r="E1075" s="1" t="n">
        <v>-73066.415</v>
      </c>
      <c r="F1075" s="1" t="n">
        <v>32.907</v>
      </c>
      <c r="G1075" s="1" t="n">
        <f aca="false">IF(ISNUMBER(E1075),E1075,VALUE(SUBSTITUTE(E1075,"#",".01")))</f>
        <v>-73066.415</v>
      </c>
    </row>
    <row r="1076" customFormat="false" ht="12.75" hidden="false" customHeight="false" outlineLevel="0" collapsed="false">
      <c r="A1076" s="1" t="n">
        <v>50</v>
      </c>
      <c r="B1076" s="1" t="n">
        <v>48</v>
      </c>
      <c r="C1076" s="1" t="n">
        <v>98</v>
      </c>
      <c r="D1076" s="1" t="s">
        <v>615</v>
      </c>
      <c r="E1076" s="1" t="n">
        <v>-67636.415</v>
      </c>
      <c r="F1076" s="1" t="n">
        <v>51.797</v>
      </c>
      <c r="G1076" s="1" t="n">
        <f aca="false">IF(ISNUMBER(E1076),E1076,VALUE(SUBSTITUTE(E1076,"#",".01")))</f>
        <v>-67636.415</v>
      </c>
    </row>
    <row r="1077" customFormat="false" ht="12.75" hidden="false" customHeight="false" outlineLevel="0" collapsed="false">
      <c r="A1077" s="1" t="n">
        <v>49</v>
      </c>
      <c r="B1077" s="1" t="n">
        <v>49</v>
      </c>
      <c r="C1077" s="1" t="n">
        <v>98</v>
      </c>
      <c r="D1077" s="1" t="s">
        <v>623</v>
      </c>
      <c r="E1077" s="1" t="s">
        <v>630</v>
      </c>
      <c r="F1077" s="1" t="s">
        <v>360</v>
      </c>
      <c r="G1077" s="1" t="n">
        <f aca="false">IF(ISNUMBER(E1077),E1077,VALUE(SUBSTITUTE(E1077,"#",".01")))</f>
        <v>-53896.01</v>
      </c>
    </row>
    <row r="1078" customFormat="false" ht="12.75" hidden="false" customHeight="false" outlineLevel="0" collapsed="false">
      <c r="A1078" s="1" t="n">
        <v>63</v>
      </c>
      <c r="B1078" s="1" t="n">
        <v>36</v>
      </c>
      <c r="C1078" s="1" t="n">
        <v>99</v>
      </c>
      <c r="D1078" s="1" t="s">
        <v>509</v>
      </c>
      <c r="E1078" s="1" t="s">
        <v>631</v>
      </c>
      <c r="F1078" s="1" t="s">
        <v>320</v>
      </c>
      <c r="G1078" s="1" t="n">
        <f aca="false">IF(ISNUMBER(E1078),E1078,VALUE(SUBSTITUTE(E1078,"#",".01")))</f>
        <v>-38759.01</v>
      </c>
    </row>
    <row r="1079" customFormat="false" ht="12.75" hidden="false" customHeight="false" outlineLevel="0" collapsed="false">
      <c r="A1079" s="1" t="n">
        <v>62</v>
      </c>
      <c r="B1079" s="1" t="n">
        <v>37</v>
      </c>
      <c r="C1079" s="1" t="n">
        <v>99</v>
      </c>
      <c r="D1079" s="1" t="s">
        <v>518</v>
      </c>
      <c r="E1079" s="1" t="n">
        <v>-51121.143</v>
      </c>
      <c r="F1079" s="1" t="n">
        <v>4.031</v>
      </c>
      <c r="G1079" s="1" t="n">
        <f aca="false">IF(ISNUMBER(E1079),E1079,VALUE(SUBSTITUTE(E1079,"#",".01")))</f>
        <v>-51121.143</v>
      </c>
    </row>
    <row r="1080" customFormat="false" ht="12.75" hidden="false" customHeight="false" outlineLevel="0" collapsed="false">
      <c r="A1080" s="1" t="n">
        <v>61</v>
      </c>
      <c r="B1080" s="1" t="n">
        <v>38</v>
      </c>
      <c r="C1080" s="1" t="n">
        <v>99</v>
      </c>
      <c r="D1080" s="1" t="s">
        <v>527</v>
      </c>
      <c r="E1080" s="1" t="n">
        <v>-62521.401</v>
      </c>
      <c r="F1080" s="1" t="n">
        <v>4.741</v>
      </c>
      <c r="G1080" s="1" t="n">
        <f aca="false">IF(ISNUMBER(E1080),E1080,VALUE(SUBSTITUTE(E1080,"#",".01")))</f>
        <v>-62521.401</v>
      </c>
    </row>
    <row r="1081" customFormat="false" ht="12.75" hidden="false" customHeight="false" outlineLevel="0" collapsed="false">
      <c r="A1081" s="1" t="n">
        <v>60</v>
      </c>
      <c r="B1081" s="1" t="n">
        <v>39</v>
      </c>
      <c r="C1081" s="1" t="n">
        <v>99</v>
      </c>
      <c r="D1081" s="1" t="s">
        <v>537</v>
      </c>
      <c r="E1081" s="1" t="n">
        <v>-70649.825</v>
      </c>
      <c r="F1081" s="1" t="n">
        <v>6.627</v>
      </c>
      <c r="G1081" s="1" t="n">
        <f aca="false">IF(ISNUMBER(E1081),E1081,VALUE(SUBSTITUTE(E1081,"#",".01")))</f>
        <v>-70649.825</v>
      </c>
    </row>
    <row r="1082" customFormat="false" ht="12.75" hidden="false" customHeight="false" outlineLevel="0" collapsed="false">
      <c r="A1082" s="1" t="n">
        <v>59</v>
      </c>
      <c r="B1082" s="1" t="n">
        <v>40</v>
      </c>
      <c r="C1082" s="1" t="n">
        <v>99</v>
      </c>
      <c r="D1082" s="1" t="s">
        <v>547</v>
      </c>
      <c r="E1082" s="1" t="n">
        <v>-77620.617</v>
      </c>
      <c r="F1082" s="1" t="n">
        <v>10.502</v>
      </c>
      <c r="G1082" s="1" t="n">
        <f aca="false">IF(ISNUMBER(E1082),E1082,VALUE(SUBSTITUTE(E1082,"#",".01")))</f>
        <v>-77620.617</v>
      </c>
    </row>
    <row r="1083" customFormat="false" ht="12.75" hidden="false" customHeight="false" outlineLevel="0" collapsed="false">
      <c r="A1083" s="1" t="n">
        <v>58</v>
      </c>
      <c r="B1083" s="1" t="n">
        <v>41</v>
      </c>
      <c r="C1083" s="1" t="n">
        <v>99</v>
      </c>
      <c r="D1083" s="1" t="s">
        <v>554</v>
      </c>
      <c r="E1083" s="1" t="n">
        <v>-82335.341</v>
      </c>
      <c r="F1083" s="1" t="n">
        <v>12.004</v>
      </c>
      <c r="G1083" s="1" t="n">
        <f aca="false">IF(ISNUMBER(E1083),E1083,VALUE(SUBSTITUTE(E1083,"#",".01")))</f>
        <v>-82335.341</v>
      </c>
    </row>
    <row r="1084" customFormat="false" ht="12.75" hidden="false" customHeight="false" outlineLevel="0" collapsed="false">
      <c r="A1084" s="1" t="n">
        <v>57</v>
      </c>
      <c r="B1084" s="1" t="n">
        <v>42</v>
      </c>
      <c r="C1084" s="1" t="n">
        <v>99</v>
      </c>
      <c r="D1084" s="1" t="s">
        <v>562</v>
      </c>
      <c r="E1084" s="1" t="n">
        <v>-85970.098</v>
      </c>
      <c r="F1084" s="1" t="n">
        <v>0.229</v>
      </c>
      <c r="G1084" s="1" t="n">
        <f aca="false">IF(ISNUMBER(E1084),E1084,VALUE(SUBSTITUTE(E1084,"#",".01")))</f>
        <v>-85970.098</v>
      </c>
    </row>
    <row r="1085" customFormat="false" ht="12.75" hidden="false" customHeight="false" outlineLevel="0" collapsed="false">
      <c r="A1085" s="1" t="n">
        <v>56</v>
      </c>
      <c r="B1085" s="1" t="n">
        <v>43</v>
      </c>
      <c r="C1085" s="1" t="n">
        <v>99</v>
      </c>
      <c r="D1085" s="1" t="s">
        <v>569</v>
      </c>
      <c r="E1085" s="1" t="n">
        <v>-87327.862</v>
      </c>
      <c r="F1085" s="1" t="n">
        <v>0.908</v>
      </c>
      <c r="G1085" s="1" t="n">
        <f aca="false">IF(ISNUMBER(E1085),E1085,VALUE(SUBSTITUTE(E1085,"#",".01")))</f>
        <v>-87327.862</v>
      </c>
    </row>
    <row r="1086" customFormat="false" ht="12.75" hidden="false" customHeight="false" outlineLevel="0" collapsed="false">
      <c r="A1086" s="1" t="n">
        <v>55</v>
      </c>
      <c r="B1086" s="1" t="n">
        <v>44</v>
      </c>
      <c r="C1086" s="1" t="n">
        <v>99</v>
      </c>
      <c r="D1086" s="1" t="s">
        <v>578</v>
      </c>
      <c r="E1086" s="1" t="n">
        <v>-87625.381</v>
      </c>
      <c r="F1086" s="1" t="n">
        <v>0.344</v>
      </c>
      <c r="G1086" s="1" t="n">
        <f aca="false">IF(ISNUMBER(E1086),E1086,VALUE(SUBSTITUTE(E1086,"#",".01")))</f>
        <v>-87625.381</v>
      </c>
    </row>
    <row r="1087" customFormat="false" ht="12.75" hidden="false" customHeight="false" outlineLevel="0" collapsed="false">
      <c r="A1087" s="1" t="n">
        <v>54</v>
      </c>
      <c r="B1087" s="1" t="n">
        <v>45</v>
      </c>
      <c r="C1087" s="1" t="n">
        <v>99</v>
      </c>
      <c r="D1087" s="1" t="s">
        <v>589</v>
      </c>
      <c r="E1087" s="1" t="n">
        <v>-85581.3</v>
      </c>
      <c r="F1087" s="1" t="n">
        <v>6.697</v>
      </c>
      <c r="G1087" s="1" t="n">
        <f aca="false">IF(ISNUMBER(E1087),E1087,VALUE(SUBSTITUTE(E1087,"#",".01")))</f>
        <v>-85581.3</v>
      </c>
    </row>
    <row r="1088" customFormat="false" ht="12.75" hidden="false" customHeight="false" outlineLevel="0" collapsed="false">
      <c r="A1088" s="1" t="n">
        <v>53</v>
      </c>
      <c r="B1088" s="1" t="n">
        <v>46</v>
      </c>
      <c r="C1088" s="1" t="n">
        <v>99</v>
      </c>
      <c r="D1088" s="1" t="s">
        <v>599</v>
      </c>
      <c r="E1088" s="1" t="n">
        <v>-82182.651</v>
      </c>
      <c r="F1088" s="1" t="n">
        <v>4.981</v>
      </c>
      <c r="G1088" s="1" t="n">
        <f aca="false">IF(ISNUMBER(E1088),E1088,VALUE(SUBSTITUTE(E1088,"#",".01")))</f>
        <v>-82182.651</v>
      </c>
    </row>
    <row r="1089" customFormat="false" ht="12.75" hidden="false" customHeight="false" outlineLevel="0" collapsed="false">
      <c r="A1089" s="1" t="n">
        <v>52</v>
      </c>
      <c r="B1089" s="1" t="n">
        <v>47</v>
      </c>
      <c r="C1089" s="1" t="n">
        <v>99</v>
      </c>
      <c r="D1089" s="1" t="s">
        <v>607</v>
      </c>
      <c r="E1089" s="1" t="n">
        <v>-76712.473</v>
      </c>
      <c r="F1089" s="1" t="n">
        <v>6.265</v>
      </c>
      <c r="G1089" s="1" t="n">
        <f aca="false">IF(ISNUMBER(E1089),E1089,VALUE(SUBSTITUTE(E1089,"#",".01")))</f>
        <v>-76712.473</v>
      </c>
    </row>
    <row r="1090" customFormat="false" ht="12.75" hidden="false" customHeight="false" outlineLevel="0" collapsed="false">
      <c r="A1090" s="1" t="n">
        <v>51</v>
      </c>
      <c r="B1090" s="1" t="n">
        <v>48</v>
      </c>
      <c r="C1090" s="1" t="n">
        <v>99</v>
      </c>
      <c r="D1090" s="1" t="s">
        <v>615</v>
      </c>
      <c r="E1090" s="1" t="n">
        <v>-69931.123</v>
      </c>
      <c r="F1090" s="1" t="n">
        <v>1.584</v>
      </c>
      <c r="G1090" s="1" t="n">
        <f aca="false">IF(ISNUMBER(E1090),E1090,VALUE(SUBSTITUTE(E1090,"#",".01")))</f>
        <v>-69931.123</v>
      </c>
    </row>
    <row r="1091" customFormat="false" ht="12.75" hidden="false" customHeight="false" outlineLevel="0" collapsed="false">
      <c r="A1091" s="1" t="n">
        <v>50</v>
      </c>
      <c r="B1091" s="1" t="n">
        <v>49</v>
      </c>
      <c r="C1091" s="1" t="n">
        <v>99</v>
      </c>
      <c r="D1091" s="1" t="s">
        <v>623</v>
      </c>
      <c r="E1091" s="1" t="s">
        <v>632</v>
      </c>
      <c r="F1091" s="1" t="s">
        <v>360</v>
      </c>
      <c r="G1091" s="1" t="n">
        <f aca="false">IF(ISNUMBER(E1091),E1091,VALUE(SUBSTITUTE(E1091,"#",".01")))</f>
        <v>-61376.01</v>
      </c>
    </row>
    <row r="1092" customFormat="false" ht="12.75" hidden="false" customHeight="false" outlineLevel="0" collapsed="false">
      <c r="A1092" s="1" t="n">
        <v>49</v>
      </c>
      <c r="B1092" s="1" t="n">
        <v>50</v>
      </c>
      <c r="C1092" s="1" t="n">
        <v>99</v>
      </c>
      <c r="D1092" s="1" t="s">
        <v>633</v>
      </c>
      <c r="E1092" s="1" t="s">
        <v>634</v>
      </c>
      <c r="F1092" s="1" t="s">
        <v>323</v>
      </c>
      <c r="G1092" s="1" t="n">
        <f aca="false">IF(ISNUMBER(E1092),E1092,VALUE(SUBSTITUTE(E1092,"#",".01")))</f>
        <v>-47944.01</v>
      </c>
    </row>
    <row r="1093" customFormat="false" ht="12.75" hidden="false" customHeight="false" outlineLevel="0" collapsed="false">
      <c r="A1093" s="1" t="n">
        <v>64</v>
      </c>
      <c r="B1093" s="1" t="n">
        <v>36</v>
      </c>
      <c r="C1093" s="1" t="n">
        <v>100</v>
      </c>
      <c r="D1093" s="1" t="s">
        <v>509</v>
      </c>
      <c r="E1093" s="1" t="s">
        <v>635</v>
      </c>
      <c r="F1093" s="1" t="s">
        <v>320</v>
      </c>
      <c r="G1093" s="1" t="n">
        <f aca="false">IF(ISNUMBER(E1093),E1093,VALUE(SUBSTITUTE(E1093,"#",".01")))</f>
        <v>-35052.01</v>
      </c>
    </row>
    <row r="1094" customFormat="false" ht="12.75" hidden="false" customHeight="false" outlineLevel="0" collapsed="false">
      <c r="A1094" s="1" t="n">
        <v>63</v>
      </c>
      <c r="B1094" s="1" t="n">
        <v>37</v>
      </c>
      <c r="C1094" s="1" t="n">
        <v>100</v>
      </c>
      <c r="D1094" s="1" t="s">
        <v>518</v>
      </c>
      <c r="E1094" s="1" t="n">
        <v>-46247.064</v>
      </c>
      <c r="F1094" s="1" t="n">
        <v>19.561</v>
      </c>
      <c r="G1094" s="1" t="n">
        <f aca="false">IF(ISNUMBER(E1094),E1094,VALUE(SUBSTITUTE(E1094,"#",".01")))</f>
        <v>-46247.064</v>
      </c>
    </row>
    <row r="1095" customFormat="false" ht="12.75" hidden="false" customHeight="false" outlineLevel="0" collapsed="false">
      <c r="A1095" s="1" t="n">
        <v>62</v>
      </c>
      <c r="B1095" s="1" t="n">
        <v>38</v>
      </c>
      <c r="C1095" s="1" t="n">
        <v>100</v>
      </c>
      <c r="D1095" s="1" t="s">
        <v>527</v>
      </c>
      <c r="E1095" s="1" t="n">
        <v>-59820.903</v>
      </c>
      <c r="F1095" s="1" t="n">
        <v>7.16</v>
      </c>
      <c r="G1095" s="1" t="n">
        <f aca="false">IF(ISNUMBER(E1095),E1095,VALUE(SUBSTITUTE(E1095,"#",".01")))</f>
        <v>-59820.903</v>
      </c>
    </row>
    <row r="1096" customFormat="false" ht="12.75" hidden="false" customHeight="false" outlineLevel="0" collapsed="false">
      <c r="A1096" s="1" t="n">
        <v>61</v>
      </c>
      <c r="B1096" s="1" t="n">
        <v>39</v>
      </c>
      <c r="C1096" s="1" t="n">
        <v>100</v>
      </c>
      <c r="D1096" s="1" t="s">
        <v>537</v>
      </c>
      <c r="E1096" s="1" t="n">
        <v>-67327.396</v>
      </c>
      <c r="F1096" s="1" t="n">
        <v>11.186</v>
      </c>
      <c r="G1096" s="1" t="n">
        <f aca="false">IF(ISNUMBER(E1096),E1096,VALUE(SUBSTITUTE(E1096,"#",".01")))</f>
        <v>-67327.396</v>
      </c>
    </row>
    <row r="1097" customFormat="false" ht="12.75" hidden="false" customHeight="false" outlineLevel="0" collapsed="false">
      <c r="A1097" s="1" t="n">
        <v>60</v>
      </c>
      <c r="B1097" s="1" t="n">
        <v>40</v>
      </c>
      <c r="C1097" s="1" t="n">
        <v>100</v>
      </c>
      <c r="D1097" s="1" t="s">
        <v>547</v>
      </c>
      <c r="E1097" s="1" t="n">
        <v>-76377.437</v>
      </c>
      <c r="F1097" s="1" t="n">
        <v>8.149</v>
      </c>
      <c r="G1097" s="1" t="n">
        <f aca="false">IF(ISNUMBER(E1097),E1097,VALUE(SUBSTITUTE(E1097,"#",".01")))</f>
        <v>-76377.437</v>
      </c>
    </row>
    <row r="1098" customFormat="false" ht="12.75" hidden="false" customHeight="false" outlineLevel="0" collapsed="false">
      <c r="A1098" s="1" t="n">
        <v>59</v>
      </c>
      <c r="B1098" s="1" t="n">
        <v>41</v>
      </c>
      <c r="C1098" s="1" t="n">
        <v>100</v>
      </c>
      <c r="D1098" s="1" t="s">
        <v>554</v>
      </c>
      <c r="E1098" s="1" t="n">
        <v>-79797.399</v>
      </c>
      <c r="F1098" s="1" t="n">
        <v>7.986</v>
      </c>
      <c r="G1098" s="1" t="n">
        <f aca="false">IF(ISNUMBER(E1098),E1098,VALUE(SUBSTITUTE(E1098,"#",".01")))</f>
        <v>-79797.399</v>
      </c>
    </row>
    <row r="1099" customFormat="false" ht="12.75" hidden="false" customHeight="false" outlineLevel="0" collapsed="false">
      <c r="A1099" s="1" t="n">
        <v>58</v>
      </c>
      <c r="B1099" s="1" t="n">
        <v>42</v>
      </c>
      <c r="C1099" s="1" t="n">
        <v>100</v>
      </c>
      <c r="D1099" s="1" t="s">
        <v>562</v>
      </c>
      <c r="E1099" s="1" t="n">
        <v>-86193.025</v>
      </c>
      <c r="F1099" s="1" t="n">
        <v>0.302</v>
      </c>
      <c r="G1099" s="1" t="n">
        <f aca="false">IF(ISNUMBER(E1099),E1099,VALUE(SUBSTITUTE(E1099,"#",".01")))</f>
        <v>-86193.025</v>
      </c>
    </row>
    <row r="1100" customFormat="false" ht="12.75" hidden="false" customHeight="false" outlineLevel="0" collapsed="false">
      <c r="A1100" s="1" t="n">
        <v>57</v>
      </c>
      <c r="B1100" s="1" t="n">
        <v>43</v>
      </c>
      <c r="C1100" s="1" t="n">
        <v>100</v>
      </c>
      <c r="D1100" s="1" t="s">
        <v>569</v>
      </c>
      <c r="E1100" s="1" t="n">
        <v>-86020.945</v>
      </c>
      <c r="F1100" s="1" t="n">
        <v>1.351</v>
      </c>
      <c r="G1100" s="1" t="n">
        <f aca="false">IF(ISNUMBER(E1100),E1100,VALUE(SUBSTITUTE(E1100,"#",".01")))</f>
        <v>-86020.945</v>
      </c>
    </row>
    <row r="1101" customFormat="false" ht="12.75" hidden="false" customHeight="false" outlineLevel="0" collapsed="false">
      <c r="A1101" s="1" t="n">
        <v>56</v>
      </c>
      <c r="B1101" s="1" t="n">
        <v>44</v>
      </c>
      <c r="C1101" s="1" t="n">
        <v>100</v>
      </c>
      <c r="D1101" s="1" t="s">
        <v>578</v>
      </c>
      <c r="E1101" s="1" t="n">
        <v>-89227.389</v>
      </c>
      <c r="F1101" s="1" t="n">
        <v>0.343</v>
      </c>
      <c r="G1101" s="1" t="n">
        <f aca="false">IF(ISNUMBER(E1101),E1101,VALUE(SUBSTITUTE(E1101,"#",".01")))</f>
        <v>-89227.389</v>
      </c>
    </row>
    <row r="1102" customFormat="false" ht="12.75" hidden="false" customHeight="false" outlineLevel="0" collapsed="false">
      <c r="A1102" s="1" t="n">
        <v>55</v>
      </c>
      <c r="B1102" s="1" t="n">
        <v>45</v>
      </c>
      <c r="C1102" s="1" t="n">
        <v>100</v>
      </c>
      <c r="D1102" s="1" t="s">
        <v>589</v>
      </c>
      <c r="E1102" s="1" t="n">
        <v>-85591.126</v>
      </c>
      <c r="F1102" s="1" t="n">
        <v>18.125</v>
      </c>
      <c r="G1102" s="1" t="n">
        <f aca="false">IF(ISNUMBER(E1102),E1102,VALUE(SUBSTITUTE(E1102,"#",".01")))</f>
        <v>-85591.126</v>
      </c>
    </row>
    <row r="1103" customFormat="false" ht="12.75" hidden="false" customHeight="false" outlineLevel="0" collapsed="false">
      <c r="A1103" s="1" t="n">
        <v>54</v>
      </c>
      <c r="B1103" s="1" t="n">
        <v>46</v>
      </c>
      <c r="C1103" s="1" t="n">
        <v>100</v>
      </c>
      <c r="D1103" s="1" t="s">
        <v>599</v>
      </c>
      <c r="E1103" s="1" t="n">
        <v>-85212.778</v>
      </c>
      <c r="F1103" s="1" t="n">
        <v>17.638</v>
      </c>
      <c r="G1103" s="1" t="n">
        <f aca="false">IF(ISNUMBER(E1103),E1103,VALUE(SUBSTITUTE(E1103,"#",".01")))</f>
        <v>-85212.778</v>
      </c>
    </row>
    <row r="1104" customFormat="false" ht="12.75" hidden="false" customHeight="false" outlineLevel="0" collapsed="false">
      <c r="A1104" s="1" t="n">
        <v>53</v>
      </c>
      <c r="B1104" s="1" t="n">
        <v>47</v>
      </c>
      <c r="C1104" s="1" t="n">
        <v>100</v>
      </c>
      <c r="D1104" s="1" t="s">
        <v>607</v>
      </c>
      <c r="E1104" s="1" t="n">
        <v>-78137.959</v>
      </c>
      <c r="F1104" s="1" t="n">
        <v>5</v>
      </c>
      <c r="G1104" s="1" t="n">
        <f aca="false">IF(ISNUMBER(E1104),E1104,VALUE(SUBSTITUTE(E1104,"#",".01")))</f>
        <v>-78137.959</v>
      </c>
    </row>
    <row r="1105" customFormat="false" ht="12.75" hidden="false" customHeight="false" outlineLevel="0" collapsed="false">
      <c r="A1105" s="1" t="n">
        <v>52</v>
      </c>
      <c r="B1105" s="1" t="n">
        <v>48</v>
      </c>
      <c r="C1105" s="1" t="n">
        <v>100</v>
      </c>
      <c r="D1105" s="1" t="s">
        <v>615</v>
      </c>
      <c r="E1105" s="1" t="n">
        <v>-74194.596</v>
      </c>
      <c r="F1105" s="1" t="n">
        <v>1.677</v>
      </c>
      <c r="G1105" s="1" t="n">
        <f aca="false">IF(ISNUMBER(E1105),E1105,VALUE(SUBSTITUTE(E1105,"#",".01")))</f>
        <v>-74194.596</v>
      </c>
    </row>
    <row r="1106" customFormat="false" ht="12.75" hidden="false" customHeight="false" outlineLevel="0" collapsed="false">
      <c r="A1106" s="1" t="n">
        <v>51</v>
      </c>
      <c r="B1106" s="1" t="n">
        <v>49</v>
      </c>
      <c r="C1106" s="1" t="n">
        <v>100</v>
      </c>
      <c r="D1106" s="1" t="s">
        <v>623</v>
      </c>
      <c r="E1106" s="1" t="n">
        <v>-64312.972</v>
      </c>
      <c r="F1106" s="1" t="n">
        <v>182.519</v>
      </c>
      <c r="G1106" s="1" t="n">
        <f aca="false">IF(ISNUMBER(E1106),E1106,VALUE(SUBSTITUTE(E1106,"#",".01")))</f>
        <v>-64312.972</v>
      </c>
    </row>
    <row r="1107" customFormat="false" ht="12.75" hidden="false" customHeight="false" outlineLevel="0" collapsed="false">
      <c r="A1107" s="1" t="n">
        <v>50</v>
      </c>
      <c r="B1107" s="1" t="n">
        <v>50</v>
      </c>
      <c r="C1107" s="1" t="n">
        <v>100</v>
      </c>
      <c r="D1107" s="1" t="s">
        <v>633</v>
      </c>
      <c r="E1107" s="1" t="n">
        <v>-57282.972</v>
      </c>
      <c r="F1107" s="1" t="n">
        <v>301.518</v>
      </c>
      <c r="G1107" s="1" t="n">
        <f aca="false">IF(ISNUMBER(E1107),E1107,VALUE(SUBSTITUTE(E1107,"#",".01")))</f>
        <v>-57282.972</v>
      </c>
    </row>
    <row r="1108" customFormat="false" ht="12.75" hidden="false" customHeight="false" outlineLevel="0" collapsed="false">
      <c r="A1108" s="1" t="n">
        <v>65</v>
      </c>
      <c r="B1108" s="1" t="n">
        <v>36</v>
      </c>
      <c r="C1108" s="1" t="n">
        <v>101</v>
      </c>
      <c r="D1108" s="1" t="s">
        <v>509</v>
      </c>
      <c r="E1108" s="1" t="s">
        <v>636</v>
      </c>
      <c r="F1108" s="1" t="s">
        <v>323</v>
      </c>
      <c r="G1108" s="1" t="n">
        <f aca="false">IF(ISNUMBER(E1108),E1108,VALUE(SUBSTITUTE(E1108,"#",".01")))</f>
        <v>-29128.01</v>
      </c>
    </row>
    <row r="1109" customFormat="false" ht="12.75" hidden="false" customHeight="false" outlineLevel="0" collapsed="false">
      <c r="A1109" s="1" t="n">
        <v>64</v>
      </c>
      <c r="B1109" s="1" t="n">
        <v>37</v>
      </c>
      <c r="C1109" s="1" t="n">
        <v>101</v>
      </c>
      <c r="D1109" s="1" t="s">
        <v>518</v>
      </c>
      <c r="E1109" s="1" t="s">
        <v>637</v>
      </c>
      <c r="F1109" s="1" t="s">
        <v>349</v>
      </c>
      <c r="G1109" s="1" t="n">
        <f aca="false">IF(ISNUMBER(E1109),E1109,VALUE(SUBSTITUTE(E1109,"#",".01")))</f>
        <v>-42845.01</v>
      </c>
    </row>
    <row r="1110" customFormat="false" ht="12.75" hidden="false" customHeight="false" outlineLevel="0" collapsed="false">
      <c r="A1110" s="1" t="n">
        <v>63</v>
      </c>
      <c r="B1110" s="1" t="n">
        <v>38</v>
      </c>
      <c r="C1110" s="1" t="n">
        <v>101</v>
      </c>
      <c r="D1110" s="1" t="s">
        <v>527</v>
      </c>
      <c r="E1110" s="1" t="n">
        <v>-55324.907</v>
      </c>
      <c r="F1110" s="1" t="n">
        <v>8.48</v>
      </c>
      <c r="G1110" s="1" t="n">
        <f aca="false">IF(ISNUMBER(E1110),E1110,VALUE(SUBSTITUTE(E1110,"#",".01")))</f>
        <v>-55324.907</v>
      </c>
    </row>
    <row r="1111" customFormat="false" ht="12.75" hidden="false" customHeight="false" outlineLevel="0" collapsed="false">
      <c r="A1111" s="1" t="n">
        <v>62</v>
      </c>
      <c r="B1111" s="1" t="n">
        <v>39</v>
      </c>
      <c r="C1111" s="1" t="n">
        <v>101</v>
      </c>
      <c r="D1111" s="1" t="s">
        <v>537</v>
      </c>
      <c r="E1111" s="1" t="n">
        <v>-65061.002</v>
      </c>
      <c r="F1111" s="1" t="n">
        <v>7.092</v>
      </c>
      <c r="G1111" s="1" t="n">
        <f aca="false">IF(ISNUMBER(E1111),E1111,VALUE(SUBSTITUTE(E1111,"#",".01")))</f>
        <v>-65061.002</v>
      </c>
    </row>
    <row r="1112" customFormat="false" ht="12.75" hidden="false" customHeight="false" outlineLevel="0" collapsed="false">
      <c r="A1112" s="1" t="n">
        <v>61</v>
      </c>
      <c r="B1112" s="1" t="n">
        <v>40</v>
      </c>
      <c r="C1112" s="1" t="n">
        <v>101</v>
      </c>
      <c r="D1112" s="1" t="s">
        <v>547</v>
      </c>
      <c r="E1112" s="1" t="n">
        <v>-73165.957</v>
      </c>
      <c r="F1112" s="1" t="n">
        <v>8.339</v>
      </c>
      <c r="G1112" s="1" t="n">
        <f aca="false">IF(ISNUMBER(E1112),E1112,VALUE(SUBSTITUTE(E1112,"#",".01")))</f>
        <v>-73165.957</v>
      </c>
    </row>
    <row r="1113" customFormat="false" ht="12.75" hidden="false" customHeight="false" outlineLevel="0" collapsed="false">
      <c r="A1113" s="1" t="n">
        <v>60</v>
      </c>
      <c r="B1113" s="1" t="n">
        <v>41</v>
      </c>
      <c r="C1113" s="1" t="n">
        <v>101</v>
      </c>
      <c r="D1113" s="1" t="s">
        <v>554</v>
      </c>
      <c r="E1113" s="1" t="n">
        <v>-78891.491</v>
      </c>
      <c r="F1113" s="1" t="n">
        <v>3.749</v>
      </c>
      <c r="G1113" s="1" t="n">
        <f aca="false">IF(ISNUMBER(E1113),E1113,VALUE(SUBSTITUTE(E1113,"#",".01")))</f>
        <v>-78891.491</v>
      </c>
    </row>
    <row r="1114" customFormat="false" ht="12.75" hidden="false" customHeight="false" outlineLevel="0" collapsed="false">
      <c r="A1114" s="1" t="n">
        <v>59</v>
      </c>
      <c r="B1114" s="1" t="n">
        <v>42</v>
      </c>
      <c r="C1114" s="1" t="n">
        <v>101</v>
      </c>
      <c r="D1114" s="1" t="s">
        <v>562</v>
      </c>
      <c r="E1114" s="1" t="n">
        <v>-83519.949</v>
      </c>
      <c r="F1114" s="1" t="n">
        <v>0.309</v>
      </c>
      <c r="G1114" s="1" t="n">
        <f aca="false">IF(ISNUMBER(E1114),E1114,VALUE(SUBSTITUTE(E1114,"#",".01")))</f>
        <v>-83519.949</v>
      </c>
    </row>
    <row r="1115" customFormat="false" ht="12.75" hidden="false" customHeight="false" outlineLevel="0" collapsed="false">
      <c r="A1115" s="1" t="n">
        <v>58</v>
      </c>
      <c r="B1115" s="1" t="n">
        <v>43</v>
      </c>
      <c r="C1115" s="1" t="n">
        <v>101</v>
      </c>
      <c r="D1115" s="1" t="s">
        <v>569</v>
      </c>
      <c r="E1115" s="1" t="n">
        <v>-86344.594</v>
      </c>
      <c r="F1115" s="1" t="n">
        <v>24.004</v>
      </c>
      <c r="G1115" s="1" t="n">
        <f aca="false">IF(ISNUMBER(E1115),E1115,VALUE(SUBSTITUTE(E1115,"#",".01")))</f>
        <v>-86344.594</v>
      </c>
    </row>
    <row r="1116" customFormat="false" ht="12.75" hidden="false" customHeight="false" outlineLevel="0" collapsed="false">
      <c r="A1116" s="1" t="n">
        <v>57</v>
      </c>
      <c r="B1116" s="1" t="n">
        <v>44</v>
      </c>
      <c r="C1116" s="1" t="n">
        <v>101</v>
      </c>
      <c r="D1116" s="1" t="s">
        <v>578</v>
      </c>
      <c r="E1116" s="1" t="n">
        <v>-87958.114</v>
      </c>
      <c r="F1116" s="1" t="n">
        <v>0.415</v>
      </c>
      <c r="G1116" s="1" t="n">
        <f aca="false">IF(ISNUMBER(E1116),E1116,VALUE(SUBSTITUTE(E1116,"#",".01")))</f>
        <v>-87958.114</v>
      </c>
    </row>
    <row r="1117" customFormat="false" ht="12.75" hidden="false" customHeight="false" outlineLevel="0" collapsed="false">
      <c r="A1117" s="1" t="n">
        <v>56</v>
      </c>
      <c r="B1117" s="1" t="n">
        <v>45</v>
      </c>
      <c r="C1117" s="1" t="n">
        <v>101</v>
      </c>
      <c r="D1117" s="1" t="s">
        <v>589</v>
      </c>
      <c r="E1117" s="1" t="n">
        <v>-87412.416</v>
      </c>
      <c r="F1117" s="1" t="n">
        <v>5.841</v>
      </c>
      <c r="G1117" s="1" t="n">
        <f aca="false">IF(ISNUMBER(E1117),E1117,VALUE(SUBSTITUTE(E1117,"#",".01")))</f>
        <v>-87412.416</v>
      </c>
    </row>
    <row r="1118" customFormat="false" ht="12.75" hidden="false" customHeight="false" outlineLevel="0" collapsed="false">
      <c r="A1118" s="1" t="n">
        <v>55</v>
      </c>
      <c r="B1118" s="1" t="n">
        <v>46</v>
      </c>
      <c r="C1118" s="1" t="n">
        <v>101</v>
      </c>
      <c r="D1118" s="1" t="s">
        <v>599</v>
      </c>
      <c r="E1118" s="1" t="n">
        <v>-85432.132</v>
      </c>
      <c r="F1118" s="1" t="n">
        <v>4.588</v>
      </c>
      <c r="G1118" s="1" t="n">
        <f aca="false">IF(ISNUMBER(E1118),E1118,VALUE(SUBSTITUTE(E1118,"#",".01")))</f>
        <v>-85432.132</v>
      </c>
    </row>
    <row r="1119" customFormat="false" ht="12.75" hidden="false" customHeight="false" outlineLevel="0" collapsed="false">
      <c r="A1119" s="1" t="n">
        <v>54</v>
      </c>
      <c r="B1119" s="1" t="n">
        <v>47</v>
      </c>
      <c r="C1119" s="1" t="n">
        <v>101</v>
      </c>
      <c r="D1119" s="1" t="s">
        <v>607</v>
      </c>
      <c r="E1119" s="1" t="n">
        <v>-81334.374</v>
      </c>
      <c r="F1119" s="1" t="n">
        <v>4.838</v>
      </c>
      <c r="G1119" s="1" t="n">
        <f aca="false">IF(ISNUMBER(E1119),E1119,VALUE(SUBSTITUTE(E1119,"#",".01")))</f>
        <v>-81334.374</v>
      </c>
    </row>
    <row r="1120" customFormat="false" ht="12.75" hidden="false" customHeight="false" outlineLevel="0" collapsed="false">
      <c r="A1120" s="1" t="n">
        <v>53</v>
      </c>
      <c r="B1120" s="1" t="n">
        <v>48</v>
      </c>
      <c r="C1120" s="1" t="n">
        <v>101</v>
      </c>
      <c r="D1120" s="1" t="s">
        <v>615</v>
      </c>
      <c r="E1120" s="1" t="n">
        <v>-75836.456</v>
      </c>
      <c r="F1120" s="1" t="n">
        <v>1.49</v>
      </c>
      <c r="G1120" s="1" t="n">
        <f aca="false">IF(ISNUMBER(E1120),E1120,VALUE(SUBSTITUTE(E1120,"#",".01")))</f>
        <v>-75836.456</v>
      </c>
    </row>
    <row r="1121" customFormat="false" ht="12.75" hidden="false" customHeight="false" outlineLevel="0" collapsed="false">
      <c r="A1121" s="1" t="n">
        <v>52</v>
      </c>
      <c r="B1121" s="1" t="n">
        <v>49</v>
      </c>
      <c r="C1121" s="1" t="n">
        <v>101</v>
      </c>
      <c r="D1121" s="1" t="s">
        <v>623</v>
      </c>
      <c r="E1121" s="1" t="s">
        <v>638</v>
      </c>
      <c r="F1121" s="1" t="s">
        <v>333</v>
      </c>
      <c r="G1121" s="1" t="n">
        <f aca="false">IF(ISNUMBER(E1121),E1121,VALUE(SUBSTITUTE(E1121,"#",".01")))</f>
        <v>-68614.01</v>
      </c>
    </row>
    <row r="1122" customFormat="false" ht="12.75" hidden="false" customHeight="false" outlineLevel="0" collapsed="false">
      <c r="A1122" s="1" t="n">
        <v>51</v>
      </c>
      <c r="B1122" s="1" t="n">
        <v>50</v>
      </c>
      <c r="C1122" s="1" t="n">
        <v>101</v>
      </c>
      <c r="D1122" s="1" t="s">
        <v>633</v>
      </c>
      <c r="E1122" s="1" t="n">
        <v>-60305.626</v>
      </c>
      <c r="F1122" s="1" t="n">
        <v>300.005</v>
      </c>
      <c r="G1122" s="1" t="n">
        <f aca="false">IF(ISNUMBER(E1122),E1122,VALUE(SUBSTITUTE(E1122,"#",".01")))</f>
        <v>-60305.626</v>
      </c>
    </row>
    <row r="1123" customFormat="false" ht="12.75" hidden="false" customHeight="false" outlineLevel="0" collapsed="false">
      <c r="A1123" s="1" t="n">
        <v>65</v>
      </c>
      <c r="B1123" s="1" t="n">
        <v>37</v>
      </c>
      <c r="C1123" s="1" t="n">
        <v>102</v>
      </c>
      <c r="D1123" s="1" t="s">
        <v>518</v>
      </c>
      <c r="E1123" s="1" t="s">
        <v>639</v>
      </c>
      <c r="F1123" s="1" t="s">
        <v>360</v>
      </c>
      <c r="G1123" s="1" t="n">
        <f aca="false">IF(ISNUMBER(E1123),E1123,VALUE(SUBSTITUTE(E1123,"#",".01")))</f>
        <v>-37707.01</v>
      </c>
    </row>
    <row r="1124" customFormat="false" ht="12.75" hidden="false" customHeight="false" outlineLevel="0" collapsed="false">
      <c r="A1124" s="1" t="n">
        <v>64</v>
      </c>
      <c r="B1124" s="1" t="n">
        <v>38</v>
      </c>
      <c r="C1124" s="1" t="n">
        <v>102</v>
      </c>
      <c r="D1124" s="1" t="s">
        <v>527</v>
      </c>
      <c r="E1124" s="1" t="n">
        <v>-52159.304</v>
      </c>
      <c r="F1124" s="1" t="n">
        <v>67.068</v>
      </c>
      <c r="G1124" s="1" t="n">
        <f aca="false">IF(ISNUMBER(E1124),E1124,VALUE(SUBSTITUTE(E1124,"#",".01")))</f>
        <v>-52159.304</v>
      </c>
    </row>
    <row r="1125" customFormat="false" ht="12.75" hidden="false" customHeight="false" outlineLevel="0" collapsed="false">
      <c r="A1125" s="1" t="n">
        <v>63</v>
      </c>
      <c r="B1125" s="1" t="n">
        <v>39</v>
      </c>
      <c r="C1125" s="1" t="n">
        <v>102</v>
      </c>
      <c r="D1125" s="1" t="s">
        <v>537</v>
      </c>
      <c r="E1125" s="1" t="n">
        <v>-61173.177</v>
      </c>
      <c r="F1125" s="1" t="n">
        <v>4.077</v>
      </c>
      <c r="G1125" s="1" t="n">
        <f aca="false">IF(ISNUMBER(E1125),E1125,VALUE(SUBSTITUTE(E1125,"#",".01")))</f>
        <v>-61173.177</v>
      </c>
    </row>
    <row r="1126" customFormat="false" ht="12.75" hidden="false" customHeight="false" outlineLevel="0" collapsed="false">
      <c r="A1126" s="1" t="n">
        <v>62</v>
      </c>
      <c r="B1126" s="1" t="n">
        <v>40</v>
      </c>
      <c r="C1126" s="1" t="n">
        <v>102</v>
      </c>
      <c r="D1126" s="1" t="s">
        <v>547</v>
      </c>
      <c r="E1126" s="1" t="n">
        <v>-71587.707</v>
      </c>
      <c r="F1126" s="1" t="n">
        <v>8.767</v>
      </c>
      <c r="G1126" s="1" t="n">
        <f aca="false">IF(ISNUMBER(E1126),E1126,VALUE(SUBSTITUTE(E1126,"#",".01")))</f>
        <v>-71587.707</v>
      </c>
    </row>
    <row r="1127" customFormat="false" ht="12.75" hidden="false" customHeight="false" outlineLevel="0" collapsed="false">
      <c r="A1127" s="1" t="n">
        <v>61</v>
      </c>
      <c r="B1127" s="1" t="n">
        <v>41</v>
      </c>
      <c r="C1127" s="1" t="n">
        <v>102</v>
      </c>
      <c r="D1127" s="1" t="s">
        <v>554</v>
      </c>
      <c r="E1127" s="1" t="n">
        <v>-76304.544</v>
      </c>
      <c r="F1127" s="1" t="n">
        <v>2.545</v>
      </c>
      <c r="G1127" s="1" t="n">
        <f aca="false">IF(ISNUMBER(E1127),E1127,VALUE(SUBSTITUTE(E1127,"#",".01")))</f>
        <v>-76304.544</v>
      </c>
    </row>
    <row r="1128" customFormat="false" ht="12.75" hidden="false" customHeight="false" outlineLevel="0" collapsed="false">
      <c r="A1128" s="1" t="n">
        <v>60</v>
      </c>
      <c r="B1128" s="1" t="n">
        <v>42</v>
      </c>
      <c r="C1128" s="1" t="n">
        <v>102</v>
      </c>
      <c r="D1128" s="1" t="s">
        <v>562</v>
      </c>
      <c r="E1128" s="1" t="n">
        <v>-83566.061</v>
      </c>
      <c r="F1128" s="1" t="n">
        <v>8.312</v>
      </c>
      <c r="G1128" s="1" t="n">
        <f aca="false">IF(ISNUMBER(E1128),E1128,VALUE(SUBSTITUTE(E1128,"#",".01")))</f>
        <v>-83566.061</v>
      </c>
    </row>
    <row r="1129" customFormat="false" ht="12.75" hidden="false" customHeight="false" outlineLevel="0" collapsed="false">
      <c r="A1129" s="1" t="n">
        <v>59</v>
      </c>
      <c r="B1129" s="1" t="n">
        <v>43</v>
      </c>
      <c r="C1129" s="1" t="n">
        <v>102</v>
      </c>
      <c r="D1129" s="1" t="s">
        <v>569</v>
      </c>
      <c r="E1129" s="1" t="n">
        <v>-84572.878</v>
      </c>
      <c r="F1129" s="1" t="n">
        <v>9.166</v>
      </c>
      <c r="G1129" s="1" t="n">
        <f aca="false">IF(ISNUMBER(E1129),E1129,VALUE(SUBSTITUTE(E1129,"#",".01")))</f>
        <v>-84572.878</v>
      </c>
    </row>
    <row r="1130" customFormat="false" ht="12.75" hidden="false" customHeight="false" outlineLevel="0" collapsed="false">
      <c r="A1130" s="1" t="n">
        <v>58</v>
      </c>
      <c r="B1130" s="1" t="n">
        <v>44</v>
      </c>
      <c r="C1130" s="1" t="n">
        <v>102</v>
      </c>
      <c r="D1130" s="1" t="s">
        <v>578</v>
      </c>
      <c r="E1130" s="1" t="n">
        <v>-89106.437</v>
      </c>
      <c r="F1130" s="1" t="n">
        <v>0.418</v>
      </c>
      <c r="G1130" s="1" t="n">
        <f aca="false">IF(ISNUMBER(E1130),E1130,VALUE(SUBSTITUTE(E1130,"#",".01")))</f>
        <v>-89106.437</v>
      </c>
    </row>
    <row r="1131" customFormat="false" ht="12.75" hidden="false" customHeight="false" outlineLevel="0" collapsed="false">
      <c r="A1131" s="1" t="n">
        <v>57</v>
      </c>
      <c r="B1131" s="1" t="n">
        <v>45</v>
      </c>
      <c r="C1131" s="1" t="n">
        <v>102</v>
      </c>
      <c r="D1131" s="1" t="s">
        <v>589</v>
      </c>
      <c r="E1131" s="1" t="n">
        <v>-86783.318</v>
      </c>
      <c r="F1131" s="1" t="n">
        <v>6.41</v>
      </c>
      <c r="G1131" s="1" t="n">
        <f aca="false">IF(ISNUMBER(E1131),E1131,VALUE(SUBSTITUTE(E1131,"#",".01")))</f>
        <v>-86783.318</v>
      </c>
    </row>
    <row r="1132" customFormat="false" ht="12.75" hidden="false" customHeight="false" outlineLevel="0" collapsed="false">
      <c r="A1132" s="1" t="n">
        <v>56</v>
      </c>
      <c r="B1132" s="1" t="n">
        <v>46</v>
      </c>
      <c r="C1132" s="1" t="n">
        <v>102</v>
      </c>
      <c r="D1132" s="1" t="s">
        <v>599</v>
      </c>
      <c r="E1132" s="1" t="n">
        <v>-87903.171</v>
      </c>
      <c r="F1132" s="1" t="n">
        <v>0.554</v>
      </c>
      <c r="G1132" s="1" t="n">
        <f aca="false">IF(ISNUMBER(E1132),E1132,VALUE(SUBSTITUTE(E1132,"#",".01")))</f>
        <v>-87903.171</v>
      </c>
    </row>
    <row r="1133" customFormat="false" ht="12.75" hidden="false" customHeight="false" outlineLevel="0" collapsed="false">
      <c r="A1133" s="1" t="n">
        <v>55</v>
      </c>
      <c r="B1133" s="1" t="n">
        <v>47</v>
      </c>
      <c r="C1133" s="1" t="n">
        <v>102</v>
      </c>
      <c r="D1133" s="1" t="s">
        <v>607</v>
      </c>
      <c r="E1133" s="1" t="n">
        <v>-82246.691</v>
      </c>
      <c r="F1133" s="1" t="n">
        <v>8.171</v>
      </c>
      <c r="G1133" s="1" t="n">
        <f aca="false">IF(ISNUMBER(E1133),E1133,VALUE(SUBSTITUTE(E1133,"#",".01")))</f>
        <v>-82246.691</v>
      </c>
    </row>
    <row r="1134" customFormat="false" ht="12.75" hidden="false" customHeight="false" outlineLevel="0" collapsed="false">
      <c r="A1134" s="1" t="n">
        <v>54</v>
      </c>
      <c r="B1134" s="1" t="n">
        <v>48</v>
      </c>
      <c r="C1134" s="1" t="n">
        <v>102</v>
      </c>
      <c r="D1134" s="1" t="s">
        <v>615</v>
      </c>
      <c r="E1134" s="1" t="n">
        <v>-79659.691</v>
      </c>
      <c r="F1134" s="1" t="n">
        <v>1.662</v>
      </c>
      <c r="G1134" s="1" t="n">
        <f aca="false">IF(ISNUMBER(E1134),E1134,VALUE(SUBSTITUTE(E1134,"#",".01")))</f>
        <v>-79659.691</v>
      </c>
    </row>
    <row r="1135" customFormat="false" ht="12.75" hidden="false" customHeight="false" outlineLevel="0" collapsed="false">
      <c r="A1135" s="1" t="n">
        <v>53</v>
      </c>
      <c r="B1135" s="1" t="n">
        <v>49</v>
      </c>
      <c r="C1135" s="1" t="n">
        <v>102</v>
      </c>
      <c r="D1135" s="1" t="s">
        <v>623</v>
      </c>
      <c r="E1135" s="1" t="n">
        <v>-70694.884</v>
      </c>
      <c r="F1135" s="1" t="n">
        <v>4.573</v>
      </c>
      <c r="G1135" s="1" t="n">
        <f aca="false">IF(ISNUMBER(E1135),E1135,VALUE(SUBSTITUTE(E1135,"#",".01")))</f>
        <v>-70694.884</v>
      </c>
    </row>
    <row r="1136" customFormat="false" ht="12.75" hidden="false" customHeight="false" outlineLevel="0" collapsed="false">
      <c r="A1136" s="1" t="n">
        <v>52</v>
      </c>
      <c r="B1136" s="1" t="n">
        <v>50</v>
      </c>
      <c r="C1136" s="1" t="n">
        <v>102</v>
      </c>
      <c r="D1136" s="1" t="s">
        <v>633</v>
      </c>
      <c r="E1136" s="1" t="n">
        <v>-64934.884</v>
      </c>
      <c r="F1136" s="1" t="n">
        <v>100.105</v>
      </c>
      <c r="G1136" s="1" t="n">
        <f aca="false">IF(ISNUMBER(E1136),E1136,VALUE(SUBSTITUTE(E1136,"#",".01")))</f>
        <v>-64934.884</v>
      </c>
    </row>
    <row r="1137" customFormat="false" ht="12.75" hidden="false" customHeight="false" outlineLevel="0" collapsed="false">
      <c r="A1137" s="1" t="n">
        <v>66</v>
      </c>
      <c r="B1137" s="1" t="n">
        <v>37</v>
      </c>
      <c r="C1137" s="1" t="n">
        <v>103</v>
      </c>
      <c r="D1137" s="1" t="s">
        <v>518</v>
      </c>
      <c r="E1137" s="1" t="s">
        <v>640</v>
      </c>
      <c r="F1137" s="1" t="s">
        <v>320</v>
      </c>
      <c r="G1137" s="1" t="n">
        <f aca="false">IF(ISNUMBER(E1137),E1137,VALUE(SUBSTITUTE(E1137,"#",".01")))</f>
        <v>-33608.01</v>
      </c>
    </row>
    <row r="1138" customFormat="false" ht="12.75" hidden="false" customHeight="false" outlineLevel="0" collapsed="false">
      <c r="A1138" s="1" t="n">
        <v>65</v>
      </c>
      <c r="B1138" s="1" t="n">
        <v>38</v>
      </c>
      <c r="C1138" s="1" t="n">
        <v>103</v>
      </c>
      <c r="D1138" s="1" t="s">
        <v>527</v>
      </c>
      <c r="E1138" s="1" t="s">
        <v>641</v>
      </c>
      <c r="F1138" s="1" t="s">
        <v>333</v>
      </c>
      <c r="G1138" s="1" t="n">
        <f aca="false">IF(ISNUMBER(E1138),E1138,VALUE(SUBSTITUTE(E1138,"#",".01")))</f>
        <v>-47422.01</v>
      </c>
    </row>
    <row r="1139" customFormat="false" ht="12.75" hidden="false" customHeight="false" outlineLevel="0" collapsed="false">
      <c r="A1139" s="1" t="n">
        <v>64</v>
      </c>
      <c r="B1139" s="1" t="n">
        <v>39</v>
      </c>
      <c r="C1139" s="1" t="n">
        <v>103</v>
      </c>
      <c r="D1139" s="1" t="s">
        <v>537</v>
      </c>
      <c r="E1139" s="1" t="n">
        <v>-58457.575</v>
      </c>
      <c r="F1139" s="1" t="n">
        <v>11.204</v>
      </c>
      <c r="G1139" s="1" t="n">
        <f aca="false">IF(ISNUMBER(E1139),E1139,VALUE(SUBSTITUTE(E1139,"#",".01")))</f>
        <v>-58457.575</v>
      </c>
    </row>
    <row r="1140" customFormat="false" ht="12.75" hidden="false" customHeight="false" outlineLevel="0" collapsed="false">
      <c r="A1140" s="1" t="n">
        <v>63</v>
      </c>
      <c r="B1140" s="1" t="n">
        <v>40</v>
      </c>
      <c r="C1140" s="1" t="n">
        <v>103</v>
      </c>
      <c r="D1140" s="1" t="s">
        <v>547</v>
      </c>
      <c r="E1140" s="1" t="n">
        <v>-67815.334</v>
      </c>
      <c r="F1140" s="1" t="n">
        <v>9.232</v>
      </c>
      <c r="G1140" s="1" t="n">
        <f aca="false">IF(ISNUMBER(E1140),E1140,VALUE(SUBSTITUTE(E1140,"#",".01")))</f>
        <v>-67815.334</v>
      </c>
    </row>
    <row r="1141" customFormat="false" ht="12.75" hidden="false" customHeight="false" outlineLevel="0" collapsed="false">
      <c r="A1141" s="1" t="n">
        <v>62</v>
      </c>
      <c r="B1141" s="1" t="n">
        <v>41</v>
      </c>
      <c r="C1141" s="1" t="n">
        <v>103</v>
      </c>
      <c r="D1141" s="1" t="s">
        <v>554</v>
      </c>
      <c r="E1141" s="1" t="n">
        <v>-75028.671</v>
      </c>
      <c r="F1141" s="1" t="n">
        <v>3.935</v>
      </c>
      <c r="G1141" s="1" t="n">
        <f aca="false">IF(ISNUMBER(E1141),E1141,VALUE(SUBSTITUTE(E1141,"#",".01")))</f>
        <v>-75028.671</v>
      </c>
    </row>
    <row r="1142" customFormat="false" ht="12.75" hidden="false" customHeight="false" outlineLevel="0" collapsed="false">
      <c r="A1142" s="1" t="n">
        <v>61</v>
      </c>
      <c r="B1142" s="1" t="n">
        <v>42</v>
      </c>
      <c r="C1142" s="1" t="n">
        <v>103</v>
      </c>
      <c r="D1142" s="1" t="s">
        <v>562</v>
      </c>
      <c r="E1142" s="1" t="n">
        <v>-80960.67</v>
      </c>
      <c r="F1142" s="1" t="n">
        <v>9.232</v>
      </c>
      <c r="G1142" s="1" t="n">
        <f aca="false">IF(ISNUMBER(E1142),E1142,VALUE(SUBSTITUTE(E1142,"#",".01")))</f>
        <v>-80960.67</v>
      </c>
    </row>
    <row r="1143" customFormat="false" ht="12.75" hidden="false" customHeight="false" outlineLevel="0" collapsed="false">
      <c r="A1143" s="1" t="n">
        <v>60</v>
      </c>
      <c r="B1143" s="1" t="n">
        <v>43</v>
      </c>
      <c r="C1143" s="1" t="n">
        <v>103</v>
      </c>
      <c r="D1143" s="1" t="s">
        <v>569</v>
      </c>
      <c r="E1143" s="1" t="n">
        <v>-84603.867</v>
      </c>
      <c r="F1143" s="1" t="n">
        <v>9.81</v>
      </c>
      <c r="G1143" s="1" t="n">
        <f aca="false">IF(ISNUMBER(E1143),E1143,VALUE(SUBSTITUTE(E1143,"#",".01")))</f>
        <v>-84603.867</v>
      </c>
    </row>
    <row r="1144" customFormat="false" ht="12.75" hidden="false" customHeight="false" outlineLevel="0" collapsed="false">
      <c r="A1144" s="1" t="n">
        <v>59</v>
      </c>
      <c r="B1144" s="1" t="n">
        <v>44</v>
      </c>
      <c r="C1144" s="1" t="n">
        <v>103</v>
      </c>
      <c r="D1144" s="1" t="s">
        <v>578</v>
      </c>
      <c r="E1144" s="1" t="n">
        <v>-87267.171</v>
      </c>
      <c r="F1144" s="1" t="n">
        <v>0.443</v>
      </c>
      <c r="G1144" s="1" t="n">
        <f aca="false">IF(ISNUMBER(E1144),E1144,VALUE(SUBSTITUTE(E1144,"#",".01")))</f>
        <v>-87267.171</v>
      </c>
    </row>
    <row r="1145" customFormat="false" ht="12.75" hidden="false" customHeight="false" outlineLevel="0" collapsed="false">
      <c r="A1145" s="1" t="n">
        <v>58</v>
      </c>
      <c r="B1145" s="1" t="n">
        <v>45</v>
      </c>
      <c r="C1145" s="1" t="n">
        <v>103</v>
      </c>
      <c r="D1145" s="1" t="s">
        <v>589</v>
      </c>
      <c r="E1145" s="1" t="n">
        <v>-88031.708</v>
      </c>
      <c r="F1145" s="1" t="n">
        <v>2.301</v>
      </c>
      <c r="G1145" s="1" t="n">
        <f aca="false">IF(ISNUMBER(E1145),E1145,VALUE(SUBSTITUTE(E1145,"#",".01")))</f>
        <v>-88031.708</v>
      </c>
    </row>
    <row r="1146" customFormat="false" ht="12.75" hidden="false" customHeight="false" outlineLevel="0" collapsed="false">
      <c r="A1146" s="1" t="n">
        <v>57</v>
      </c>
      <c r="B1146" s="1" t="n">
        <v>46</v>
      </c>
      <c r="C1146" s="1" t="n">
        <v>103</v>
      </c>
      <c r="D1146" s="1" t="s">
        <v>599</v>
      </c>
      <c r="E1146" s="1" t="n">
        <v>-87457.189</v>
      </c>
      <c r="F1146" s="1" t="n">
        <v>0.95</v>
      </c>
      <c r="G1146" s="1" t="n">
        <f aca="false">IF(ISNUMBER(E1146),E1146,VALUE(SUBSTITUTE(E1146,"#",".01")))</f>
        <v>-87457.189</v>
      </c>
    </row>
    <row r="1147" customFormat="false" ht="12.75" hidden="false" customHeight="false" outlineLevel="0" collapsed="false">
      <c r="A1147" s="1" t="n">
        <v>56</v>
      </c>
      <c r="B1147" s="1" t="n">
        <v>47</v>
      </c>
      <c r="C1147" s="1" t="n">
        <v>103</v>
      </c>
      <c r="D1147" s="1" t="s">
        <v>607</v>
      </c>
      <c r="E1147" s="1" t="n">
        <v>-84802.692</v>
      </c>
      <c r="F1147" s="1" t="n">
        <v>4.099</v>
      </c>
      <c r="G1147" s="1" t="n">
        <f aca="false">IF(ISNUMBER(E1147),E1147,VALUE(SUBSTITUTE(E1147,"#",".01")))</f>
        <v>-84802.692</v>
      </c>
    </row>
    <row r="1148" customFormat="false" ht="12.75" hidden="false" customHeight="false" outlineLevel="0" collapsed="false">
      <c r="A1148" s="1" t="n">
        <v>55</v>
      </c>
      <c r="B1148" s="1" t="n">
        <v>48</v>
      </c>
      <c r="C1148" s="1" t="n">
        <v>103</v>
      </c>
      <c r="D1148" s="1" t="s">
        <v>615</v>
      </c>
      <c r="E1148" s="1" t="n">
        <v>-80651.616</v>
      </c>
      <c r="F1148" s="1" t="n">
        <v>1.811</v>
      </c>
      <c r="G1148" s="1" t="n">
        <f aca="false">IF(ISNUMBER(E1148),E1148,VALUE(SUBSTITUTE(E1148,"#",".01")))</f>
        <v>-80651.616</v>
      </c>
    </row>
    <row r="1149" customFormat="false" ht="12.75" hidden="false" customHeight="false" outlineLevel="0" collapsed="false">
      <c r="A1149" s="1" t="n">
        <v>54</v>
      </c>
      <c r="B1149" s="1" t="n">
        <v>49</v>
      </c>
      <c r="C1149" s="1" t="n">
        <v>103</v>
      </c>
      <c r="D1149" s="1" t="s">
        <v>623</v>
      </c>
      <c r="E1149" s="1" t="n">
        <v>-74632.591</v>
      </c>
      <c r="F1149" s="1" t="n">
        <v>9.625</v>
      </c>
      <c r="G1149" s="1" t="n">
        <f aca="false">IF(ISNUMBER(E1149),E1149,VALUE(SUBSTITUTE(E1149,"#",".01")))</f>
        <v>-74632.591</v>
      </c>
    </row>
    <row r="1150" customFormat="false" ht="12.75" hidden="false" customHeight="false" outlineLevel="0" collapsed="false">
      <c r="A1150" s="1" t="n">
        <v>53</v>
      </c>
      <c r="B1150" s="1" t="n">
        <v>50</v>
      </c>
      <c r="C1150" s="1" t="n">
        <v>103</v>
      </c>
      <c r="D1150" s="1" t="s">
        <v>633</v>
      </c>
      <c r="E1150" s="1" t="n">
        <v>-66972.591</v>
      </c>
      <c r="F1150" s="1" t="n">
        <v>70.659</v>
      </c>
      <c r="G1150" s="1" t="n">
        <f aca="false">IF(ISNUMBER(E1150),E1150,VALUE(SUBSTITUTE(E1150,"#",".01")))</f>
        <v>-66972.591</v>
      </c>
    </row>
    <row r="1151" customFormat="false" ht="12.75" hidden="false" customHeight="false" outlineLevel="0" collapsed="false">
      <c r="A1151" s="1" t="n">
        <v>52</v>
      </c>
      <c r="B1151" s="1" t="n">
        <v>51</v>
      </c>
      <c r="C1151" s="1" t="n">
        <v>103</v>
      </c>
      <c r="D1151" s="1" t="s">
        <v>642</v>
      </c>
      <c r="E1151" s="1" t="s">
        <v>643</v>
      </c>
      <c r="F1151" s="1" t="s">
        <v>360</v>
      </c>
      <c r="G1151" s="1" t="n">
        <f aca="false">IF(ISNUMBER(E1151),E1151,VALUE(SUBSTITUTE(E1151,"#",".01")))</f>
        <v>-56178.01</v>
      </c>
    </row>
    <row r="1152" customFormat="false" ht="12.75" hidden="false" customHeight="false" outlineLevel="0" collapsed="false">
      <c r="A1152" s="1" t="n">
        <v>66</v>
      </c>
      <c r="B1152" s="1" t="n">
        <v>38</v>
      </c>
      <c r="C1152" s="1" t="n">
        <v>104</v>
      </c>
      <c r="D1152" s="1" t="s">
        <v>527</v>
      </c>
      <c r="E1152" s="1" t="s">
        <v>644</v>
      </c>
      <c r="F1152" s="1" t="s">
        <v>360</v>
      </c>
      <c r="G1152" s="1" t="n">
        <f aca="false">IF(ISNUMBER(E1152),E1152,VALUE(SUBSTITUTE(E1152,"#",".01")))</f>
        <v>-44106.01</v>
      </c>
    </row>
    <row r="1153" customFormat="false" ht="12.75" hidden="false" customHeight="false" outlineLevel="0" collapsed="false">
      <c r="A1153" s="1" t="n">
        <v>65</v>
      </c>
      <c r="B1153" s="1" t="n">
        <v>39</v>
      </c>
      <c r="C1153" s="1" t="n">
        <v>104</v>
      </c>
      <c r="D1153" s="1" t="s">
        <v>537</v>
      </c>
      <c r="E1153" s="1" t="s">
        <v>645</v>
      </c>
      <c r="F1153" s="1" t="s">
        <v>320</v>
      </c>
      <c r="G1153" s="1" t="n">
        <f aca="false">IF(ISNUMBER(E1153),E1153,VALUE(SUBSTITUTE(E1153,"#",".01")))</f>
        <v>-54064.01</v>
      </c>
    </row>
    <row r="1154" customFormat="false" ht="12.75" hidden="false" customHeight="false" outlineLevel="0" collapsed="false">
      <c r="A1154" s="1" t="n">
        <v>64</v>
      </c>
      <c r="B1154" s="1" t="n">
        <v>40</v>
      </c>
      <c r="C1154" s="1" t="n">
        <v>104</v>
      </c>
      <c r="D1154" s="1" t="s">
        <v>547</v>
      </c>
      <c r="E1154" s="1" t="n">
        <v>-65724.06</v>
      </c>
      <c r="F1154" s="1" t="n">
        <v>9.325</v>
      </c>
      <c r="G1154" s="1" t="n">
        <f aca="false">IF(ISNUMBER(E1154),E1154,VALUE(SUBSTITUTE(E1154,"#",".01")))</f>
        <v>-65724.06</v>
      </c>
    </row>
    <row r="1155" customFormat="false" ht="12.75" hidden="false" customHeight="false" outlineLevel="0" collapsed="false">
      <c r="A1155" s="1" t="n">
        <v>63</v>
      </c>
      <c r="B1155" s="1" t="n">
        <v>41</v>
      </c>
      <c r="C1155" s="1" t="n">
        <v>104</v>
      </c>
      <c r="D1155" s="1" t="s">
        <v>554</v>
      </c>
      <c r="E1155" s="1" t="n">
        <v>-71819.012</v>
      </c>
      <c r="F1155" s="1" t="n">
        <v>2.737</v>
      </c>
      <c r="G1155" s="1" t="n">
        <f aca="false">IF(ISNUMBER(E1155),E1155,VALUE(SUBSTITUTE(E1155,"#",".01")))</f>
        <v>-71819.012</v>
      </c>
    </row>
    <row r="1156" customFormat="false" ht="12.75" hidden="false" customHeight="false" outlineLevel="0" collapsed="false">
      <c r="A1156" s="1" t="n">
        <v>62</v>
      </c>
      <c r="B1156" s="1" t="n">
        <v>42</v>
      </c>
      <c r="C1156" s="1" t="n">
        <v>104</v>
      </c>
      <c r="D1156" s="1" t="s">
        <v>562</v>
      </c>
      <c r="E1156" s="1" t="n">
        <v>-80349.968</v>
      </c>
      <c r="F1156" s="1" t="n">
        <v>8.921</v>
      </c>
      <c r="G1156" s="1" t="n">
        <f aca="false">IF(ISNUMBER(E1156),E1156,VALUE(SUBSTITUTE(E1156,"#",".01")))</f>
        <v>-80349.968</v>
      </c>
    </row>
    <row r="1157" customFormat="false" ht="12.75" hidden="false" customHeight="false" outlineLevel="0" collapsed="false">
      <c r="A1157" s="1" t="n">
        <v>61</v>
      </c>
      <c r="B1157" s="1" t="n">
        <v>43</v>
      </c>
      <c r="C1157" s="1" t="n">
        <v>104</v>
      </c>
      <c r="D1157" s="1" t="s">
        <v>569</v>
      </c>
      <c r="E1157" s="1" t="n">
        <v>-82503.444</v>
      </c>
      <c r="F1157" s="1" t="n">
        <v>24.888</v>
      </c>
      <c r="G1157" s="1" t="n">
        <f aca="false">IF(ISNUMBER(E1157),E1157,VALUE(SUBSTITUTE(E1157,"#",".01")))</f>
        <v>-82503.444</v>
      </c>
    </row>
    <row r="1158" customFormat="false" ht="12.75" hidden="false" customHeight="false" outlineLevel="0" collapsed="false">
      <c r="A1158" s="1" t="n">
        <v>60</v>
      </c>
      <c r="B1158" s="1" t="n">
        <v>44</v>
      </c>
      <c r="C1158" s="1" t="n">
        <v>104</v>
      </c>
      <c r="D1158" s="1" t="s">
        <v>578</v>
      </c>
      <c r="E1158" s="1" t="n">
        <v>-88095.71</v>
      </c>
      <c r="F1158" s="1" t="n">
        <v>2.498</v>
      </c>
      <c r="G1158" s="1" t="n">
        <f aca="false">IF(ISNUMBER(E1158),E1158,VALUE(SUBSTITUTE(E1158,"#",".01")))</f>
        <v>-88095.71</v>
      </c>
    </row>
    <row r="1159" customFormat="false" ht="12.75" hidden="false" customHeight="false" outlineLevel="0" collapsed="false">
      <c r="A1159" s="1" t="n">
        <v>59</v>
      </c>
      <c r="B1159" s="1" t="n">
        <v>45</v>
      </c>
      <c r="C1159" s="1" t="n">
        <v>104</v>
      </c>
      <c r="D1159" s="1" t="s">
        <v>589</v>
      </c>
      <c r="E1159" s="1" t="n">
        <v>-86959.348</v>
      </c>
      <c r="F1159" s="1" t="n">
        <v>2.303</v>
      </c>
      <c r="G1159" s="1" t="n">
        <f aca="false">IF(ISNUMBER(E1159),E1159,VALUE(SUBSTITUTE(E1159,"#",".01")))</f>
        <v>-86959.348</v>
      </c>
    </row>
    <row r="1160" customFormat="false" ht="12.75" hidden="false" customHeight="false" outlineLevel="0" collapsed="false">
      <c r="A1160" s="1" t="n">
        <v>58</v>
      </c>
      <c r="B1160" s="1" t="n">
        <v>46</v>
      </c>
      <c r="C1160" s="1" t="n">
        <v>104</v>
      </c>
      <c r="D1160" s="1" t="s">
        <v>599</v>
      </c>
      <c r="E1160" s="1" t="n">
        <v>-89395.105</v>
      </c>
      <c r="F1160" s="1" t="n">
        <v>1.336</v>
      </c>
      <c r="G1160" s="1" t="n">
        <f aca="false">IF(ISNUMBER(E1160),E1160,VALUE(SUBSTITUTE(E1160,"#",".01")))</f>
        <v>-89395.105</v>
      </c>
    </row>
    <row r="1161" customFormat="false" ht="12.75" hidden="false" customHeight="false" outlineLevel="0" collapsed="false">
      <c r="A1161" s="1" t="n">
        <v>57</v>
      </c>
      <c r="B1161" s="1" t="n">
        <v>47</v>
      </c>
      <c r="C1161" s="1" t="n">
        <v>104</v>
      </c>
      <c r="D1161" s="1" t="s">
        <v>607</v>
      </c>
      <c r="E1161" s="1" t="n">
        <v>-85116.452</v>
      </c>
      <c r="F1161" s="1" t="n">
        <v>4.217</v>
      </c>
      <c r="G1161" s="1" t="n">
        <f aca="false">IF(ISNUMBER(E1161),E1161,VALUE(SUBSTITUTE(E1161,"#",".01")))</f>
        <v>-85116.452</v>
      </c>
    </row>
    <row r="1162" customFormat="false" ht="12.75" hidden="false" customHeight="false" outlineLevel="0" collapsed="false">
      <c r="A1162" s="1" t="n">
        <v>56</v>
      </c>
      <c r="B1162" s="1" t="n">
        <v>48</v>
      </c>
      <c r="C1162" s="1" t="n">
        <v>104</v>
      </c>
      <c r="D1162" s="1" t="s">
        <v>615</v>
      </c>
      <c r="E1162" s="1" t="n">
        <v>-83968.38</v>
      </c>
      <c r="F1162" s="1" t="n">
        <v>1.673</v>
      </c>
      <c r="G1162" s="1" t="n">
        <f aca="false">IF(ISNUMBER(E1162),E1162,VALUE(SUBSTITUTE(E1162,"#",".01")))</f>
        <v>-83968.38</v>
      </c>
    </row>
    <row r="1163" customFormat="false" ht="12.75" hidden="false" customHeight="false" outlineLevel="0" collapsed="false">
      <c r="A1163" s="1" t="n">
        <v>55</v>
      </c>
      <c r="B1163" s="1" t="n">
        <v>49</v>
      </c>
      <c r="C1163" s="1" t="n">
        <v>104</v>
      </c>
      <c r="D1163" s="1" t="s">
        <v>623</v>
      </c>
      <c r="E1163" s="1" t="n">
        <v>-76182.665</v>
      </c>
      <c r="F1163" s="1" t="n">
        <v>5.775</v>
      </c>
      <c r="G1163" s="1" t="n">
        <f aca="false">IF(ISNUMBER(E1163),E1163,VALUE(SUBSTITUTE(E1163,"#",".01")))</f>
        <v>-76182.665</v>
      </c>
    </row>
    <row r="1164" customFormat="false" ht="12.75" hidden="false" customHeight="false" outlineLevel="0" collapsed="false">
      <c r="A1164" s="1" t="n">
        <v>54</v>
      </c>
      <c r="B1164" s="1" t="n">
        <v>50</v>
      </c>
      <c r="C1164" s="1" t="n">
        <v>104</v>
      </c>
      <c r="D1164" s="1" t="s">
        <v>633</v>
      </c>
      <c r="E1164" s="1" t="n">
        <v>-71627.047</v>
      </c>
      <c r="F1164" s="1" t="n">
        <v>5.745</v>
      </c>
      <c r="G1164" s="1" t="n">
        <f aca="false">IF(ISNUMBER(E1164),E1164,VALUE(SUBSTITUTE(E1164,"#",".01")))</f>
        <v>-71627.047</v>
      </c>
    </row>
    <row r="1165" customFormat="false" ht="12.75" hidden="false" customHeight="false" outlineLevel="0" collapsed="false">
      <c r="A1165" s="1" t="n">
        <v>53</v>
      </c>
      <c r="B1165" s="1" t="n">
        <v>51</v>
      </c>
      <c r="C1165" s="1" t="n">
        <v>104</v>
      </c>
      <c r="D1165" s="1" t="s">
        <v>642</v>
      </c>
      <c r="E1165" s="1" t="n">
        <v>-59173.62</v>
      </c>
      <c r="F1165" s="1" t="n">
        <v>122.444</v>
      </c>
      <c r="G1165" s="1" t="n">
        <f aca="false">IF(ISNUMBER(E1165),E1165,VALUE(SUBSTITUTE(E1165,"#",".01")))</f>
        <v>-59173.62</v>
      </c>
    </row>
    <row r="1166" customFormat="false" ht="12.75" hidden="false" customHeight="false" outlineLevel="0" collapsed="false">
      <c r="A1166" s="1" t="n">
        <v>67</v>
      </c>
      <c r="B1166" s="1" t="n">
        <v>38</v>
      </c>
      <c r="C1166" s="1" t="n">
        <v>105</v>
      </c>
      <c r="D1166" s="1" t="s">
        <v>527</v>
      </c>
      <c r="E1166" s="1" t="s">
        <v>646</v>
      </c>
      <c r="F1166" s="1" t="s">
        <v>323</v>
      </c>
      <c r="G1166" s="1" t="n">
        <f aca="false">IF(ISNUMBER(E1166),E1166,VALUE(SUBSTITUTE(E1166,"#",".01")))</f>
        <v>-38610.01</v>
      </c>
    </row>
    <row r="1167" customFormat="false" ht="12.75" hidden="false" customHeight="false" outlineLevel="0" collapsed="false">
      <c r="A1167" s="1" t="n">
        <v>66</v>
      </c>
      <c r="B1167" s="1" t="n">
        <v>39</v>
      </c>
      <c r="C1167" s="1" t="n">
        <v>105</v>
      </c>
      <c r="D1167" s="1" t="s">
        <v>537</v>
      </c>
      <c r="E1167" s="1" t="n">
        <v>-51270.361</v>
      </c>
      <c r="F1167" s="1" t="n">
        <v>1336.694</v>
      </c>
      <c r="G1167" s="1" t="n">
        <f aca="false">IF(ISNUMBER(E1167),E1167,VALUE(SUBSTITUTE(E1167,"#",".01")))</f>
        <v>-51270.361</v>
      </c>
    </row>
    <row r="1168" customFormat="false" ht="12.75" hidden="false" customHeight="false" outlineLevel="0" collapsed="false">
      <c r="A1168" s="1" t="n">
        <v>65</v>
      </c>
      <c r="B1168" s="1" t="n">
        <v>40</v>
      </c>
      <c r="C1168" s="1" t="n">
        <v>105</v>
      </c>
      <c r="D1168" s="1" t="s">
        <v>547</v>
      </c>
      <c r="E1168" s="1" t="n">
        <v>-61464.734</v>
      </c>
      <c r="F1168" s="1" t="n">
        <v>12.118</v>
      </c>
      <c r="G1168" s="1" t="n">
        <f aca="false">IF(ISNUMBER(E1168),E1168,VALUE(SUBSTITUTE(E1168,"#",".01")))</f>
        <v>-61464.734</v>
      </c>
    </row>
    <row r="1169" customFormat="false" ht="12.75" hidden="false" customHeight="false" outlineLevel="0" collapsed="false">
      <c r="A1169" s="1" t="n">
        <v>64</v>
      </c>
      <c r="B1169" s="1" t="n">
        <v>41</v>
      </c>
      <c r="C1169" s="1" t="n">
        <v>105</v>
      </c>
      <c r="D1169" s="1" t="s">
        <v>554</v>
      </c>
      <c r="E1169" s="1" t="n">
        <v>-69915.551</v>
      </c>
      <c r="F1169" s="1" t="n">
        <v>4.028</v>
      </c>
      <c r="G1169" s="1" t="n">
        <f aca="false">IF(ISNUMBER(E1169),E1169,VALUE(SUBSTITUTE(E1169,"#",".01")))</f>
        <v>-69915.551</v>
      </c>
    </row>
    <row r="1170" customFormat="false" ht="12.75" hidden="false" customHeight="false" outlineLevel="0" collapsed="false">
      <c r="A1170" s="1" t="n">
        <v>63</v>
      </c>
      <c r="B1170" s="1" t="n">
        <v>42</v>
      </c>
      <c r="C1170" s="1" t="n">
        <v>105</v>
      </c>
      <c r="D1170" s="1" t="s">
        <v>562</v>
      </c>
      <c r="E1170" s="1" t="n">
        <v>-77337.141</v>
      </c>
      <c r="F1170" s="1" t="n">
        <v>9.065</v>
      </c>
      <c r="G1170" s="1" t="n">
        <f aca="false">IF(ISNUMBER(E1170),E1170,VALUE(SUBSTITUTE(E1170,"#",".01")))</f>
        <v>-77337.141</v>
      </c>
    </row>
    <row r="1171" customFormat="false" ht="12.75" hidden="false" customHeight="false" outlineLevel="0" collapsed="false">
      <c r="A1171" s="1" t="n">
        <v>62</v>
      </c>
      <c r="B1171" s="1" t="n">
        <v>43</v>
      </c>
      <c r="C1171" s="1" t="n">
        <v>105</v>
      </c>
      <c r="D1171" s="1" t="s">
        <v>569</v>
      </c>
      <c r="E1171" s="1" t="n">
        <v>-82290.088</v>
      </c>
      <c r="F1171" s="1" t="n">
        <v>35.264</v>
      </c>
      <c r="G1171" s="1" t="n">
        <f aca="false">IF(ISNUMBER(E1171),E1171,VALUE(SUBSTITUTE(E1171,"#",".01")))</f>
        <v>-82290.088</v>
      </c>
    </row>
    <row r="1172" customFormat="false" ht="12.75" hidden="false" customHeight="false" outlineLevel="0" collapsed="false">
      <c r="A1172" s="1" t="n">
        <v>61</v>
      </c>
      <c r="B1172" s="1" t="n">
        <v>44</v>
      </c>
      <c r="C1172" s="1" t="n">
        <v>105</v>
      </c>
      <c r="D1172" s="1" t="s">
        <v>578</v>
      </c>
      <c r="E1172" s="1" t="n">
        <v>-85934.49</v>
      </c>
      <c r="F1172" s="1" t="n">
        <v>2.499</v>
      </c>
      <c r="G1172" s="1" t="n">
        <f aca="false">IF(ISNUMBER(E1172),E1172,VALUE(SUBSTITUTE(E1172,"#",".01")))</f>
        <v>-85934.49</v>
      </c>
    </row>
    <row r="1173" customFormat="false" ht="12.75" hidden="false" customHeight="false" outlineLevel="0" collapsed="false">
      <c r="A1173" s="1" t="n">
        <v>60</v>
      </c>
      <c r="B1173" s="1" t="n">
        <v>45</v>
      </c>
      <c r="C1173" s="1" t="n">
        <v>105</v>
      </c>
      <c r="D1173" s="1" t="s">
        <v>589</v>
      </c>
      <c r="E1173" s="1" t="n">
        <v>-87851.243</v>
      </c>
      <c r="F1173" s="1" t="n">
        <v>2.502</v>
      </c>
      <c r="G1173" s="1" t="n">
        <f aca="false">IF(ISNUMBER(E1173),E1173,VALUE(SUBSTITUTE(E1173,"#",".01")))</f>
        <v>-87851.243</v>
      </c>
    </row>
    <row r="1174" customFormat="false" ht="12.75" hidden="false" customHeight="false" outlineLevel="0" collapsed="false">
      <c r="A1174" s="1" t="n">
        <v>59</v>
      </c>
      <c r="B1174" s="1" t="n">
        <v>46</v>
      </c>
      <c r="C1174" s="1" t="n">
        <v>105</v>
      </c>
      <c r="D1174" s="1" t="s">
        <v>599</v>
      </c>
      <c r="E1174" s="1" t="n">
        <v>-88417.888</v>
      </c>
      <c r="F1174" s="1" t="n">
        <v>1.138</v>
      </c>
      <c r="G1174" s="1" t="n">
        <f aca="false">IF(ISNUMBER(E1174),E1174,VALUE(SUBSTITUTE(E1174,"#",".01")))</f>
        <v>-88417.888</v>
      </c>
    </row>
    <row r="1175" customFormat="false" ht="12.75" hidden="false" customHeight="false" outlineLevel="0" collapsed="false">
      <c r="A1175" s="1" t="n">
        <v>58</v>
      </c>
      <c r="B1175" s="1" t="n">
        <v>47</v>
      </c>
      <c r="C1175" s="1" t="n">
        <v>105</v>
      </c>
      <c r="D1175" s="1" t="s">
        <v>607</v>
      </c>
      <c r="E1175" s="1" t="n">
        <v>-87070.836</v>
      </c>
      <c r="F1175" s="1" t="n">
        <v>4.544</v>
      </c>
      <c r="G1175" s="1" t="n">
        <f aca="false">IF(ISNUMBER(E1175),E1175,VALUE(SUBSTITUTE(E1175,"#",".01")))</f>
        <v>-87070.836</v>
      </c>
    </row>
    <row r="1176" customFormat="false" ht="12.75" hidden="false" customHeight="false" outlineLevel="0" collapsed="false">
      <c r="A1176" s="1" t="n">
        <v>57</v>
      </c>
      <c r="B1176" s="1" t="n">
        <v>48</v>
      </c>
      <c r="C1176" s="1" t="n">
        <v>105</v>
      </c>
      <c r="D1176" s="1" t="s">
        <v>615</v>
      </c>
      <c r="E1176" s="1" t="n">
        <v>-84333.839</v>
      </c>
      <c r="F1176" s="1" t="n">
        <v>1.392</v>
      </c>
      <c r="G1176" s="1" t="n">
        <f aca="false">IF(ISNUMBER(E1176),E1176,VALUE(SUBSTITUTE(E1176,"#",".01")))</f>
        <v>-84333.839</v>
      </c>
    </row>
    <row r="1177" customFormat="false" ht="12.75" hidden="false" customHeight="false" outlineLevel="0" collapsed="false">
      <c r="A1177" s="1" t="n">
        <v>56</v>
      </c>
      <c r="B1177" s="1" t="n">
        <v>49</v>
      </c>
      <c r="C1177" s="1" t="n">
        <v>105</v>
      </c>
      <c r="D1177" s="1" t="s">
        <v>623</v>
      </c>
      <c r="E1177" s="1" t="n">
        <v>-79640.572</v>
      </c>
      <c r="F1177" s="1" t="n">
        <v>10.246</v>
      </c>
      <c r="G1177" s="1" t="n">
        <f aca="false">IF(ISNUMBER(E1177),E1177,VALUE(SUBSTITUTE(E1177,"#",".01")))</f>
        <v>-79640.572</v>
      </c>
    </row>
    <row r="1178" customFormat="false" ht="12.75" hidden="false" customHeight="false" outlineLevel="0" collapsed="false">
      <c r="A1178" s="1" t="n">
        <v>55</v>
      </c>
      <c r="B1178" s="1" t="n">
        <v>50</v>
      </c>
      <c r="C1178" s="1" t="n">
        <v>105</v>
      </c>
      <c r="D1178" s="1" t="s">
        <v>633</v>
      </c>
      <c r="E1178" s="1" t="n">
        <v>-73337.992</v>
      </c>
      <c r="F1178" s="1" t="n">
        <v>3.971</v>
      </c>
      <c r="G1178" s="1" t="n">
        <f aca="false">IF(ISNUMBER(E1178),E1178,VALUE(SUBSTITUTE(E1178,"#",".01")))</f>
        <v>-73337.992</v>
      </c>
    </row>
    <row r="1179" customFormat="false" ht="12.75" hidden="false" customHeight="false" outlineLevel="0" collapsed="false">
      <c r="A1179" s="1" t="n">
        <v>54</v>
      </c>
      <c r="B1179" s="1" t="n">
        <v>51</v>
      </c>
      <c r="C1179" s="1" t="n">
        <v>105</v>
      </c>
      <c r="D1179" s="1" t="s">
        <v>642</v>
      </c>
      <c r="E1179" s="1" t="n">
        <v>-64015.482</v>
      </c>
      <c r="F1179" s="1" t="n">
        <v>21.827</v>
      </c>
      <c r="G1179" s="1" t="n">
        <f aca="false">IF(ISNUMBER(E1179),E1179,VALUE(SUBSTITUTE(E1179,"#",".01")))</f>
        <v>-64015.482</v>
      </c>
    </row>
    <row r="1180" customFormat="false" ht="12.75" hidden="false" customHeight="false" outlineLevel="0" collapsed="false">
      <c r="A1180" s="1" t="n">
        <v>53</v>
      </c>
      <c r="B1180" s="1" t="n">
        <v>52</v>
      </c>
      <c r="C1180" s="1" t="n">
        <v>105</v>
      </c>
      <c r="D1180" s="1" t="s">
        <v>647</v>
      </c>
      <c r="E1180" s="1" t="n">
        <v>-52811.51</v>
      </c>
      <c r="F1180" s="1" t="n">
        <v>300.02</v>
      </c>
      <c r="G1180" s="1" t="n">
        <f aca="false">IF(ISNUMBER(E1180),E1180,VALUE(SUBSTITUTE(E1180,"#",".01")))</f>
        <v>-52811.51</v>
      </c>
    </row>
    <row r="1181" customFormat="false" ht="12.75" hidden="false" customHeight="false" outlineLevel="0" collapsed="false">
      <c r="A1181" s="1" t="n">
        <v>68</v>
      </c>
      <c r="B1181" s="1" t="n">
        <v>38</v>
      </c>
      <c r="C1181" s="1" t="n">
        <v>106</v>
      </c>
      <c r="D1181" s="1" t="s">
        <v>527</v>
      </c>
      <c r="E1181" s="1" t="s">
        <v>648</v>
      </c>
      <c r="F1181" s="1" t="s">
        <v>387</v>
      </c>
      <c r="G1181" s="1" t="n">
        <f aca="false">IF(ISNUMBER(E1181),E1181,VALUE(SUBSTITUTE(E1181,"#",".01")))</f>
        <v>-34790.01</v>
      </c>
    </row>
    <row r="1182" customFormat="false" ht="12.75" hidden="false" customHeight="false" outlineLevel="0" collapsed="false">
      <c r="A1182" s="1" t="n">
        <v>67</v>
      </c>
      <c r="B1182" s="1" t="n">
        <v>39</v>
      </c>
      <c r="C1182" s="1" t="n">
        <v>106</v>
      </c>
      <c r="D1182" s="1" t="s">
        <v>537</v>
      </c>
      <c r="E1182" s="1" t="s">
        <v>649</v>
      </c>
      <c r="F1182" s="1" t="s">
        <v>323</v>
      </c>
      <c r="G1182" s="1" t="n">
        <f aca="false">IF(ISNUMBER(E1182),E1182,VALUE(SUBSTITUTE(E1182,"#",".01")))</f>
        <v>-46053.01</v>
      </c>
    </row>
    <row r="1183" customFormat="false" ht="12.75" hidden="false" customHeight="false" outlineLevel="0" collapsed="false">
      <c r="A1183" s="1" t="n">
        <v>66</v>
      </c>
      <c r="B1183" s="1" t="n">
        <v>40</v>
      </c>
      <c r="C1183" s="1" t="n">
        <v>106</v>
      </c>
      <c r="D1183" s="1" t="s">
        <v>547</v>
      </c>
      <c r="E1183" s="1" t="n">
        <v>-58549.987</v>
      </c>
      <c r="F1183" s="1" t="n">
        <v>433.145</v>
      </c>
      <c r="G1183" s="1" t="n">
        <f aca="false">IF(ISNUMBER(E1183),E1183,VALUE(SUBSTITUTE(E1183,"#",".01")))</f>
        <v>-58549.987</v>
      </c>
    </row>
    <row r="1184" customFormat="false" ht="12.75" hidden="false" customHeight="false" outlineLevel="0" collapsed="false">
      <c r="A1184" s="1" t="n">
        <v>65</v>
      </c>
      <c r="B1184" s="1" t="n">
        <v>41</v>
      </c>
      <c r="C1184" s="1" t="n">
        <v>106</v>
      </c>
      <c r="D1184" s="1" t="s">
        <v>554</v>
      </c>
      <c r="E1184" s="1" t="n">
        <v>-66203.357</v>
      </c>
      <c r="F1184" s="1" t="n">
        <v>4.122</v>
      </c>
      <c r="G1184" s="1" t="n">
        <f aca="false">IF(ISNUMBER(E1184),E1184,VALUE(SUBSTITUTE(E1184,"#",".01")))</f>
        <v>-66203.357</v>
      </c>
    </row>
    <row r="1185" customFormat="false" ht="12.75" hidden="false" customHeight="false" outlineLevel="0" collapsed="false">
      <c r="A1185" s="1" t="n">
        <v>64</v>
      </c>
      <c r="B1185" s="1" t="n">
        <v>42</v>
      </c>
      <c r="C1185" s="1" t="n">
        <v>106</v>
      </c>
      <c r="D1185" s="1" t="s">
        <v>562</v>
      </c>
      <c r="E1185" s="1" t="n">
        <v>-76134.528</v>
      </c>
      <c r="F1185" s="1" t="n">
        <v>9.14</v>
      </c>
      <c r="G1185" s="1" t="n">
        <f aca="false">IF(ISNUMBER(E1185),E1185,VALUE(SUBSTITUTE(E1185,"#",".01")))</f>
        <v>-76134.528</v>
      </c>
    </row>
    <row r="1186" customFormat="false" ht="12.75" hidden="false" customHeight="false" outlineLevel="0" collapsed="false">
      <c r="A1186" s="1" t="n">
        <v>63</v>
      </c>
      <c r="B1186" s="1" t="n">
        <v>43</v>
      </c>
      <c r="C1186" s="1" t="n">
        <v>106</v>
      </c>
      <c r="D1186" s="1" t="s">
        <v>569</v>
      </c>
      <c r="E1186" s="1" t="n">
        <v>-79776.223</v>
      </c>
      <c r="F1186" s="1" t="n">
        <v>12.25</v>
      </c>
      <c r="G1186" s="1" t="n">
        <f aca="false">IF(ISNUMBER(E1186),E1186,VALUE(SUBSTITUTE(E1186,"#",".01")))</f>
        <v>-79776.223</v>
      </c>
    </row>
    <row r="1187" customFormat="false" ht="12.75" hidden="false" customHeight="false" outlineLevel="0" collapsed="false">
      <c r="A1187" s="1" t="n">
        <v>62</v>
      </c>
      <c r="B1187" s="1" t="n">
        <v>44</v>
      </c>
      <c r="C1187" s="1" t="n">
        <v>106</v>
      </c>
      <c r="D1187" s="1" t="s">
        <v>578</v>
      </c>
      <c r="E1187" s="1" t="n">
        <v>-86323.223</v>
      </c>
      <c r="F1187" s="1" t="n">
        <v>5.391</v>
      </c>
      <c r="G1187" s="1" t="n">
        <f aca="false">IF(ISNUMBER(E1187),E1187,VALUE(SUBSTITUTE(E1187,"#",".01")))</f>
        <v>-86323.223</v>
      </c>
    </row>
    <row r="1188" customFormat="false" ht="12.75" hidden="false" customHeight="false" outlineLevel="0" collapsed="false">
      <c r="A1188" s="1" t="n">
        <v>61</v>
      </c>
      <c r="B1188" s="1" t="n">
        <v>45</v>
      </c>
      <c r="C1188" s="1" t="n">
        <v>106</v>
      </c>
      <c r="D1188" s="1" t="s">
        <v>589</v>
      </c>
      <c r="E1188" s="1" t="n">
        <v>-86362.627</v>
      </c>
      <c r="F1188" s="1" t="n">
        <v>5.39</v>
      </c>
      <c r="G1188" s="1" t="n">
        <f aca="false">IF(ISNUMBER(E1188),E1188,VALUE(SUBSTITUTE(E1188,"#",".01")))</f>
        <v>-86362.627</v>
      </c>
    </row>
    <row r="1189" customFormat="false" ht="12.75" hidden="false" customHeight="false" outlineLevel="0" collapsed="false">
      <c r="A1189" s="1" t="n">
        <v>60</v>
      </c>
      <c r="B1189" s="1" t="n">
        <v>46</v>
      </c>
      <c r="C1189" s="1" t="n">
        <v>106</v>
      </c>
      <c r="D1189" s="1" t="s">
        <v>599</v>
      </c>
      <c r="E1189" s="1" t="n">
        <v>-89907.527</v>
      </c>
      <c r="F1189" s="1" t="n">
        <v>1.106</v>
      </c>
      <c r="G1189" s="1" t="n">
        <f aca="false">IF(ISNUMBER(E1189),E1189,VALUE(SUBSTITUTE(E1189,"#",".01")))</f>
        <v>-89907.527</v>
      </c>
    </row>
    <row r="1190" customFormat="false" ht="12.75" hidden="false" customHeight="false" outlineLevel="0" collapsed="false">
      <c r="A1190" s="1" t="n">
        <v>59</v>
      </c>
      <c r="B1190" s="1" t="n">
        <v>47</v>
      </c>
      <c r="C1190" s="1" t="n">
        <v>106</v>
      </c>
      <c r="D1190" s="1" t="s">
        <v>607</v>
      </c>
      <c r="E1190" s="1" t="n">
        <v>-86942.383</v>
      </c>
      <c r="F1190" s="1" t="n">
        <v>3.016</v>
      </c>
      <c r="G1190" s="1" t="n">
        <f aca="false">IF(ISNUMBER(E1190),E1190,VALUE(SUBSTITUTE(E1190,"#",".01")))</f>
        <v>-86942.383</v>
      </c>
    </row>
    <row r="1191" customFormat="false" ht="12.75" hidden="false" customHeight="false" outlineLevel="0" collapsed="false">
      <c r="A1191" s="1" t="n">
        <v>58</v>
      </c>
      <c r="B1191" s="1" t="n">
        <v>48</v>
      </c>
      <c r="C1191" s="1" t="n">
        <v>106</v>
      </c>
      <c r="D1191" s="1" t="s">
        <v>615</v>
      </c>
      <c r="E1191" s="1" t="n">
        <v>-87132.138</v>
      </c>
      <c r="F1191" s="1" t="n">
        <v>1.104</v>
      </c>
      <c r="G1191" s="1" t="n">
        <f aca="false">IF(ISNUMBER(E1191),E1191,VALUE(SUBSTITUTE(E1191,"#",".01")))</f>
        <v>-87132.138</v>
      </c>
    </row>
    <row r="1192" customFormat="false" ht="12.75" hidden="false" customHeight="false" outlineLevel="0" collapsed="false">
      <c r="A1192" s="1" t="n">
        <v>57</v>
      </c>
      <c r="B1192" s="1" t="n">
        <v>49</v>
      </c>
      <c r="C1192" s="1" t="n">
        <v>106</v>
      </c>
      <c r="D1192" s="1" t="s">
        <v>623</v>
      </c>
      <c r="E1192" s="1" t="n">
        <v>-80608.134</v>
      </c>
      <c r="F1192" s="1" t="n">
        <v>12.226</v>
      </c>
      <c r="G1192" s="1" t="n">
        <f aca="false">IF(ISNUMBER(E1192),E1192,VALUE(SUBSTITUTE(E1192,"#",".01")))</f>
        <v>-80608.134</v>
      </c>
    </row>
    <row r="1193" customFormat="false" ht="12.75" hidden="false" customHeight="false" outlineLevel="0" collapsed="false">
      <c r="A1193" s="1" t="n">
        <v>56</v>
      </c>
      <c r="B1193" s="1" t="n">
        <v>50</v>
      </c>
      <c r="C1193" s="1" t="n">
        <v>106</v>
      </c>
      <c r="D1193" s="1" t="s">
        <v>633</v>
      </c>
      <c r="E1193" s="1" t="n">
        <v>-77353.687</v>
      </c>
      <c r="F1193" s="1" t="n">
        <v>5.091</v>
      </c>
      <c r="G1193" s="1" t="n">
        <f aca="false">IF(ISNUMBER(E1193),E1193,VALUE(SUBSTITUTE(E1193,"#",".01")))</f>
        <v>-77353.687</v>
      </c>
    </row>
    <row r="1194" customFormat="false" ht="12.75" hidden="false" customHeight="false" outlineLevel="0" collapsed="false">
      <c r="A1194" s="1" t="n">
        <v>55</v>
      </c>
      <c r="B1194" s="1" t="n">
        <v>51</v>
      </c>
      <c r="C1194" s="1" t="n">
        <v>106</v>
      </c>
      <c r="D1194" s="1" t="s">
        <v>642</v>
      </c>
      <c r="E1194" s="1" t="n">
        <v>-66473.292</v>
      </c>
      <c r="F1194" s="1" t="n">
        <v>7.452</v>
      </c>
      <c r="G1194" s="1" t="n">
        <f aca="false">IF(ISNUMBER(E1194),E1194,VALUE(SUBSTITUTE(E1194,"#",".01")))</f>
        <v>-66473.292</v>
      </c>
    </row>
    <row r="1195" customFormat="false" ht="12.75" hidden="false" customHeight="false" outlineLevel="0" collapsed="false">
      <c r="A1195" s="1" t="n">
        <v>54</v>
      </c>
      <c r="B1195" s="1" t="n">
        <v>52</v>
      </c>
      <c r="C1195" s="1" t="n">
        <v>106</v>
      </c>
      <c r="D1195" s="1" t="s">
        <v>647</v>
      </c>
      <c r="E1195" s="1" t="n">
        <v>-58219.748</v>
      </c>
      <c r="F1195" s="1" t="n">
        <v>100.541</v>
      </c>
      <c r="G1195" s="1" t="n">
        <f aca="false">IF(ISNUMBER(E1195),E1195,VALUE(SUBSTITUTE(E1195,"#",".01")))</f>
        <v>-58219.748</v>
      </c>
    </row>
    <row r="1196" customFormat="false" ht="12.75" hidden="false" customHeight="false" outlineLevel="0" collapsed="false">
      <c r="A1196" s="1" t="n">
        <v>69</v>
      </c>
      <c r="B1196" s="1" t="n">
        <v>38</v>
      </c>
      <c r="C1196" s="1" t="n">
        <v>107</v>
      </c>
      <c r="D1196" s="1" t="s">
        <v>527</v>
      </c>
      <c r="E1196" s="1" t="s">
        <v>650</v>
      </c>
      <c r="F1196" s="1" t="s">
        <v>401</v>
      </c>
      <c r="G1196" s="1" t="n">
        <f aca="false">IF(ISNUMBER(E1196),E1196,VALUE(SUBSTITUTE(E1196,"#",".01")))</f>
        <v>-28900.01</v>
      </c>
    </row>
    <row r="1197" customFormat="false" ht="12.75" hidden="false" customHeight="false" outlineLevel="0" collapsed="false">
      <c r="A1197" s="1" t="n">
        <v>68</v>
      </c>
      <c r="B1197" s="1" t="n">
        <v>39</v>
      </c>
      <c r="C1197" s="1" t="n">
        <v>107</v>
      </c>
      <c r="D1197" s="1" t="s">
        <v>537</v>
      </c>
      <c r="E1197" s="1" t="s">
        <v>651</v>
      </c>
      <c r="F1197" s="1" t="s">
        <v>323</v>
      </c>
      <c r="G1197" s="1" t="n">
        <f aca="false">IF(ISNUMBER(E1197),E1197,VALUE(SUBSTITUTE(E1197,"#",".01")))</f>
        <v>-42364.01</v>
      </c>
    </row>
    <row r="1198" customFormat="false" ht="12.75" hidden="false" customHeight="false" outlineLevel="0" collapsed="false">
      <c r="A1198" s="1" t="n">
        <v>67</v>
      </c>
      <c r="B1198" s="1" t="n">
        <v>40</v>
      </c>
      <c r="C1198" s="1" t="n">
        <v>107</v>
      </c>
      <c r="D1198" s="1" t="s">
        <v>547</v>
      </c>
      <c r="E1198" s="1" t="n">
        <v>-54379.688</v>
      </c>
      <c r="F1198" s="1" t="n">
        <v>1122.45</v>
      </c>
      <c r="G1198" s="1" t="n">
        <f aca="false">IF(ISNUMBER(E1198),E1198,VALUE(SUBSTITUTE(E1198,"#",".01")))</f>
        <v>-54379.688</v>
      </c>
    </row>
    <row r="1199" customFormat="false" ht="12.75" hidden="false" customHeight="false" outlineLevel="0" collapsed="false">
      <c r="A1199" s="1" t="n">
        <v>66</v>
      </c>
      <c r="B1199" s="1" t="n">
        <v>41</v>
      </c>
      <c r="C1199" s="1" t="n">
        <v>107</v>
      </c>
      <c r="D1199" s="1" t="s">
        <v>554</v>
      </c>
      <c r="E1199" s="1" t="n">
        <v>-63723.81</v>
      </c>
      <c r="F1199" s="1" t="n">
        <v>8.023</v>
      </c>
      <c r="G1199" s="1" t="n">
        <f aca="false">IF(ISNUMBER(E1199),E1199,VALUE(SUBSTITUTE(E1199,"#",".01")))</f>
        <v>-63723.81</v>
      </c>
    </row>
    <row r="1200" customFormat="false" ht="12.75" hidden="false" customHeight="false" outlineLevel="0" collapsed="false">
      <c r="A1200" s="1" t="n">
        <v>65</v>
      </c>
      <c r="B1200" s="1" t="n">
        <v>42</v>
      </c>
      <c r="C1200" s="1" t="n">
        <v>107</v>
      </c>
      <c r="D1200" s="1" t="s">
        <v>562</v>
      </c>
      <c r="E1200" s="1" t="n">
        <v>-72551.56</v>
      </c>
      <c r="F1200" s="1" t="n">
        <v>9.233</v>
      </c>
      <c r="G1200" s="1" t="n">
        <f aca="false">IF(ISNUMBER(E1200),E1200,VALUE(SUBSTITUTE(E1200,"#",".01")))</f>
        <v>-72551.56</v>
      </c>
    </row>
    <row r="1201" customFormat="false" ht="12.75" hidden="false" customHeight="false" outlineLevel="0" collapsed="false">
      <c r="A1201" s="1" t="n">
        <v>64</v>
      </c>
      <c r="B1201" s="1" t="n">
        <v>43</v>
      </c>
      <c r="C1201" s="1" t="n">
        <v>107</v>
      </c>
      <c r="D1201" s="1" t="s">
        <v>569</v>
      </c>
      <c r="E1201" s="1" t="n">
        <v>-78749.914</v>
      </c>
      <c r="F1201" s="1" t="n">
        <v>8.673</v>
      </c>
      <c r="G1201" s="1" t="n">
        <f aca="false">IF(ISNUMBER(E1201),E1201,VALUE(SUBSTITUTE(E1201,"#",".01")))</f>
        <v>-78749.914</v>
      </c>
    </row>
    <row r="1202" customFormat="false" ht="12.75" hidden="false" customHeight="false" outlineLevel="0" collapsed="false">
      <c r="A1202" s="1" t="n">
        <v>63</v>
      </c>
      <c r="B1202" s="1" t="n">
        <v>44</v>
      </c>
      <c r="C1202" s="1" t="n">
        <v>107</v>
      </c>
      <c r="D1202" s="1" t="s">
        <v>578</v>
      </c>
      <c r="E1202" s="1" t="n">
        <v>-83862.512</v>
      </c>
      <c r="F1202" s="1" t="n">
        <v>8.673</v>
      </c>
      <c r="G1202" s="1" t="n">
        <f aca="false">IF(ISNUMBER(E1202),E1202,VALUE(SUBSTITUTE(E1202,"#",".01")))</f>
        <v>-83862.512</v>
      </c>
    </row>
    <row r="1203" customFormat="false" ht="12.75" hidden="false" customHeight="false" outlineLevel="0" collapsed="false">
      <c r="A1203" s="1" t="n">
        <v>62</v>
      </c>
      <c r="B1203" s="1" t="n">
        <v>45</v>
      </c>
      <c r="C1203" s="1" t="n">
        <v>107</v>
      </c>
      <c r="D1203" s="1" t="s">
        <v>589</v>
      </c>
      <c r="E1203" s="1" t="n">
        <v>-86863.703</v>
      </c>
      <c r="F1203" s="1" t="n">
        <v>12.051</v>
      </c>
      <c r="G1203" s="1" t="n">
        <f aca="false">IF(ISNUMBER(E1203),E1203,VALUE(SUBSTITUTE(E1203,"#",".01")))</f>
        <v>-86863.703</v>
      </c>
    </row>
    <row r="1204" customFormat="false" ht="12.75" hidden="false" customHeight="false" outlineLevel="0" collapsed="false">
      <c r="A1204" s="1" t="n">
        <v>61</v>
      </c>
      <c r="B1204" s="1" t="n">
        <v>46</v>
      </c>
      <c r="C1204" s="1" t="n">
        <v>107</v>
      </c>
      <c r="D1204" s="1" t="s">
        <v>599</v>
      </c>
      <c r="E1204" s="1" t="n">
        <v>-88372.639</v>
      </c>
      <c r="F1204" s="1" t="n">
        <v>1.201</v>
      </c>
      <c r="G1204" s="1" t="n">
        <f aca="false">IF(ISNUMBER(E1204),E1204,VALUE(SUBSTITUTE(E1204,"#",".01")))</f>
        <v>-88372.639</v>
      </c>
    </row>
    <row r="1205" customFormat="false" ht="12.75" hidden="false" customHeight="false" outlineLevel="0" collapsed="false">
      <c r="A1205" s="1" t="n">
        <v>60</v>
      </c>
      <c r="B1205" s="1" t="n">
        <v>47</v>
      </c>
      <c r="C1205" s="1" t="n">
        <v>107</v>
      </c>
      <c r="D1205" s="1" t="s">
        <v>607</v>
      </c>
      <c r="E1205" s="1" t="n">
        <v>-88406.67</v>
      </c>
      <c r="F1205" s="1" t="n">
        <v>2.382</v>
      </c>
      <c r="G1205" s="1" t="n">
        <f aca="false">IF(ISNUMBER(E1205),E1205,VALUE(SUBSTITUTE(E1205,"#",".01")))</f>
        <v>-88406.67</v>
      </c>
    </row>
    <row r="1206" customFormat="false" ht="12.75" hidden="false" customHeight="false" outlineLevel="0" collapsed="false">
      <c r="A1206" s="1" t="n">
        <v>59</v>
      </c>
      <c r="B1206" s="1" t="n">
        <v>48</v>
      </c>
      <c r="C1206" s="1" t="n">
        <v>107</v>
      </c>
      <c r="D1206" s="1" t="s">
        <v>615</v>
      </c>
      <c r="E1206" s="1" t="n">
        <v>-86990.261</v>
      </c>
      <c r="F1206" s="1" t="n">
        <v>1.665</v>
      </c>
      <c r="G1206" s="1" t="n">
        <f aca="false">IF(ISNUMBER(E1206),E1206,VALUE(SUBSTITUTE(E1206,"#",".01")))</f>
        <v>-86990.261</v>
      </c>
    </row>
    <row r="1207" customFormat="false" ht="12.75" hidden="false" customHeight="false" outlineLevel="0" collapsed="false">
      <c r="A1207" s="1" t="n">
        <v>58</v>
      </c>
      <c r="B1207" s="1" t="n">
        <v>49</v>
      </c>
      <c r="C1207" s="1" t="n">
        <v>107</v>
      </c>
      <c r="D1207" s="1" t="s">
        <v>623</v>
      </c>
      <c r="E1207" s="1" t="n">
        <v>-83564.261</v>
      </c>
      <c r="F1207" s="1" t="n">
        <v>11.125</v>
      </c>
      <c r="G1207" s="1" t="n">
        <f aca="false">IF(ISNUMBER(E1207),E1207,VALUE(SUBSTITUTE(E1207,"#",".01")))</f>
        <v>-83564.261</v>
      </c>
    </row>
    <row r="1208" customFormat="false" ht="12.75" hidden="false" customHeight="false" outlineLevel="0" collapsed="false">
      <c r="A1208" s="1" t="n">
        <v>57</v>
      </c>
      <c r="B1208" s="1" t="n">
        <v>50</v>
      </c>
      <c r="C1208" s="1" t="n">
        <v>107</v>
      </c>
      <c r="D1208" s="1" t="s">
        <v>633</v>
      </c>
      <c r="E1208" s="1" t="n">
        <v>-78512.228</v>
      </c>
      <c r="F1208" s="1" t="n">
        <v>5.31</v>
      </c>
      <c r="G1208" s="1" t="n">
        <f aca="false">IF(ISNUMBER(E1208),E1208,VALUE(SUBSTITUTE(E1208,"#",".01")))</f>
        <v>-78512.228</v>
      </c>
    </row>
    <row r="1209" customFormat="false" ht="12.75" hidden="false" customHeight="false" outlineLevel="0" collapsed="false">
      <c r="A1209" s="1" t="n">
        <v>56</v>
      </c>
      <c r="B1209" s="1" t="n">
        <v>51</v>
      </c>
      <c r="C1209" s="1" t="n">
        <v>107</v>
      </c>
      <c r="D1209" s="1" t="s">
        <v>642</v>
      </c>
      <c r="E1209" s="1" t="n">
        <v>-70653.239</v>
      </c>
      <c r="F1209" s="1" t="n">
        <v>4.148</v>
      </c>
      <c r="G1209" s="1" t="n">
        <f aca="false">IF(ISNUMBER(E1209),E1209,VALUE(SUBSTITUTE(E1209,"#",".01")))</f>
        <v>-70653.239</v>
      </c>
    </row>
    <row r="1210" customFormat="false" ht="12.75" hidden="false" customHeight="false" outlineLevel="0" collapsed="false">
      <c r="A1210" s="1" t="n">
        <v>55</v>
      </c>
      <c r="B1210" s="1" t="n">
        <v>52</v>
      </c>
      <c r="C1210" s="1" t="n">
        <v>107</v>
      </c>
      <c r="D1210" s="1" t="s">
        <v>647</v>
      </c>
      <c r="E1210" s="1" t="n">
        <v>-60539.326</v>
      </c>
      <c r="F1210" s="1" t="n">
        <v>70.83</v>
      </c>
      <c r="G1210" s="1" t="n">
        <f aca="false">IF(ISNUMBER(E1210),E1210,VALUE(SUBSTITUTE(E1210,"#",".01")))</f>
        <v>-60539.326</v>
      </c>
    </row>
    <row r="1211" customFormat="false" ht="12.75" hidden="false" customHeight="false" outlineLevel="0" collapsed="false">
      <c r="A1211" s="1" t="n">
        <v>54</v>
      </c>
      <c r="B1211" s="1" t="n">
        <v>53</v>
      </c>
      <c r="C1211" s="1" t="n">
        <v>107</v>
      </c>
      <c r="D1211" s="1" t="s">
        <v>652</v>
      </c>
      <c r="E1211" s="1" t="s">
        <v>653</v>
      </c>
      <c r="F1211" s="1" t="s">
        <v>371</v>
      </c>
      <c r="G1211" s="1" t="n">
        <f aca="false">IF(ISNUMBER(E1211),E1211,VALUE(SUBSTITUTE(E1211,"#",".01")))</f>
        <v>-49430.01</v>
      </c>
    </row>
    <row r="1212" customFormat="false" ht="12.75" hidden="false" customHeight="false" outlineLevel="0" collapsed="false">
      <c r="A1212" s="1" t="n">
        <v>69</v>
      </c>
      <c r="B1212" s="1" t="n">
        <v>39</v>
      </c>
      <c r="C1212" s="1" t="n">
        <v>108</v>
      </c>
      <c r="D1212" s="1" t="s">
        <v>537</v>
      </c>
      <c r="E1212" s="1" t="s">
        <v>654</v>
      </c>
      <c r="F1212" s="1" t="s">
        <v>316</v>
      </c>
      <c r="G1212" s="1" t="n">
        <f aca="false">IF(ISNUMBER(E1212),E1212,VALUE(SUBSTITUTE(E1212,"#",".01")))</f>
        <v>-37297.01</v>
      </c>
    </row>
    <row r="1213" customFormat="false" ht="12.75" hidden="false" customHeight="false" outlineLevel="0" collapsed="false">
      <c r="A1213" s="1" t="n">
        <v>68</v>
      </c>
      <c r="B1213" s="1" t="n">
        <v>40</v>
      </c>
      <c r="C1213" s="1" t="n">
        <v>108</v>
      </c>
      <c r="D1213" s="1" t="s">
        <v>547</v>
      </c>
      <c r="E1213" s="1" t="s">
        <v>655</v>
      </c>
      <c r="F1213" s="1" t="s">
        <v>320</v>
      </c>
      <c r="G1213" s="1" t="n">
        <f aca="false">IF(ISNUMBER(E1213),E1213,VALUE(SUBSTITUTE(E1213,"#",".01")))</f>
        <v>-51353.01</v>
      </c>
    </row>
    <row r="1214" customFormat="false" ht="12.75" hidden="false" customHeight="false" outlineLevel="0" collapsed="false">
      <c r="A1214" s="1" t="n">
        <v>67</v>
      </c>
      <c r="B1214" s="1" t="n">
        <v>41</v>
      </c>
      <c r="C1214" s="1" t="n">
        <v>108</v>
      </c>
      <c r="D1214" s="1" t="s">
        <v>554</v>
      </c>
      <c r="E1214" s="1" t="n">
        <v>-59545.765</v>
      </c>
      <c r="F1214" s="1" t="n">
        <v>8.237</v>
      </c>
      <c r="G1214" s="1" t="n">
        <f aca="false">IF(ISNUMBER(E1214),E1214,VALUE(SUBSTITUTE(E1214,"#",".01")))</f>
        <v>-59545.765</v>
      </c>
    </row>
    <row r="1215" customFormat="false" ht="12.75" hidden="false" customHeight="false" outlineLevel="0" collapsed="false">
      <c r="A1215" s="1" t="n">
        <v>66</v>
      </c>
      <c r="B1215" s="1" t="n">
        <v>42</v>
      </c>
      <c r="C1215" s="1" t="n">
        <v>108</v>
      </c>
      <c r="D1215" s="1" t="s">
        <v>562</v>
      </c>
      <c r="E1215" s="1" t="n">
        <v>-70755.942</v>
      </c>
      <c r="F1215" s="1" t="n">
        <v>9.233</v>
      </c>
      <c r="G1215" s="1" t="n">
        <f aca="false">IF(ISNUMBER(E1215),E1215,VALUE(SUBSTITUTE(E1215,"#",".01")))</f>
        <v>-70755.942</v>
      </c>
    </row>
    <row r="1216" customFormat="false" ht="12.75" hidden="false" customHeight="false" outlineLevel="0" collapsed="false">
      <c r="A1216" s="1" t="n">
        <v>65</v>
      </c>
      <c r="B1216" s="1" t="n">
        <v>43</v>
      </c>
      <c r="C1216" s="1" t="n">
        <v>108</v>
      </c>
      <c r="D1216" s="1" t="s">
        <v>569</v>
      </c>
      <c r="E1216" s="1" t="n">
        <v>-75922.778</v>
      </c>
      <c r="F1216" s="1" t="n">
        <v>8.769</v>
      </c>
      <c r="G1216" s="1" t="n">
        <f aca="false">IF(ISNUMBER(E1216),E1216,VALUE(SUBSTITUTE(E1216,"#",".01")))</f>
        <v>-75922.778</v>
      </c>
    </row>
    <row r="1217" customFormat="false" ht="12.75" hidden="false" customHeight="false" outlineLevel="0" collapsed="false">
      <c r="A1217" s="1" t="n">
        <v>64</v>
      </c>
      <c r="B1217" s="1" t="n">
        <v>44</v>
      </c>
      <c r="C1217" s="1" t="n">
        <v>108</v>
      </c>
      <c r="D1217" s="1" t="s">
        <v>578</v>
      </c>
      <c r="E1217" s="1" t="n">
        <v>-83661.35</v>
      </c>
      <c r="F1217" s="1" t="n">
        <v>8.68</v>
      </c>
      <c r="G1217" s="1" t="n">
        <f aca="false">IF(ISNUMBER(E1217),E1217,VALUE(SUBSTITUTE(E1217,"#",".01")))</f>
        <v>-83661.35</v>
      </c>
    </row>
    <row r="1218" customFormat="false" ht="12.75" hidden="false" customHeight="false" outlineLevel="0" collapsed="false">
      <c r="A1218" s="1" t="n">
        <v>63</v>
      </c>
      <c r="B1218" s="1" t="n">
        <v>45</v>
      </c>
      <c r="C1218" s="1" t="n">
        <v>108</v>
      </c>
      <c r="D1218" s="1" t="s">
        <v>589</v>
      </c>
      <c r="E1218" s="1" t="n">
        <v>-85031.721</v>
      </c>
      <c r="F1218" s="1" t="n">
        <v>13.996</v>
      </c>
      <c r="G1218" s="1" t="n">
        <f aca="false">IF(ISNUMBER(E1218),E1218,VALUE(SUBSTITUTE(E1218,"#",".01")))</f>
        <v>-85031.721</v>
      </c>
    </row>
    <row r="1219" customFormat="false" ht="12.75" hidden="false" customHeight="false" outlineLevel="0" collapsed="false">
      <c r="A1219" s="1" t="n">
        <v>62</v>
      </c>
      <c r="B1219" s="1" t="n">
        <v>46</v>
      </c>
      <c r="C1219" s="1" t="n">
        <v>108</v>
      </c>
      <c r="D1219" s="1" t="s">
        <v>599</v>
      </c>
      <c r="E1219" s="1" t="n">
        <v>-89524.206</v>
      </c>
      <c r="F1219" s="1" t="n">
        <v>1.108</v>
      </c>
      <c r="G1219" s="1" t="n">
        <f aca="false">IF(ISNUMBER(E1219),E1219,VALUE(SUBSTITUTE(E1219,"#",".01")))</f>
        <v>-89524.206</v>
      </c>
    </row>
    <row r="1220" customFormat="false" ht="12.75" hidden="false" customHeight="false" outlineLevel="0" collapsed="false">
      <c r="A1220" s="1" t="n">
        <v>61</v>
      </c>
      <c r="B1220" s="1" t="n">
        <v>47</v>
      </c>
      <c r="C1220" s="1" t="n">
        <v>108</v>
      </c>
      <c r="D1220" s="1" t="s">
        <v>607</v>
      </c>
      <c r="E1220" s="1" t="n">
        <v>-87606.763</v>
      </c>
      <c r="F1220" s="1" t="n">
        <v>2.388</v>
      </c>
      <c r="G1220" s="1" t="n">
        <f aca="false">IF(ISNUMBER(E1220),E1220,VALUE(SUBSTITUTE(E1220,"#",".01")))</f>
        <v>-87606.763</v>
      </c>
    </row>
    <row r="1221" customFormat="false" ht="12.75" hidden="false" customHeight="false" outlineLevel="0" collapsed="false">
      <c r="A1221" s="1" t="n">
        <v>60</v>
      </c>
      <c r="B1221" s="1" t="n">
        <v>48</v>
      </c>
      <c r="C1221" s="1" t="n">
        <v>108</v>
      </c>
      <c r="D1221" s="1" t="s">
        <v>615</v>
      </c>
      <c r="E1221" s="1" t="n">
        <v>-89252.414</v>
      </c>
      <c r="F1221" s="1" t="n">
        <v>1.123</v>
      </c>
      <c r="G1221" s="1" t="n">
        <f aca="false">IF(ISNUMBER(E1221),E1221,VALUE(SUBSTITUTE(E1221,"#",".01")))</f>
        <v>-89252.414</v>
      </c>
    </row>
    <row r="1222" customFormat="false" ht="12.75" hidden="false" customHeight="false" outlineLevel="0" collapsed="false">
      <c r="A1222" s="1" t="n">
        <v>59</v>
      </c>
      <c r="B1222" s="1" t="n">
        <v>49</v>
      </c>
      <c r="C1222" s="1" t="n">
        <v>108</v>
      </c>
      <c r="D1222" s="1" t="s">
        <v>623</v>
      </c>
      <c r="E1222" s="1" t="n">
        <v>-84119.819</v>
      </c>
      <c r="F1222" s="1" t="n">
        <v>8.641</v>
      </c>
      <c r="G1222" s="1" t="n">
        <f aca="false">IF(ISNUMBER(E1222),E1222,VALUE(SUBSTITUTE(E1222,"#",".01")))</f>
        <v>-84119.819</v>
      </c>
    </row>
    <row r="1223" customFormat="false" ht="12.75" hidden="false" customHeight="false" outlineLevel="0" collapsed="false">
      <c r="A1223" s="1" t="n">
        <v>58</v>
      </c>
      <c r="B1223" s="1" t="n">
        <v>50</v>
      </c>
      <c r="C1223" s="1" t="n">
        <v>108</v>
      </c>
      <c r="D1223" s="1" t="s">
        <v>633</v>
      </c>
      <c r="E1223" s="1" t="n">
        <v>-82069.938</v>
      </c>
      <c r="F1223" s="1" t="n">
        <v>5.382</v>
      </c>
      <c r="G1223" s="1" t="n">
        <f aca="false">IF(ISNUMBER(E1223),E1223,VALUE(SUBSTITUTE(E1223,"#",".01")))</f>
        <v>-82069.938</v>
      </c>
    </row>
    <row r="1224" customFormat="false" ht="12.75" hidden="false" customHeight="false" outlineLevel="0" collapsed="false">
      <c r="A1224" s="1" t="n">
        <v>57</v>
      </c>
      <c r="B1224" s="1" t="n">
        <v>51</v>
      </c>
      <c r="C1224" s="1" t="n">
        <v>108</v>
      </c>
      <c r="D1224" s="1" t="s">
        <v>642</v>
      </c>
      <c r="E1224" s="1" t="n">
        <v>-72445.331</v>
      </c>
      <c r="F1224" s="1" t="n">
        <v>5.496</v>
      </c>
      <c r="G1224" s="1" t="n">
        <f aca="false">IF(ISNUMBER(E1224),E1224,VALUE(SUBSTITUTE(E1224,"#",".01")))</f>
        <v>-72445.331</v>
      </c>
    </row>
    <row r="1225" customFormat="false" ht="12.75" hidden="false" customHeight="false" outlineLevel="0" collapsed="false">
      <c r="A1225" s="1" t="n">
        <v>56</v>
      </c>
      <c r="B1225" s="1" t="n">
        <v>52</v>
      </c>
      <c r="C1225" s="1" t="n">
        <v>108</v>
      </c>
      <c r="D1225" s="1" t="s">
        <v>647</v>
      </c>
      <c r="E1225" s="1" t="n">
        <v>-65781.667</v>
      </c>
      <c r="F1225" s="1" t="n">
        <v>5.411</v>
      </c>
      <c r="G1225" s="1" t="n">
        <f aca="false">IF(ISNUMBER(E1225),E1225,VALUE(SUBSTITUTE(E1225,"#",".01")))</f>
        <v>-65781.667</v>
      </c>
    </row>
    <row r="1226" customFormat="false" ht="12.75" hidden="false" customHeight="false" outlineLevel="0" collapsed="false">
      <c r="A1226" s="1" t="n">
        <v>55</v>
      </c>
      <c r="B1226" s="1" t="n">
        <v>53</v>
      </c>
      <c r="C1226" s="1" t="n">
        <v>108</v>
      </c>
      <c r="D1226" s="1" t="s">
        <v>652</v>
      </c>
      <c r="E1226" s="1" t="n">
        <v>-52649.605</v>
      </c>
      <c r="F1226" s="1" t="n">
        <v>132.26</v>
      </c>
      <c r="G1226" s="1" t="n">
        <f aca="false">IF(ISNUMBER(E1226),E1226,VALUE(SUBSTITUTE(E1226,"#",".01")))</f>
        <v>-52649.605</v>
      </c>
    </row>
    <row r="1227" customFormat="false" ht="12.75" hidden="false" customHeight="false" outlineLevel="0" collapsed="false">
      <c r="A1227" s="1" t="n">
        <v>70</v>
      </c>
      <c r="B1227" s="1" t="n">
        <v>39</v>
      </c>
      <c r="C1227" s="1" t="n">
        <v>109</v>
      </c>
      <c r="D1227" s="1" t="s">
        <v>537</v>
      </c>
      <c r="E1227" s="1" t="s">
        <v>656</v>
      </c>
      <c r="F1227" s="1" t="s">
        <v>401</v>
      </c>
      <c r="G1227" s="1" t="n">
        <f aca="false">IF(ISNUMBER(E1227),E1227,VALUE(SUBSTITUTE(E1227,"#",".01")))</f>
        <v>-33200.01</v>
      </c>
    </row>
    <row r="1228" customFormat="false" ht="12.75" hidden="false" customHeight="false" outlineLevel="0" collapsed="false">
      <c r="A1228" s="1" t="n">
        <v>69</v>
      </c>
      <c r="B1228" s="1" t="n">
        <v>40</v>
      </c>
      <c r="C1228" s="1" t="n">
        <v>109</v>
      </c>
      <c r="D1228" s="1" t="s">
        <v>547</v>
      </c>
      <c r="E1228" s="1" t="s">
        <v>657</v>
      </c>
      <c r="F1228" s="1" t="s">
        <v>323</v>
      </c>
      <c r="G1228" s="1" t="n">
        <f aca="false">IF(ISNUMBER(E1228),E1228,VALUE(SUBSTITUTE(E1228,"#",".01")))</f>
        <v>-46193.01</v>
      </c>
    </row>
    <row r="1229" customFormat="false" ht="12.75" hidden="false" customHeight="false" outlineLevel="0" collapsed="false">
      <c r="A1229" s="1" t="n">
        <v>68</v>
      </c>
      <c r="B1229" s="1" t="n">
        <v>41</v>
      </c>
      <c r="C1229" s="1" t="n">
        <v>109</v>
      </c>
      <c r="D1229" s="1" t="s">
        <v>554</v>
      </c>
      <c r="E1229" s="1" t="n">
        <v>-56689.794</v>
      </c>
      <c r="F1229" s="1" t="n">
        <v>258.49</v>
      </c>
      <c r="G1229" s="1" t="n">
        <f aca="false">IF(ISNUMBER(E1229),E1229,VALUE(SUBSTITUTE(E1229,"#",".01")))</f>
        <v>-56689.794</v>
      </c>
    </row>
    <row r="1230" customFormat="false" ht="12.75" hidden="false" customHeight="false" outlineLevel="0" collapsed="false">
      <c r="A1230" s="1" t="n">
        <v>67</v>
      </c>
      <c r="B1230" s="1" t="n">
        <v>42</v>
      </c>
      <c r="C1230" s="1" t="n">
        <v>109</v>
      </c>
      <c r="D1230" s="1" t="s">
        <v>562</v>
      </c>
      <c r="E1230" s="1" t="n">
        <v>-66665.996</v>
      </c>
      <c r="F1230" s="1" t="n">
        <v>11.188</v>
      </c>
      <c r="G1230" s="1" t="n">
        <f aca="false">IF(ISNUMBER(E1230),E1230,VALUE(SUBSTITUTE(E1230,"#",".01")))</f>
        <v>-66665.996</v>
      </c>
    </row>
    <row r="1231" customFormat="false" ht="12.75" hidden="false" customHeight="false" outlineLevel="0" collapsed="false">
      <c r="A1231" s="1" t="n">
        <v>66</v>
      </c>
      <c r="B1231" s="1" t="n">
        <v>43</v>
      </c>
      <c r="C1231" s="1" t="n">
        <v>109</v>
      </c>
      <c r="D1231" s="1" t="s">
        <v>569</v>
      </c>
      <c r="E1231" s="1" t="n">
        <v>-74282.775</v>
      </c>
      <c r="F1231" s="1" t="n">
        <v>9.669</v>
      </c>
      <c r="G1231" s="1" t="n">
        <f aca="false">IF(ISNUMBER(E1231),E1231,VALUE(SUBSTITUTE(E1231,"#",".01")))</f>
        <v>-74282.775</v>
      </c>
    </row>
    <row r="1232" customFormat="false" ht="12.75" hidden="false" customHeight="false" outlineLevel="0" collapsed="false">
      <c r="A1232" s="1" t="n">
        <v>65</v>
      </c>
      <c r="B1232" s="1" t="n">
        <v>44</v>
      </c>
      <c r="C1232" s="1" t="n">
        <v>109</v>
      </c>
      <c r="D1232" s="1" t="s">
        <v>578</v>
      </c>
      <c r="E1232" s="1" t="n">
        <v>-80738.401</v>
      </c>
      <c r="F1232" s="1" t="n">
        <v>8.954</v>
      </c>
      <c r="G1232" s="1" t="n">
        <f aca="false">IF(ISNUMBER(E1232),E1232,VALUE(SUBSTITUTE(E1232,"#",".01")))</f>
        <v>-80738.401</v>
      </c>
    </row>
    <row r="1233" customFormat="false" ht="12.75" hidden="false" customHeight="false" outlineLevel="0" collapsed="false">
      <c r="A1233" s="1" t="n">
        <v>64</v>
      </c>
      <c r="B1233" s="1" t="n">
        <v>45</v>
      </c>
      <c r="C1233" s="1" t="n">
        <v>109</v>
      </c>
      <c r="D1233" s="1" t="s">
        <v>589</v>
      </c>
      <c r="E1233" s="1" t="n">
        <v>-84999.455</v>
      </c>
      <c r="F1233" s="1" t="n">
        <v>4.039</v>
      </c>
      <c r="G1233" s="1" t="n">
        <f aca="false">IF(ISNUMBER(E1233),E1233,VALUE(SUBSTITUTE(E1233,"#",".01")))</f>
        <v>-84999.455</v>
      </c>
    </row>
    <row r="1234" customFormat="false" ht="12.75" hidden="false" customHeight="false" outlineLevel="0" collapsed="false">
      <c r="A1234" s="1" t="n">
        <v>63</v>
      </c>
      <c r="B1234" s="1" t="n">
        <v>46</v>
      </c>
      <c r="C1234" s="1" t="n">
        <v>109</v>
      </c>
      <c r="D1234" s="1" t="s">
        <v>599</v>
      </c>
      <c r="E1234" s="1" t="n">
        <v>-87606.476</v>
      </c>
      <c r="F1234" s="1" t="n">
        <v>1.114</v>
      </c>
      <c r="G1234" s="1" t="n">
        <f aca="false">IF(ISNUMBER(E1234),E1234,VALUE(SUBSTITUTE(E1234,"#",".01")))</f>
        <v>-87606.476</v>
      </c>
    </row>
    <row r="1235" customFormat="false" ht="12.75" hidden="false" customHeight="false" outlineLevel="0" collapsed="false">
      <c r="A1235" s="1" t="n">
        <v>62</v>
      </c>
      <c r="B1235" s="1" t="n">
        <v>47</v>
      </c>
      <c r="C1235" s="1" t="n">
        <v>109</v>
      </c>
      <c r="D1235" s="1" t="s">
        <v>607</v>
      </c>
      <c r="E1235" s="1" t="n">
        <v>-88719.426</v>
      </c>
      <c r="F1235" s="1" t="n">
        <v>1.287</v>
      </c>
      <c r="G1235" s="1" t="n">
        <f aca="false">IF(ISNUMBER(E1235),E1235,VALUE(SUBSTITUTE(E1235,"#",".01")))</f>
        <v>-88719.426</v>
      </c>
    </row>
    <row r="1236" customFormat="false" ht="12.75" hidden="false" customHeight="false" outlineLevel="0" collapsed="false">
      <c r="A1236" s="1" t="n">
        <v>61</v>
      </c>
      <c r="B1236" s="1" t="n">
        <v>48</v>
      </c>
      <c r="C1236" s="1" t="n">
        <v>109</v>
      </c>
      <c r="D1236" s="1" t="s">
        <v>615</v>
      </c>
      <c r="E1236" s="1" t="n">
        <v>-88504.321</v>
      </c>
      <c r="F1236" s="1" t="n">
        <v>1.536</v>
      </c>
      <c r="G1236" s="1" t="n">
        <f aca="false">IF(ISNUMBER(E1236),E1236,VALUE(SUBSTITUTE(E1236,"#",".01")))</f>
        <v>-88504.321</v>
      </c>
    </row>
    <row r="1237" customFormat="false" ht="12.75" hidden="false" customHeight="false" outlineLevel="0" collapsed="false">
      <c r="A1237" s="1" t="n">
        <v>60</v>
      </c>
      <c r="B1237" s="1" t="n">
        <v>49</v>
      </c>
      <c r="C1237" s="1" t="n">
        <v>109</v>
      </c>
      <c r="D1237" s="1" t="s">
        <v>623</v>
      </c>
      <c r="E1237" s="1" t="n">
        <v>-86489.511</v>
      </c>
      <c r="F1237" s="1" t="n">
        <v>3.969</v>
      </c>
      <c r="G1237" s="1" t="n">
        <f aca="false">IF(ISNUMBER(E1237),E1237,VALUE(SUBSTITUTE(E1237,"#",".01")))</f>
        <v>-86489.511</v>
      </c>
    </row>
    <row r="1238" customFormat="false" ht="12.75" hidden="false" customHeight="false" outlineLevel="0" collapsed="false">
      <c r="A1238" s="1" t="n">
        <v>59</v>
      </c>
      <c r="B1238" s="1" t="n">
        <v>50</v>
      </c>
      <c r="C1238" s="1" t="n">
        <v>109</v>
      </c>
      <c r="D1238" s="1" t="s">
        <v>633</v>
      </c>
      <c r="E1238" s="1" t="n">
        <v>-82630.184</v>
      </c>
      <c r="F1238" s="1" t="n">
        <v>7.949</v>
      </c>
      <c r="G1238" s="1" t="n">
        <f aca="false">IF(ISNUMBER(E1238),E1238,VALUE(SUBSTITUTE(E1238,"#",".01")))</f>
        <v>-82630.184</v>
      </c>
    </row>
    <row r="1239" customFormat="false" ht="12.75" hidden="false" customHeight="false" outlineLevel="0" collapsed="false">
      <c r="A1239" s="1" t="n">
        <v>58</v>
      </c>
      <c r="B1239" s="1" t="n">
        <v>51</v>
      </c>
      <c r="C1239" s="1" t="n">
        <v>109</v>
      </c>
      <c r="D1239" s="1" t="s">
        <v>642</v>
      </c>
      <c r="E1239" s="1" t="n">
        <v>-76250.977</v>
      </c>
      <c r="F1239" s="1" t="n">
        <v>5.265</v>
      </c>
      <c r="G1239" s="1" t="n">
        <f aca="false">IF(ISNUMBER(E1239),E1239,VALUE(SUBSTITUTE(E1239,"#",".01")))</f>
        <v>-76250.977</v>
      </c>
    </row>
    <row r="1240" customFormat="false" ht="12.75" hidden="false" customHeight="false" outlineLevel="0" collapsed="false">
      <c r="A1240" s="1" t="n">
        <v>57</v>
      </c>
      <c r="B1240" s="1" t="n">
        <v>52</v>
      </c>
      <c r="C1240" s="1" t="n">
        <v>109</v>
      </c>
      <c r="D1240" s="1" t="s">
        <v>647</v>
      </c>
      <c r="E1240" s="1" t="n">
        <v>-67715.39</v>
      </c>
      <c r="F1240" s="1" t="n">
        <v>4.382</v>
      </c>
      <c r="G1240" s="1" t="n">
        <f aca="false">IF(ISNUMBER(E1240),E1240,VALUE(SUBSTITUTE(E1240,"#",".01")))</f>
        <v>-67715.39</v>
      </c>
    </row>
    <row r="1241" customFormat="false" ht="12.75" hidden="false" customHeight="false" outlineLevel="0" collapsed="false">
      <c r="A1241" s="1" t="n">
        <v>56</v>
      </c>
      <c r="B1241" s="1" t="n">
        <v>53</v>
      </c>
      <c r="C1241" s="1" t="n">
        <v>109</v>
      </c>
      <c r="D1241" s="1" t="s">
        <v>652</v>
      </c>
      <c r="E1241" s="1" t="n">
        <v>-57672.496</v>
      </c>
      <c r="F1241" s="1" t="n">
        <v>6.729</v>
      </c>
      <c r="G1241" s="1" t="n">
        <f aca="false">IF(ISNUMBER(E1241),E1241,VALUE(SUBSTITUTE(E1241,"#",".01")))</f>
        <v>-57672.496</v>
      </c>
    </row>
    <row r="1242" customFormat="false" ht="12.75" hidden="false" customHeight="false" outlineLevel="0" collapsed="false">
      <c r="A1242" s="1" t="n">
        <v>55</v>
      </c>
      <c r="B1242" s="1" t="n">
        <v>54</v>
      </c>
      <c r="C1242" s="1" t="n">
        <v>109</v>
      </c>
      <c r="D1242" s="1" t="s">
        <v>658</v>
      </c>
      <c r="E1242" s="1" t="n">
        <v>-46169.548</v>
      </c>
      <c r="F1242" s="1" t="n">
        <v>300.108</v>
      </c>
      <c r="G1242" s="1" t="n">
        <f aca="false">IF(ISNUMBER(E1242),E1242,VALUE(SUBSTITUTE(E1242,"#",".01")))</f>
        <v>-46169.548</v>
      </c>
    </row>
    <row r="1243" customFormat="false" ht="12.75" hidden="false" customHeight="false" outlineLevel="0" collapsed="false">
      <c r="A1243" s="1" t="n">
        <v>70</v>
      </c>
      <c r="B1243" s="1" t="n">
        <v>40</v>
      </c>
      <c r="C1243" s="1" t="n">
        <v>110</v>
      </c>
      <c r="D1243" s="1" t="s">
        <v>547</v>
      </c>
      <c r="E1243" s="1" t="s">
        <v>659</v>
      </c>
      <c r="F1243" s="1" t="s">
        <v>316</v>
      </c>
      <c r="G1243" s="1" t="n">
        <f aca="false">IF(ISNUMBER(E1243),E1243,VALUE(SUBSTITUTE(E1243,"#",".01")))</f>
        <v>-42886.01</v>
      </c>
    </row>
    <row r="1244" customFormat="false" ht="12.75" hidden="false" customHeight="false" outlineLevel="0" collapsed="false">
      <c r="A1244" s="1" t="n">
        <v>69</v>
      </c>
      <c r="B1244" s="1" t="n">
        <v>41</v>
      </c>
      <c r="C1244" s="1" t="n">
        <v>110</v>
      </c>
      <c r="D1244" s="1" t="s">
        <v>554</v>
      </c>
      <c r="E1244" s="1" t="n">
        <v>-52309.909</v>
      </c>
      <c r="F1244" s="1" t="n">
        <v>838.345</v>
      </c>
      <c r="G1244" s="1" t="n">
        <f aca="false">IF(ISNUMBER(E1244),E1244,VALUE(SUBSTITUTE(E1244,"#",".01")))</f>
        <v>-52309.909</v>
      </c>
    </row>
    <row r="1245" customFormat="false" ht="12.75" hidden="false" customHeight="false" outlineLevel="0" collapsed="false">
      <c r="A1245" s="1" t="n">
        <v>68</v>
      </c>
      <c r="B1245" s="1" t="n">
        <v>42</v>
      </c>
      <c r="C1245" s="1" t="n">
        <v>110</v>
      </c>
      <c r="D1245" s="1" t="s">
        <v>562</v>
      </c>
      <c r="E1245" s="1" t="n">
        <v>-64542.585</v>
      </c>
      <c r="F1245" s="1" t="n">
        <v>24.223</v>
      </c>
      <c r="G1245" s="1" t="n">
        <f aca="false">IF(ISNUMBER(E1245),E1245,VALUE(SUBSTITUTE(E1245,"#",".01")))</f>
        <v>-64542.585</v>
      </c>
    </row>
    <row r="1246" customFormat="false" ht="12.75" hidden="false" customHeight="false" outlineLevel="0" collapsed="false">
      <c r="A1246" s="1" t="n">
        <v>67</v>
      </c>
      <c r="B1246" s="1" t="n">
        <v>43</v>
      </c>
      <c r="C1246" s="1" t="n">
        <v>110</v>
      </c>
      <c r="D1246" s="1" t="s">
        <v>569</v>
      </c>
      <c r="E1246" s="1" t="n">
        <v>-71034.51</v>
      </c>
      <c r="F1246" s="1" t="n">
        <v>9.497</v>
      </c>
      <c r="G1246" s="1" t="n">
        <f aca="false">IF(ISNUMBER(E1246),E1246,VALUE(SUBSTITUTE(E1246,"#",".01")))</f>
        <v>-71034.51</v>
      </c>
    </row>
    <row r="1247" customFormat="false" ht="12.75" hidden="false" customHeight="false" outlineLevel="0" collapsed="false">
      <c r="A1247" s="1" t="n">
        <v>66</v>
      </c>
      <c r="B1247" s="1" t="n">
        <v>44</v>
      </c>
      <c r="C1247" s="1" t="n">
        <v>110</v>
      </c>
      <c r="D1247" s="1" t="s">
        <v>578</v>
      </c>
      <c r="E1247" s="1" t="n">
        <v>-80072.576</v>
      </c>
      <c r="F1247" s="1" t="n">
        <v>8.924</v>
      </c>
      <c r="G1247" s="1" t="n">
        <f aca="false">IF(ISNUMBER(E1247),E1247,VALUE(SUBSTITUTE(E1247,"#",".01")))</f>
        <v>-80072.576</v>
      </c>
    </row>
    <row r="1248" customFormat="false" ht="12.75" hidden="false" customHeight="false" outlineLevel="0" collapsed="false">
      <c r="A1248" s="1" t="n">
        <v>65</v>
      </c>
      <c r="B1248" s="1" t="n">
        <v>45</v>
      </c>
      <c r="C1248" s="1" t="n">
        <v>110</v>
      </c>
      <c r="D1248" s="1" t="s">
        <v>589</v>
      </c>
      <c r="E1248" s="1" t="n">
        <v>-82828.686</v>
      </c>
      <c r="F1248" s="1" t="n">
        <v>17.805</v>
      </c>
      <c r="G1248" s="1" t="n">
        <f aca="false">IF(ISNUMBER(E1248),E1248,VALUE(SUBSTITUTE(E1248,"#",".01")))</f>
        <v>-82828.686</v>
      </c>
    </row>
    <row r="1249" customFormat="false" ht="12.75" hidden="false" customHeight="false" outlineLevel="0" collapsed="false">
      <c r="A1249" s="1" t="n">
        <v>64</v>
      </c>
      <c r="B1249" s="1" t="n">
        <v>46</v>
      </c>
      <c r="C1249" s="1" t="n">
        <v>110</v>
      </c>
      <c r="D1249" s="1" t="s">
        <v>599</v>
      </c>
      <c r="E1249" s="1" t="n">
        <v>-88330.905</v>
      </c>
      <c r="F1249" s="1" t="n">
        <v>0.612</v>
      </c>
      <c r="G1249" s="1" t="n">
        <f aca="false">IF(ISNUMBER(E1249),E1249,VALUE(SUBSTITUTE(E1249,"#",".01")))</f>
        <v>-88330.905</v>
      </c>
    </row>
    <row r="1250" customFormat="false" ht="12.75" hidden="false" customHeight="false" outlineLevel="0" collapsed="false">
      <c r="A1250" s="1" t="n">
        <v>63</v>
      </c>
      <c r="B1250" s="1" t="n">
        <v>47</v>
      </c>
      <c r="C1250" s="1" t="n">
        <v>110</v>
      </c>
      <c r="D1250" s="1" t="s">
        <v>607</v>
      </c>
      <c r="E1250" s="1" t="n">
        <v>-87457.302</v>
      </c>
      <c r="F1250" s="1" t="n">
        <v>1.286</v>
      </c>
      <c r="G1250" s="1" t="n">
        <f aca="false">IF(ISNUMBER(E1250),E1250,VALUE(SUBSTITUTE(E1250,"#",".01")))</f>
        <v>-87457.302</v>
      </c>
    </row>
    <row r="1251" customFormat="false" ht="12.75" hidden="false" customHeight="false" outlineLevel="0" collapsed="false">
      <c r="A1251" s="1" t="n">
        <v>62</v>
      </c>
      <c r="B1251" s="1" t="n">
        <v>48</v>
      </c>
      <c r="C1251" s="1" t="n">
        <v>110</v>
      </c>
      <c r="D1251" s="1" t="s">
        <v>615</v>
      </c>
      <c r="E1251" s="1" t="n">
        <v>-90347.969</v>
      </c>
      <c r="F1251" s="1" t="n">
        <v>0.38</v>
      </c>
      <c r="G1251" s="1" t="n">
        <f aca="false">IF(ISNUMBER(E1251),E1251,VALUE(SUBSTITUTE(E1251,"#",".01")))</f>
        <v>-90347.969</v>
      </c>
    </row>
    <row r="1252" customFormat="false" ht="12.75" hidden="false" customHeight="false" outlineLevel="0" collapsed="false">
      <c r="A1252" s="1" t="n">
        <v>61</v>
      </c>
      <c r="B1252" s="1" t="n">
        <v>49</v>
      </c>
      <c r="C1252" s="1" t="n">
        <v>110</v>
      </c>
      <c r="D1252" s="1" t="s">
        <v>623</v>
      </c>
      <c r="E1252" s="1" t="n">
        <v>-86469.969</v>
      </c>
      <c r="F1252" s="1" t="n">
        <v>11.553</v>
      </c>
      <c r="G1252" s="1" t="n">
        <f aca="false">IF(ISNUMBER(E1252),E1252,VALUE(SUBSTITUTE(E1252,"#",".01")))</f>
        <v>-86469.969</v>
      </c>
    </row>
    <row r="1253" customFormat="false" ht="12.75" hidden="false" customHeight="false" outlineLevel="0" collapsed="false">
      <c r="A1253" s="1" t="n">
        <v>60</v>
      </c>
      <c r="B1253" s="1" t="n">
        <v>50</v>
      </c>
      <c r="C1253" s="1" t="n">
        <v>110</v>
      </c>
      <c r="D1253" s="1" t="s">
        <v>633</v>
      </c>
      <c r="E1253" s="1" t="n">
        <v>-85841.983</v>
      </c>
      <c r="F1253" s="1" t="n">
        <v>13.777</v>
      </c>
      <c r="G1253" s="1" t="n">
        <f aca="false">IF(ISNUMBER(E1253),E1253,VALUE(SUBSTITUTE(E1253,"#",".01")))</f>
        <v>-85841.983</v>
      </c>
    </row>
    <row r="1254" customFormat="false" ht="12.75" hidden="false" customHeight="false" outlineLevel="0" collapsed="false">
      <c r="A1254" s="1" t="n">
        <v>59</v>
      </c>
      <c r="B1254" s="1" t="n">
        <v>51</v>
      </c>
      <c r="C1254" s="1" t="n">
        <v>110</v>
      </c>
      <c r="D1254" s="1" t="s">
        <v>642</v>
      </c>
      <c r="E1254" s="1" t="n">
        <v>-77449.734</v>
      </c>
      <c r="F1254" s="1" t="n">
        <v>5.962</v>
      </c>
      <c r="G1254" s="1" t="n">
        <f aca="false">IF(ISNUMBER(E1254),E1254,VALUE(SUBSTITUTE(E1254,"#",".01")))</f>
        <v>-77449.734</v>
      </c>
    </row>
    <row r="1255" customFormat="false" ht="12.75" hidden="false" customHeight="false" outlineLevel="0" collapsed="false">
      <c r="A1255" s="1" t="n">
        <v>58</v>
      </c>
      <c r="B1255" s="1" t="n">
        <v>52</v>
      </c>
      <c r="C1255" s="1" t="n">
        <v>110</v>
      </c>
      <c r="D1255" s="1" t="s">
        <v>647</v>
      </c>
      <c r="E1255" s="1" t="n">
        <v>-72229.811</v>
      </c>
      <c r="F1255" s="1" t="n">
        <v>6.575</v>
      </c>
      <c r="G1255" s="1" t="n">
        <f aca="false">IF(ISNUMBER(E1255),E1255,VALUE(SUBSTITUTE(E1255,"#",".01")))</f>
        <v>-72229.811</v>
      </c>
    </row>
    <row r="1256" customFormat="false" ht="12.75" hidden="false" customHeight="false" outlineLevel="0" collapsed="false">
      <c r="A1256" s="1" t="n">
        <v>57</v>
      </c>
      <c r="B1256" s="1" t="n">
        <v>53</v>
      </c>
      <c r="C1256" s="1" t="n">
        <v>110</v>
      </c>
      <c r="D1256" s="1" t="s">
        <v>652</v>
      </c>
      <c r="E1256" s="1" t="n">
        <v>-60464.176</v>
      </c>
      <c r="F1256" s="1" t="n">
        <v>50.552</v>
      </c>
      <c r="G1256" s="1" t="n">
        <f aca="false">IF(ISNUMBER(E1256),E1256,VALUE(SUBSTITUTE(E1256,"#",".01")))</f>
        <v>-60464.176</v>
      </c>
    </row>
    <row r="1257" customFormat="false" ht="12.75" hidden="false" customHeight="false" outlineLevel="0" collapsed="false">
      <c r="A1257" s="1" t="n">
        <v>56</v>
      </c>
      <c r="B1257" s="1" t="n">
        <v>54</v>
      </c>
      <c r="C1257" s="1" t="n">
        <v>110</v>
      </c>
      <c r="D1257" s="1" t="s">
        <v>658</v>
      </c>
      <c r="E1257" s="1" t="n">
        <v>-51922.625</v>
      </c>
      <c r="F1257" s="1" t="n">
        <v>100.988</v>
      </c>
      <c r="G1257" s="1" t="n">
        <f aca="false">IF(ISNUMBER(E1257),E1257,VALUE(SUBSTITUTE(E1257,"#",".01")))</f>
        <v>-51922.625</v>
      </c>
    </row>
    <row r="1258" customFormat="false" ht="12.75" hidden="false" customHeight="false" outlineLevel="0" collapsed="false">
      <c r="A1258" s="1" t="n">
        <v>71</v>
      </c>
      <c r="B1258" s="1" t="n">
        <v>40</v>
      </c>
      <c r="C1258" s="1" t="n">
        <v>111</v>
      </c>
      <c r="D1258" s="1" t="s">
        <v>547</v>
      </c>
      <c r="E1258" s="1" t="s">
        <v>660</v>
      </c>
      <c r="F1258" s="1" t="s">
        <v>401</v>
      </c>
      <c r="G1258" s="1" t="n">
        <f aca="false">IF(ISNUMBER(E1258),E1258,VALUE(SUBSTITUTE(E1258,"#",".01")))</f>
        <v>-37560.01</v>
      </c>
    </row>
    <row r="1259" customFormat="false" ht="12.75" hidden="false" customHeight="false" outlineLevel="0" collapsed="false">
      <c r="A1259" s="1" t="n">
        <v>70</v>
      </c>
      <c r="B1259" s="1" t="n">
        <v>41</v>
      </c>
      <c r="C1259" s="1" t="n">
        <v>111</v>
      </c>
      <c r="D1259" s="1" t="s">
        <v>554</v>
      </c>
      <c r="E1259" s="1" t="s">
        <v>661</v>
      </c>
      <c r="F1259" s="1" t="s">
        <v>360</v>
      </c>
      <c r="G1259" s="1" t="n">
        <f aca="false">IF(ISNUMBER(E1259),E1259,VALUE(SUBSTITUTE(E1259,"#",".01")))</f>
        <v>-48875.01</v>
      </c>
    </row>
    <row r="1260" customFormat="false" ht="12.75" hidden="false" customHeight="false" outlineLevel="0" collapsed="false">
      <c r="A1260" s="1" t="n">
        <v>69</v>
      </c>
      <c r="B1260" s="1" t="n">
        <v>42</v>
      </c>
      <c r="C1260" s="1" t="n">
        <v>111</v>
      </c>
      <c r="D1260" s="1" t="s">
        <v>562</v>
      </c>
      <c r="E1260" s="1" t="n">
        <v>-59939.761</v>
      </c>
      <c r="F1260" s="1" t="n">
        <v>12.578</v>
      </c>
      <c r="G1260" s="1" t="n">
        <f aca="false">IF(ISNUMBER(E1260),E1260,VALUE(SUBSTITUTE(E1260,"#",".01")))</f>
        <v>-59939.761</v>
      </c>
    </row>
    <row r="1261" customFormat="false" ht="12.75" hidden="false" customHeight="false" outlineLevel="0" collapsed="false">
      <c r="A1261" s="1" t="n">
        <v>68</v>
      </c>
      <c r="B1261" s="1" t="n">
        <v>43</v>
      </c>
      <c r="C1261" s="1" t="n">
        <v>111</v>
      </c>
      <c r="D1261" s="1" t="s">
        <v>569</v>
      </c>
      <c r="E1261" s="1" t="n">
        <v>-69024.622</v>
      </c>
      <c r="F1261" s="1" t="n">
        <v>10.581</v>
      </c>
      <c r="G1261" s="1" t="n">
        <f aca="false">IF(ISNUMBER(E1261),E1261,VALUE(SUBSTITUTE(E1261,"#",".01")))</f>
        <v>-69024.622</v>
      </c>
    </row>
    <row r="1262" customFormat="false" ht="12.75" hidden="false" customHeight="false" outlineLevel="0" collapsed="false">
      <c r="A1262" s="1" t="n">
        <v>67</v>
      </c>
      <c r="B1262" s="1" t="n">
        <v>44</v>
      </c>
      <c r="C1262" s="1" t="n">
        <v>111</v>
      </c>
      <c r="D1262" s="1" t="s">
        <v>578</v>
      </c>
      <c r="E1262" s="1" t="n">
        <v>-76785.271</v>
      </c>
      <c r="F1262" s="1" t="n">
        <v>9.682</v>
      </c>
      <c r="G1262" s="1" t="n">
        <f aca="false">IF(ISNUMBER(E1262),E1262,VALUE(SUBSTITUTE(E1262,"#",".01")))</f>
        <v>-76785.271</v>
      </c>
    </row>
    <row r="1263" customFormat="false" ht="12.75" hidden="false" customHeight="false" outlineLevel="0" collapsed="false">
      <c r="A1263" s="1" t="n">
        <v>66</v>
      </c>
      <c r="B1263" s="1" t="n">
        <v>45</v>
      </c>
      <c r="C1263" s="1" t="n">
        <v>111</v>
      </c>
      <c r="D1263" s="1" t="s">
        <v>589</v>
      </c>
      <c r="E1263" s="1" t="n">
        <v>-82304.452</v>
      </c>
      <c r="F1263" s="1" t="n">
        <v>6.85</v>
      </c>
      <c r="G1263" s="1" t="n">
        <f aca="false">IF(ISNUMBER(E1263),E1263,VALUE(SUBSTITUTE(E1263,"#",".01")))</f>
        <v>-82304.452</v>
      </c>
    </row>
    <row r="1264" customFormat="false" ht="12.75" hidden="false" customHeight="false" outlineLevel="0" collapsed="false">
      <c r="A1264" s="1" t="n">
        <v>65</v>
      </c>
      <c r="B1264" s="1" t="n">
        <v>46</v>
      </c>
      <c r="C1264" s="1" t="n">
        <v>111</v>
      </c>
      <c r="D1264" s="1" t="s">
        <v>599</v>
      </c>
      <c r="E1264" s="1" t="n">
        <v>-85985.888</v>
      </c>
      <c r="F1264" s="1" t="n">
        <v>0.731</v>
      </c>
      <c r="G1264" s="1" t="n">
        <f aca="false">IF(ISNUMBER(E1264),E1264,VALUE(SUBSTITUTE(E1264,"#",".01")))</f>
        <v>-85985.888</v>
      </c>
    </row>
    <row r="1265" customFormat="false" ht="12.75" hidden="false" customHeight="false" outlineLevel="0" collapsed="false">
      <c r="A1265" s="1" t="n">
        <v>64</v>
      </c>
      <c r="B1265" s="1" t="n">
        <v>47</v>
      </c>
      <c r="C1265" s="1" t="n">
        <v>111</v>
      </c>
      <c r="D1265" s="1" t="s">
        <v>607</v>
      </c>
      <c r="E1265" s="1" t="n">
        <v>-88215.447</v>
      </c>
      <c r="F1265" s="1" t="n">
        <v>1.459</v>
      </c>
      <c r="G1265" s="1" t="n">
        <f aca="false">IF(ISNUMBER(E1265),E1265,VALUE(SUBSTITUTE(E1265,"#",".01")))</f>
        <v>-88215.447</v>
      </c>
    </row>
    <row r="1266" customFormat="false" ht="12.75" hidden="false" customHeight="false" outlineLevel="0" collapsed="false">
      <c r="A1266" s="1" t="n">
        <v>63</v>
      </c>
      <c r="B1266" s="1" t="n">
        <v>48</v>
      </c>
      <c r="C1266" s="1" t="n">
        <v>111</v>
      </c>
      <c r="D1266" s="1" t="s">
        <v>615</v>
      </c>
      <c r="E1266" s="1" t="n">
        <v>-89252.247</v>
      </c>
      <c r="F1266" s="1" t="n">
        <v>0.357</v>
      </c>
      <c r="G1266" s="1" t="n">
        <f aca="false">IF(ISNUMBER(E1266),E1266,VALUE(SUBSTITUTE(E1266,"#",".01")))</f>
        <v>-89252.247</v>
      </c>
    </row>
    <row r="1267" customFormat="false" ht="12.75" hidden="false" customHeight="false" outlineLevel="0" collapsed="false">
      <c r="A1267" s="1" t="n">
        <v>62</v>
      </c>
      <c r="B1267" s="1" t="n">
        <v>49</v>
      </c>
      <c r="C1267" s="1" t="n">
        <v>111</v>
      </c>
      <c r="D1267" s="1" t="s">
        <v>623</v>
      </c>
      <c r="E1267" s="1" t="n">
        <v>-88392.043</v>
      </c>
      <c r="F1267" s="1" t="n">
        <v>3.424</v>
      </c>
      <c r="G1267" s="1" t="n">
        <f aca="false">IF(ISNUMBER(E1267),E1267,VALUE(SUBSTITUTE(E1267,"#",".01")))</f>
        <v>-88392.043</v>
      </c>
    </row>
    <row r="1268" customFormat="false" ht="12.75" hidden="false" customHeight="false" outlineLevel="0" collapsed="false">
      <c r="A1268" s="1" t="n">
        <v>61</v>
      </c>
      <c r="B1268" s="1" t="n">
        <v>50</v>
      </c>
      <c r="C1268" s="1" t="n">
        <v>111</v>
      </c>
      <c r="D1268" s="1" t="s">
        <v>633</v>
      </c>
      <c r="E1268" s="1" t="n">
        <v>-85938.587</v>
      </c>
      <c r="F1268" s="1" t="n">
        <v>5.336</v>
      </c>
      <c r="G1268" s="1" t="n">
        <f aca="false">IF(ISNUMBER(E1268),E1268,VALUE(SUBSTITUTE(E1268,"#",".01")))</f>
        <v>-85938.587</v>
      </c>
    </row>
    <row r="1269" customFormat="false" ht="12.75" hidden="false" customHeight="false" outlineLevel="0" collapsed="false">
      <c r="A1269" s="1" t="n">
        <v>60</v>
      </c>
      <c r="B1269" s="1" t="n">
        <v>51</v>
      </c>
      <c r="C1269" s="1" t="n">
        <v>111</v>
      </c>
      <c r="D1269" s="1" t="s">
        <v>642</v>
      </c>
      <c r="E1269" s="1" t="n">
        <v>-80836.736</v>
      </c>
      <c r="F1269" s="1" t="n">
        <v>8.849</v>
      </c>
      <c r="G1269" s="1" t="n">
        <f aca="false">IF(ISNUMBER(E1269),E1269,VALUE(SUBSTITUTE(E1269,"#",".01")))</f>
        <v>-80836.736</v>
      </c>
    </row>
    <row r="1270" customFormat="false" ht="12.75" hidden="false" customHeight="false" outlineLevel="0" collapsed="false">
      <c r="A1270" s="1" t="n">
        <v>59</v>
      </c>
      <c r="B1270" s="1" t="n">
        <v>52</v>
      </c>
      <c r="C1270" s="1" t="n">
        <v>111</v>
      </c>
      <c r="D1270" s="1" t="s">
        <v>647</v>
      </c>
      <c r="E1270" s="1" t="n">
        <v>-73587.477</v>
      </c>
      <c r="F1270" s="1" t="n">
        <v>6.427</v>
      </c>
      <c r="G1270" s="1" t="n">
        <f aca="false">IF(ISNUMBER(E1270),E1270,VALUE(SUBSTITUTE(E1270,"#",".01")))</f>
        <v>-73587.477</v>
      </c>
    </row>
    <row r="1271" customFormat="false" ht="12.75" hidden="false" customHeight="false" outlineLevel="0" collapsed="false">
      <c r="A1271" s="1" t="n">
        <v>58</v>
      </c>
      <c r="B1271" s="1" t="n">
        <v>53</v>
      </c>
      <c r="C1271" s="1" t="n">
        <v>111</v>
      </c>
      <c r="D1271" s="1" t="s">
        <v>652</v>
      </c>
      <c r="E1271" s="1" t="n">
        <v>-64953.785</v>
      </c>
      <c r="F1271" s="1" t="n">
        <v>4.754</v>
      </c>
      <c r="G1271" s="1" t="n">
        <f aca="false">IF(ISNUMBER(E1271),E1271,VALUE(SUBSTITUTE(E1271,"#",".01")))</f>
        <v>-64953.785</v>
      </c>
    </row>
    <row r="1272" customFormat="false" ht="12.75" hidden="false" customHeight="false" outlineLevel="0" collapsed="false">
      <c r="A1272" s="1" t="n">
        <v>57</v>
      </c>
      <c r="B1272" s="1" t="n">
        <v>54</v>
      </c>
      <c r="C1272" s="1" t="n">
        <v>111</v>
      </c>
      <c r="D1272" s="1" t="s">
        <v>658</v>
      </c>
      <c r="E1272" s="1" t="n">
        <v>-54395.534</v>
      </c>
      <c r="F1272" s="1" t="n">
        <v>86.7</v>
      </c>
      <c r="G1272" s="1" t="n">
        <f aca="false">IF(ISNUMBER(E1272),E1272,VALUE(SUBSTITUTE(E1272,"#",".01")))</f>
        <v>-54395.534</v>
      </c>
    </row>
    <row r="1273" customFormat="false" ht="12.75" hidden="false" customHeight="false" outlineLevel="0" collapsed="false">
      <c r="A1273" s="1" t="n">
        <v>56</v>
      </c>
      <c r="B1273" s="1" t="n">
        <v>55</v>
      </c>
      <c r="C1273" s="1" t="n">
        <v>111</v>
      </c>
      <c r="D1273" s="1" t="s">
        <v>662</v>
      </c>
      <c r="E1273" s="1" t="s">
        <v>663</v>
      </c>
      <c r="F1273" s="1" t="s">
        <v>333</v>
      </c>
      <c r="G1273" s="1" t="n">
        <f aca="false">IF(ISNUMBER(E1273),E1273,VALUE(SUBSTITUTE(E1273,"#",".01")))</f>
        <v>-42821.01</v>
      </c>
    </row>
    <row r="1274" customFormat="false" ht="12.75" hidden="false" customHeight="false" outlineLevel="0" collapsed="false">
      <c r="A1274" s="1" t="n">
        <v>72</v>
      </c>
      <c r="B1274" s="1" t="n">
        <v>40</v>
      </c>
      <c r="C1274" s="1" t="n">
        <v>112</v>
      </c>
      <c r="D1274" s="1" t="s">
        <v>547</v>
      </c>
      <c r="E1274" s="1" t="s">
        <v>664</v>
      </c>
      <c r="F1274" s="1" t="s">
        <v>401</v>
      </c>
      <c r="G1274" s="1" t="n">
        <f aca="false">IF(ISNUMBER(E1274),E1274,VALUE(SUBSTITUTE(E1274,"#",".01")))</f>
        <v>-33810.01</v>
      </c>
    </row>
    <row r="1275" customFormat="false" ht="12.75" hidden="false" customHeight="false" outlineLevel="0" collapsed="false">
      <c r="A1275" s="1" t="n">
        <v>71</v>
      </c>
      <c r="B1275" s="1" t="n">
        <v>41</v>
      </c>
      <c r="C1275" s="1" t="n">
        <v>112</v>
      </c>
      <c r="D1275" s="1" t="s">
        <v>554</v>
      </c>
      <c r="E1275" s="1" t="s">
        <v>665</v>
      </c>
      <c r="F1275" s="1" t="s">
        <v>360</v>
      </c>
      <c r="G1275" s="1" t="n">
        <f aca="false">IF(ISNUMBER(E1275),E1275,VALUE(SUBSTITUTE(E1275,"#",".01")))</f>
        <v>-44274.01</v>
      </c>
    </row>
    <row r="1276" customFormat="false" ht="12.75" hidden="false" customHeight="false" outlineLevel="0" collapsed="false">
      <c r="A1276" s="1" t="n">
        <v>70</v>
      </c>
      <c r="B1276" s="1" t="n">
        <v>42</v>
      </c>
      <c r="C1276" s="1" t="n">
        <v>112</v>
      </c>
      <c r="D1276" s="1" t="s">
        <v>562</v>
      </c>
      <c r="E1276" s="1" t="s">
        <v>666</v>
      </c>
      <c r="F1276" s="1" t="s">
        <v>333</v>
      </c>
      <c r="G1276" s="1" t="n">
        <f aca="false">IF(ISNUMBER(E1276),E1276,VALUE(SUBSTITUTE(E1276,"#",".01")))</f>
        <v>-57464.01</v>
      </c>
    </row>
    <row r="1277" customFormat="false" ht="12.75" hidden="false" customHeight="false" outlineLevel="0" collapsed="false">
      <c r="A1277" s="1" t="n">
        <v>69</v>
      </c>
      <c r="B1277" s="1" t="n">
        <v>43</v>
      </c>
      <c r="C1277" s="1" t="n">
        <v>112</v>
      </c>
      <c r="D1277" s="1" t="s">
        <v>569</v>
      </c>
      <c r="E1277" s="1" t="n">
        <v>-65258.938</v>
      </c>
      <c r="F1277" s="1" t="n">
        <v>5.515</v>
      </c>
      <c r="G1277" s="1" t="n">
        <f aca="false">IF(ISNUMBER(E1277),E1277,VALUE(SUBSTITUTE(E1277,"#",".01")))</f>
        <v>-65258.938</v>
      </c>
    </row>
    <row r="1278" customFormat="false" ht="12.75" hidden="false" customHeight="false" outlineLevel="0" collapsed="false">
      <c r="A1278" s="1" t="n">
        <v>68</v>
      </c>
      <c r="B1278" s="1" t="n">
        <v>44</v>
      </c>
      <c r="C1278" s="1" t="n">
        <v>112</v>
      </c>
      <c r="D1278" s="1" t="s">
        <v>578</v>
      </c>
      <c r="E1278" s="1" t="n">
        <v>-75630.818</v>
      </c>
      <c r="F1278" s="1" t="n">
        <v>9.599</v>
      </c>
      <c r="G1278" s="1" t="n">
        <f aca="false">IF(ISNUMBER(E1278),E1278,VALUE(SUBSTITUTE(E1278,"#",".01")))</f>
        <v>-75630.818</v>
      </c>
    </row>
    <row r="1279" customFormat="false" ht="12.75" hidden="false" customHeight="false" outlineLevel="0" collapsed="false">
      <c r="A1279" s="1" t="n">
        <v>67</v>
      </c>
      <c r="B1279" s="1" t="n">
        <v>45</v>
      </c>
      <c r="C1279" s="1" t="n">
        <v>112</v>
      </c>
      <c r="D1279" s="1" t="s">
        <v>589</v>
      </c>
      <c r="E1279" s="1" t="n">
        <v>-79731.503</v>
      </c>
      <c r="F1279" s="1" t="n">
        <v>44.085</v>
      </c>
      <c r="G1279" s="1" t="n">
        <f aca="false">IF(ISNUMBER(E1279),E1279,VALUE(SUBSTITUTE(E1279,"#",".01")))</f>
        <v>-79731.503</v>
      </c>
    </row>
    <row r="1280" customFormat="false" ht="12.75" hidden="false" customHeight="false" outlineLevel="0" collapsed="false">
      <c r="A1280" s="1" t="n">
        <v>66</v>
      </c>
      <c r="B1280" s="1" t="n">
        <v>46</v>
      </c>
      <c r="C1280" s="1" t="n">
        <v>112</v>
      </c>
      <c r="D1280" s="1" t="s">
        <v>599</v>
      </c>
      <c r="E1280" s="1" t="n">
        <v>-86321.562</v>
      </c>
      <c r="F1280" s="1" t="n">
        <v>6.544</v>
      </c>
      <c r="G1280" s="1" t="n">
        <f aca="false">IF(ISNUMBER(E1280),E1280,VALUE(SUBSTITUTE(E1280,"#",".01")))</f>
        <v>-86321.562</v>
      </c>
    </row>
    <row r="1281" customFormat="false" ht="12.75" hidden="false" customHeight="false" outlineLevel="0" collapsed="false">
      <c r="A1281" s="1" t="n">
        <v>65</v>
      </c>
      <c r="B1281" s="1" t="n">
        <v>47</v>
      </c>
      <c r="C1281" s="1" t="n">
        <v>112</v>
      </c>
      <c r="D1281" s="1" t="s">
        <v>607</v>
      </c>
      <c r="E1281" s="1" t="n">
        <v>-86583.718</v>
      </c>
      <c r="F1281" s="1" t="n">
        <v>2.422</v>
      </c>
      <c r="G1281" s="1" t="n">
        <f aca="false">IF(ISNUMBER(E1281),E1281,VALUE(SUBSTITUTE(E1281,"#",".01")))</f>
        <v>-86583.718</v>
      </c>
    </row>
    <row r="1282" customFormat="false" ht="12.75" hidden="false" customHeight="false" outlineLevel="0" collapsed="false">
      <c r="A1282" s="1" t="n">
        <v>64</v>
      </c>
      <c r="B1282" s="1" t="n">
        <v>48</v>
      </c>
      <c r="C1282" s="1" t="n">
        <v>112</v>
      </c>
      <c r="D1282" s="1" t="s">
        <v>615</v>
      </c>
      <c r="E1282" s="1" t="n">
        <v>-90574.859</v>
      </c>
      <c r="F1282" s="1" t="n">
        <v>0.25</v>
      </c>
      <c r="G1282" s="1" t="n">
        <f aca="false">IF(ISNUMBER(E1282),E1282,VALUE(SUBSTITUTE(E1282,"#",".01")))</f>
        <v>-90574.859</v>
      </c>
    </row>
    <row r="1283" customFormat="false" ht="12.75" hidden="false" customHeight="false" outlineLevel="0" collapsed="false">
      <c r="A1283" s="1" t="n">
        <v>63</v>
      </c>
      <c r="B1283" s="1" t="n">
        <v>49</v>
      </c>
      <c r="C1283" s="1" t="n">
        <v>112</v>
      </c>
      <c r="D1283" s="1" t="s">
        <v>623</v>
      </c>
      <c r="E1283" s="1" t="n">
        <v>-87990.131</v>
      </c>
      <c r="F1283" s="1" t="n">
        <v>4.251</v>
      </c>
      <c r="G1283" s="1" t="n">
        <f aca="false">IF(ISNUMBER(E1283),E1283,VALUE(SUBSTITUTE(E1283,"#",".01")))</f>
        <v>-87990.131</v>
      </c>
    </row>
    <row r="1284" customFormat="false" ht="12.75" hidden="false" customHeight="false" outlineLevel="0" collapsed="false">
      <c r="A1284" s="1" t="n">
        <v>62</v>
      </c>
      <c r="B1284" s="1" t="n">
        <v>50</v>
      </c>
      <c r="C1284" s="1" t="n">
        <v>112</v>
      </c>
      <c r="D1284" s="1" t="s">
        <v>633</v>
      </c>
      <c r="E1284" s="1" t="n">
        <v>-88655.056</v>
      </c>
      <c r="F1284" s="1" t="n">
        <v>0.294</v>
      </c>
      <c r="G1284" s="1" t="n">
        <f aca="false">IF(ISNUMBER(E1284),E1284,VALUE(SUBSTITUTE(E1284,"#",".01")))</f>
        <v>-88655.056</v>
      </c>
    </row>
    <row r="1285" customFormat="false" ht="12.75" hidden="false" customHeight="false" outlineLevel="0" collapsed="false">
      <c r="A1285" s="1" t="n">
        <v>61</v>
      </c>
      <c r="B1285" s="1" t="n">
        <v>51</v>
      </c>
      <c r="C1285" s="1" t="n">
        <v>112</v>
      </c>
      <c r="D1285" s="1" t="s">
        <v>642</v>
      </c>
      <c r="E1285" s="1" t="n">
        <v>-81598.965</v>
      </c>
      <c r="F1285" s="1" t="n">
        <v>17.829</v>
      </c>
      <c r="G1285" s="1" t="n">
        <f aca="false">IF(ISNUMBER(E1285),E1285,VALUE(SUBSTITUTE(E1285,"#",".01")))</f>
        <v>-81598.965</v>
      </c>
    </row>
    <row r="1286" customFormat="false" ht="12.75" hidden="false" customHeight="false" outlineLevel="0" collapsed="false">
      <c r="A1286" s="1" t="n">
        <v>60</v>
      </c>
      <c r="B1286" s="1" t="n">
        <v>52</v>
      </c>
      <c r="C1286" s="1" t="n">
        <v>112</v>
      </c>
      <c r="D1286" s="1" t="s">
        <v>647</v>
      </c>
      <c r="E1286" s="1" t="n">
        <v>-77567.508</v>
      </c>
      <c r="F1286" s="1" t="n">
        <v>8.383</v>
      </c>
      <c r="G1286" s="1" t="n">
        <f aca="false">IF(ISNUMBER(E1286),E1286,VALUE(SUBSTITUTE(E1286,"#",".01")))</f>
        <v>-77567.508</v>
      </c>
    </row>
    <row r="1287" customFormat="false" ht="12.75" hidden="false" customHeight="false" outlineLevel="0" collapsed="false">
      <c r="A1287" s="1" t="n">
        <v>59</v>
      </c>
      <c r="B1287" s="1" t="n">
        <v>53</v>
      </c>
      <c r="C1287" s="1" t="n">
        <v>112</v>
      </c>
      <c r="D1287" s="1" t="s">
        <v>652</v>
      </c>
      <c r="E1287" s="1" t="n">
        <v>-67063.33</v>
      </c>
      <c r="F1287" s="1" t="n">
        <v>10.246</v>
      </c>
      <c r="G1287" s="1" t="n">
        <f aca="false">IF(ISNUMBER(E1287),E1287,VALUE(SUBSTITUTE(E1287,"#",".01")))</f>
        <v>-67063.33</v>
      </c>
    </row>
    <row r="1288" customFormat="false" ht="12.75" hidden="false" customHeight="false" outlineLevel="0" collapsed="false">
      <c r="A1288" s="1" t="n">
        <v>58</v>
      </c>
      <c r="B1288" s="1" t="n">
        <v>54</v>
      </c>
      <c r="C1288" s="1" t="n">
        <v>112</v>
      </c>
      <c r="D1288" s="1" t="s">
        <v>658</v>
      </c>
      <c r="E1288" s="1" t="n">
        <v>-60026.338</v>
      </c>
      <c r="F1288" s="1" t="n">
        <v>8.283</v>
      </c>
      <c r="G1288" s="1" t="n">
        <f aca="false">IF(ISNUMBER(E1288),E1288,VALUE(SUBSTITUTE(E1288,"#",".01")))</f>
        <v>-60026.338</v>
      </c>
    </row>
    <row r="1289" customFormat="false" ht="12.75" hidden="false" customHeight="false" outlineLevel="0" collapsed="false">
      <c r="A1289" s="1" t="n">
        <v>57</v>
      </c>
      <c r="B1289" s="1" t="n">
        <v>55</v>
      </c>
      <c r="C1289" s="1" t="n">
        <v>112</v>
      </c>
      <c r="D1289" s="1" t="s">
        <v>662</v>
      </c>
      <c r="E1289" s="1" t="n">
        <v>-46290.277</v>
      </c>
      <c r="F1289" s="1" t="n">
        <v>86.796</v>
      </c>
      <c r="G1289" s="1" t="n">
        <f aca="false">IF(ISNUMBER(E1289),E1289,VALUE(SUBSTITUTE(E1289,"#",".01")))</f>
        <v>-46290.277</v>
      </c>
    </row>
    <row r="1290" customFormat="false" ht="12.75" hidden="false" customHeight="false" outlineLevel="0" collapsed="false">
      <c r="A1290" s="1" t="n">
        <v>72</v>
      </c>
      <c r="B1290" s="1" t="n">
        <v>41</v>
      </c>
      <c r="C1290" s="1" t="n">
        <v>113</v>
      </c>
      <c r="D1290" s="1" t="s">
        <v>554</v>
      </c>
      <c r="E1290" s="1" t="s">
        <v>667</v>
      </c>
      <c r="F1290" s="1" t="s">
        <v>320</v>
      </c>
      <c r="G1290" s="1" t="n">
        <f aca="false">IF(ISNUMBER(E1290),E1290,VALUE(SUBSTITUTE(E1290,"#",".01")))</f>
        <v>-40511.01</v>
      </c>
    </row>
    <row r="1291" customFormat="false" ht="12.75" hidden="false" customHeight="false" outlineLevel="0" collapsed="false">
      <c r="A1291" s="1" t="n">
        <v>71</v>
      </c>
      <c r="B1291" s="1" t="n">
        <v>42</v>
      </c>
      <c r="C1291" s="1" t="n">
        <v>113</v>
      </c>
      <c r="D1291" s="1" t="s">
        <v>562</v>
      </c>
      <c r="E1291" s="1" t="s">
        <v>668</v>
      </c>
      <c r="F1291" s="1" t="s">
        <v>371</v>
      </c>
      <c r="G1291" s="1" t="n">
        <f aca="false">IF(ISNUMBER(E1291),E1291,VALUE(SUBSTITUTE(E1291,"#",".01")))</f>
        <v>-52490.01</v>
      </c>
    </row>
    <row r="1292" customFormat="false" ht="12.75" hidden="false" customHeight="false" outlineLevel="0" collapsed="false">
      <c r="A1292" s="1" t="n">
        <v>70</v>
      </c>
      <c r="B1292" s="1" t="n">
        <v>43</v>
      </c>
      <c r="C1292" s="1" t="n">
        <v>113</v>
      </c>
      <c r="D1292" s="1" t="s">
        <v>569</v>
      </c>
      <c r="E1292" s="1" t="n">
        <v>-62811.541</v>
      </c>
      <c r="F1292" s="1" t="n">
        <v>3.353</v>
      </c>
      <c r="G1292" s="1" t="n">
        <f aca="false">IF(ISNUMBER(E1292),E1292,VALUE(SUBSTITUTE(E1292,"#",".01")))</f>
        <v>-62811.541</v>
      </c>
    </row>
    <row r="1293" customFormat="false" ht="12.75" hidden="false" customHeight="false" outlineLevel="0" collapsed="false">
      <c r="A1293" s="1" t="n">
        <v>69</v>
      </c>
      <c r="B1293" s="1" t="n">
        <v>44</v>
      </c>
      <c r="C1293" s="1" t="n">
        <v>113</v>
      </c>
      <c r="D1293" s="1" t="s">
        <v>578</v>
      </c>
      <c r="E1293" s="1" t="n">
        <v>-71868.119</v>
      </c>
      <c r="F1293" s="1" t="n">
        <v>36.875</v>
      </c>
      <c r="G1293" s="1" t="n">
        <f aca="false">IF(ISNUMBER(E1293),E1293,VALUE(SUBSTITUTE(E1293,"#",".01")))</f>
        <v>-71868.119</v>
      </c>
    </row>
    <row r="1294" customFormat="false" ht="12.75" hidden="false" customHeight="false" outlineLevel="0" collapsed="false">
      <c r="A1294" s="1" t="n">
        <v>68</v>
      </c>
      <c r="B1294" s="1" t="n">
        <v>45</v>
      </c>
      <c r="C1294" s="1" t="n">
        <v>113</v>
      </c>
      <c r="D1294" s="1" t="s">
        <v>589</v>
      </c>
      <c r="E1294" s="1" t="n">
        <v>-78767.536</v>
      </c>
      <c r="F1294" s="1" t="n">
        <v>7.13</v>
      </c>
      <c r="G1294" s="1" t="n">
        <f aca="false">IF(ISNUMBER(E1294),E1294,VALUE(SUBSTITUTE(E1294,"#",".01")))</f>
        <v>-78767.536</v>
      </c>
    </row>
    <row r="1295" customFormat="false" ht="12.75" hidden="false" customHeight="false" outlineLevel="0" collapsed="false">
      <c r="A1295" s="1" t="n">
        <v>67</v>
      </c>
      <c r="B1295" s="1" t="n">
        <v>46</v>
      </c>
      <c r="C1295" s="1" t="n">
        <v>113</v>
      </c>
      <c r="D1295" s="1" t="s">
        <v>599</v>
      </c>
      <c r="E1295" s="1" t="n">
        <v>-83591.092</v>
      </c>
      <c r="F1295" s="1" t="n">
        <v>6.945</v>
      </c>
      <c r="G1295" s="1" t="n">
        <f aca="false">IF(ISNUMBER(E1295),E1295,VALUE(SUBSTITUTE(E1295,"#",".01")))</f>
        <v>-83591.092</v>
      </c>
    </row>
    <row r="1296" customFormat="false" ht="12.75" hidden="false" customHeight="false" outlineLevel="0" collapsed="false">
      <c r="A1296" s="1" t="n">
        <v>66</v>
      </c>
      <c r="B1296" s="1" t="n">
        <v>47</v>
      </c>
      <c r="C1296" s="1" t="n">
        <v>113</v>
      </c>
      <c r="D1296" s="1" t="s">
        <v>607</v>
      </c>
      <c r="E1296" s="1" t="n">
        <v>-87026.822</v>
      </c>
      <c r="F1296" s="1" t="n">
        <v>16.643</v>
      </c>
      <c r="G1296" s="1" t="n">
        <f aca="false">IF(ISNUMBER(E1296),E1296,VALUE(SUBSTITUTE(E1296,"#",".01")))</f>
        <v>-87026.822</v>
      </c>
    </row>
    <row r="1297" customFormat="false" ht="12.75" hidden="false" customHeight="false" outlineLevel="0" collapsed="false">
      <c r="A1297" s="1" t="n">
        <v>65</v>
      </c>
      <c r="B1297" s="1" t="n">
        <v>48</v>
      </c>
      <c r="C1297" s="1" t="n">
        <v>113</v>
      </c>
      <c r="D1297" s="1" t="s">
        <v>615</v>
      </c>
      <c r="E1297" s="1" t="n">
        <v>-89043.284</v>
      </c>
      <c r="F1297" s="1" t="n">
        <v>0.244</v>
      </c>
      <c r="G1297" s="1" t="n">
        <f aca="false">IF(ISNUMBER(E1297),E1297,VALUE(SUBSTITUTE(E1297,"#",".01")))</f>
        <v>-89043.284</v>
      </c>
    </row>
    <row r="1298" customFormat="false" ht="12.75" hidden="false" customHeight="false" outlineLevel="0" collapsed="false">
      <c r="A1298" s="1" t="n">
        <v>64</v>
      </c>
      <c r="B1298" s="1" t="n">
        <v>49</v>
      </c>
      <c r="C1298" s="1" t="n">
        <v>113</v>
      </c>
      <c r="D1298" s="1" t="s">
        <v>623</v>
      </c>
      <c r="E1298" s="1" t="n">
        <v>-89367.117</v>
      </c>
      <c r="F1298" s="1" t="n">
        <v>0.188</v>
      </c>
      <c r="G1298" s="1" t="n">
        <f aca="false">IF(ISNUMBER(E1298),E1298,VALUE(SUBSTITUTE(E1298,"#",".01")))</f>
        <v>-89367.117</v>
      </c>
    </row>
    <row r="1299" customFormat="false" ht="12.75" hidden="false" customHeight="false" outlineLevel="0" collapsed="false">
      <c r="A1299" s="1" t="n">
        <v>63</v>
      </c>
      <c r="B1299" s="1" t="n">
        <v>50</v>
      </c>
      <c r="C1299" s="1" t="n">
        <v>113</v>
      </c>
      <c r="D1299" s="1" t="s">
        <v>633</v>
      </c>
      <c r="E1299" s="1" t="n">
        <v>-88328.132</v>
      </c>
      <c r="F1299" s="1" t="n">
        <v>1.575</v>
      </c>
      <c r="G1299" s="1" t="n">
        <f aca="false">IF(ISNUMBER(E1299),E1299,VALUE(SUBSTITUTE(E1299,"#",".01")))</f>
        <v>-88328.132</v>
      </c>
    </row>
    <row r="1300" customFormat="false" ht="12.75" hidden="false" customHeight="false" outlineLevel="0" collapsed="false">
      <c r="A1300" s="1" t="n">
        <v>62</v>
      </c>
      <c r="B1300" s="1" t="n">
        <v>51</v>
      </c>
      <c r="C1300" s="1" t="n">
        <v>113</v>
      </c>
      <c r="D1300" s="1" t="s">
        <v>642</v>
      </c>
      <c r="E1300" s="1" t="n">
        <v>-84416.968</v>
      </c>
      <c r="F1300" s="1" t="n">
        <v>17.193</v>
      </c>
      <c r="G1300" s="1" t="n">
        <f aca="false">IF(ISNUMBER(E1300),E1300,VALUE(SUBSTITUTE(E1300,"#",".01")))</f>
        <v>-84416.968</v>
      </c>
    </row>
    <row r="1301" customFormat="false" ht="12.75" hidden="false" customHeight="false" outlineLevel="0" collapsed="false">
      <c r="A1301" s="1" t="n">
        <v>61</v>
      </c>
      <c r="B1301" s="1" t="n">
        <v>52</v>
      </c>
      <c r="C1301" s="1" t="n">
        <v>113</v>
      </c>
      <c r="D1301" s="1" t="s">
        <v>647</v>
      </c>
      <c r="E1301" s="1" t="n">
        <v>-78347.029</v>
      </c>
      <c r="F1301" s="1" t="n">
        <v>27.945</v>
      </c>
      <c r="G1301" s="1" t="n">
        <f aca="false">IF(ISNUMBER(E1301),E1301,VALUE(SUBSTITUTE(E1301,"#",".01")))</f>
        <v>-78347.029</v>
      </c>
    </row>
    <row r="1302" customFormat="false" ht="12.75" hidden="false" customHeight="false" outlineLevel="0" collapsed="false">
      <c r="A1302" s="1" t="n">
        <v>60</v>
      </c>
      <c r="B1302" s="1" t="n">
        <v>53</v>
      </c>
      <c r="C1302" s="1" t="n">
        <v>113</v>
      </c>
      <c r="D1302" s="1" t="s">
        <v>652</v>
      </c>
      <c r="E1302" s="1" t="n">
        <v>-71119.507</v>
      </c>
      <c r="F1302" s="1" t="n">
        <v>8.011</v>
      </c>
      <c r="G1302" s="1" t="n">
        <f aca="false">IF(ISNUMBER(E1302),E1302,VALUE(SUBSTITUTE(E1302,"#",".01")))</f>
        <v>-71119.507</v>
      </c>
    </row>
    <row r="1303" customFormat="false" ht="12.75" hidden="false" customHeight="false" outlineLevel="0" collapsed="false">
      <c r="A1303" s="1" t="n">
        <v>59</v>
      </c>
      <c r="B1303" s="1" t="n">
        <v>54</v>
      </c>
      <c r="C1303" s="1" t="n">
        <v>113</v>
      </c>
      <c r="D1303" s="1" t="s">
        <v>658</v>
      </c>
      <c r="E1303" s="1" t="n">
        <v>-62203.618</v>
      </c>
      <c r="F1303" s="1" t="n">
        <v>6.84</v>
      </c>
      <c r="G1303" s="1" t="n">
        <f aca="false">IF(ISNUMBER(E1303),E1303,VALUE(SUBSTITUTE(E1303,"#",".01")))</f>
        <v>-62203.618</v>
      </c>
    </row>
    <row r="1304" customFormat="false" ht="12.75" hidden="false" customHeight="false" outlineLevel="0" collapsed="false">
      <c r="A1304" s="1" t="n">
        <v>58</v>
      </c>
      <c r="B1304" s="1" t="n">
        <v>55</v>
      </c>
      <c r="C1304" s="1" t="n">
        <v>113</v>
      </c>
      <c r="D1304" s="1" t="s">
        <v>662</v>
      </c>
      <c r="E1304" s="1" t="n">
        <v>-51764.53</v>
      </c>
      <c r="F1304" s="1" t="n">
        <v>8.577</v>
      </c>
      <c r="G1304" s="1" t="n">
        <f aca="false">IF(ISNUMBER(E1304),E1304,VALUE(SUBSTITUTE(E1304,"#",".01")))</f>
        <v>-51764.53</v>
      </c>
    </row>
    <row r="1305" customFormat="false" ht="12.75" hidden="false" customHeight="false" outlineLevel="0" collapsed="false">
      <c r="A1305" s="1" t="n">
        <v>57</v>
      </c>
      <c r="B1305" s="1" t="n">
        <v>56</v>
      </c>
      <c r="C1305" s="1" t="n">
        <v>113</v>
      </c>
      <c r="D1305" s="1" t="s">
        <v>669</v>
      </c>
      <c r="E1305" s="1" t="s">
        <v>670</v>
      </c>
      <c r="F1305" s="1" t="s">
        <v>360</v>
      </c>
      <c r="G1305" s="1" t="n">
        <f aca="false">IF(ISNUMBER(E1305),E1305,VALUE(SUBSTITUTE(E1305,"#",".01")))</f>
        <v>-39784.01</v>
      </c>
    </row>
    <row r="1306" customFormat="false" ht="12.75" hidden="false" customHeight="false" outlineLevel="0" collapsed="false">
      <c r="A1306" s="1" t="n">
        <v>73</v>
      </c>
      <c r="B1306" s="1" t="n">
        <v>41</v>
      </c>
      <c r="C1306" s="1" t="n">
        <v>114</v>
      </c>
      <c r="D1306" s="1" t="s">
        <v>554</v>
      </c>
      <c r="E1306" s="1" t="s">
        <v>671</v>
      </c>
      <c r="F1306" s="1" t="s">
        <v>323</v>
      </c>
      <c r="G1306" s="1" t="n">
        <f aca="false">IF(ISNUMBER(E1306),E1306,VALUE(SUBSTITUTE(E1306,"#",".01")))</f>
        <v>-35387.01</v>
      </c>
    </row>
    <row r="1307" customFormat="false" ht="12.75" hidden="false" customHeight="false" outlineLevel="0" collapsed="false">
      <c r="A1307" s="1" t="n">
        <v>72</v>
      </c>
      <c r="B1307" s="1" t="n">
        <v>42</v>
      </c>
      <c r="C1307" s="1" t="n">
        <v>114</v>
      </c>
      <c r="D1307" s="1" t="s">
        <v>562</v>
      </c>
      <c r="E1307" s="1" t="s">
        <v>672</v>
      </c>
      <c r="F1307" s="1" t="s">
        <v>360</v>
      </c>
      <c r="G1307" s="1" t="n">
        <f aca="false">IF(ISNUMBER(E1307),E1307,VALUE(SUBSTITUTE(E1307,"#",".01")))</f>
        <v>-49807.01</v>
      </c>
    </row>
    <row r="1308" customFormat="false" ht="12.75" hidden="false" customHeight="false" outlineLevel="0" collapsed="false">
      <c r="A1308" s="1" t="n">
        <v>71</v>
      </c>
      <c r="B1308" s="1" t="n">
        <v>43</v>
      </c>
      <c r="C1308" s="1" t="n">
        <v>114</v>
      </c>
      <c r="D1308" s="1" t="s">
        <v>569</v>
      </c>
      <c r="E1308" s="1" t="n">
        <v>-58600.288</v>
      </c>
      <c r="F1308" s="1" t="n">
        <v>433.145</v>
      </c>
      <c r="G1308" s="1" t="n">
        <f aca="false">IF(ISNUMBER(E1308),E1308,VALUE(SUBSTITUTE(E1308,"#",".01")))</f>
        <v>-58600.288</v>
      </c>
    </row>
    <row r="1309" customFormat="false" ht="12.75" hidden="false" customHeight="false" outlineLevel="0" collapsed="false">
      <c r="A1309" s="1" t="n">
        <v>70</v>
      </c>
      <c r="B1309" s="1" t="n">
        <v>44</v>
      </c>
      <c r="C1309" s="1" t="n">
        <v>114</v>
      </c>
      <c r="D1309" s="1" t="s">
        <v>578</v>
      </c>
      <c r="E1309" s="1" t="n">
        <v>-70221.811</v>
      </c>
      <c r="F1309" s="1" t="n">
        <v>3.55</v>
      </c>
      <c r="G1309" s="1" t="n">
        <f aca="false">IF(ISNUMBER(E1309),E1309,VALUE(SUBSTITUTE(E1309,"#",".01")))</f>
        <v>-70221.811</v>
      </c>
    </row>
    <row r="1310" customFormat="false" ht="12.75" hidden="false" customHeight="false" outlineLevel="0" collapsed="false">
      <c r="A1310" s="1" t="n">
        <v>69</v>
      </c>
      <c r="B1310" s="1" t="n">
        <v>45</v>
      </c>
      <c r="C1310" s="1" t="n">
        <v>114</v>
      </c>
      <c r="D1310" s="1" t="s">
        <v>589</v>
      </c>
      <c r="E1310" s="1" t="n">
        <v>-75710.625</v>
      </c>
      <c r="F1310" s="1" t="n">
        <v>71.561</v>
      </c>
      <c r="G1310" s="1" t="n">
        <f aca="false">IF(ISNUMBER(E1310),E1310,VALUE(SUBSTITUTE(E1310,"#",".01")))</f>
        <v>-75710.625</v>
      </c>
    </row>
    <row r="1311" customFormat="false" ht="12.75" hidden="false" customHeight="false" outlineLevel="0" collapsed="false">
      <c r="A1311" s="1" t="n">
        <v>68</v>
      </c>
      <c r="B1311" s="1" t="n">
        <v>46</v>
      </c>
      <c r="C1311" s="1" t="n">
        <v>114</v>
      </c>
      <c r="D1311" s="1" t="s">
        <v>599</v>
      </c>
      <c r="E1311" s="1" t="n">
        <v>-83490.943</v>
      </c>
      <c r="F1311" s="1" t="n">
        <v>6.945</v>
      </c>
      <c r="G1311" s="1" t="n">
        <f aca="false">IF(ISNUMBER(E1311),E1311,VALUE(SUBSTITUTE(E1311,"#",".01")))</f>
        <v>-83490.943</v>
      </c>
    </row>
    <row r="1312" customFormat="false" ht="12.75" hidden="false" customHeight="false" outlineLevel="0" collapsed="false">
      <c r="A1312" s="1" t="n">
        <v>67</v>
      </c>
      <c r="B1312" s="1" t="n">
        <v>47</v>
      </c>
      <c r="C1312" s="1" t="n">
        <v>114</v>
      </c>
      <c r="D1312" s="1" t="s">
        <v>607</v>
      </c>
      <c r="E1312" s="1" t="n">
        <v>-84930.8</v>
      </c>
      <c r="F1312" s="1" t="n">
        <v>4.564</v>
      </c>
      <c r="G1312" s="1" t="n">
        <f aca="false">IF(ISNUMBER(E1312),E1312,VALUE(SUBSTITUTE(E1312,"#",".01")))</f>
        <v>-84930.8</v>
      </c>
    </row>
    <row r="1313" customFormat="false" ht="12.75" hidden="false" customHeight="false" outlineLevel="0" collapsed="false">
      <c r="A1313" s="1" t="n">
        <v>66</v>
      </c>
      <c r="B1313" s="1" t="n">
        <v>48</v>
      </c>
      <c r="C1313" s="1" t="n">
        <v>114</v>
      </c>
      <c r="D1313" s="1" t="s">
        <v>615</v>
      </c>
      <c r="E1313" s="1" t="n">
        <v>-90014.932</v>
      </c>
      <c r="F1313" s="1" t="n">
        <v>0.276</v>
      </c>
      <c r="G1313" s="1" t="n">
        <f aca="false">IF(ISNUMBER(E1313),E1313,VALUE(SUBSTITUTE(E1313,"#",".01")))</f>
        <v>-90014.932</v>
      </c>
    </row>
    <row r="1314" customFormat="false" ht="12.75" hidden="false" customHeight="false" outlineLevel="0" collapsed="false">
      <c r="A1314" s="1" t="n">
        <v>65</v>
      </c>
      <c r="B1314" s="1" t="n">
        <v>49</v>
      </c>
      <c r="C1314" s="1" t="n">
        <v>114</v>
      </c>
      <c r="D1314" s="1" t="s">
        <v>623</v>
      </c>
      <c r="E1314" s="1" t="n">
        <v>-88569.801</v>
      </c>
      <c r="F1314" s="1" t="n">
        <v>0.301</v>
      </c>
      <c r="G1314" s="1" t="n">
        <f aca="false">IF(ISNUMBER(E1314),E1314,VALUE(SUBSTITUTE(E1314,"#",".01")))</f>
        <v>-88569.801</v>
      </c>
    </row>
    <row r="1315" customFormat="false" ht="12.75" hidden="false" customHeight="false" outlineLevel="0" collapsed="false">
      <c r="A1315" s="1" t="n">
        <v>64</v>
      </c>
      <c r="B1315" s="1" t="n">
        <v>50</v>
      </c>
      <c r="C1315" s="1" t="n">
        <v>114</v>
      </c>
      <c r="D1315" s="1" t="s">
        <v>633</v>
      </c>
      <c r="E1315" s="1" t="n">
        <v>-90559.723</v>
      </c>
      <c r="F1315" s="1" t="n">
        <v>0.029</v>
      </c>
      <c r="G1315" s="1" t="n">
        <f aca="false">IF(ISNUMBER(E1315),E1315,VALUE(SUBSTITUTE(E1315,"#",".01")))</f>
        <v>-90559.723</v>
      </c>
    </row>
    <row r="1316" customFormat="false" ht="12.75" hidden="false" customHeight="false" outlineLevel="0" collapsed="false">
      <c r="A1316" s="1" t="n">
        <v>63</v>
      </c>
      <c r="B1316" s="1" t="n">
        <v>51</v>
      </c>
      <c r="C1316" s="1" t="n">
        <v>114</v>
      </c>
      <c r="D1316" s="1" t="s">
        <v>642</v>
      </c>
      <c r="E1316" s="1" t="n">
        <v>-84496.574</v>
      </c>
      <c r="F1316" s="1" t="n">
        <v>21.838</v>
      </c>
      <c r="G1316" s="1" t="n">
        <f aca="false">IF(ISNUMBER(E1316),E1316,VALUE(SUBSTITUTE(E1316,"#",".01")))</f>
        <v>-84496.574</v>
      </c>
    </row>
    <row r="1317" customFormat="false" ht="12.75" hidden="false" customHeight="false" outlineLevel="0" collapsed="false">
      <c r="A1317" s="1" t="n">
        <v>62</v>
      </c>
      <c r="B1317" s="1" t="n">
        <v>52</v>
      </c>
      <c r="C1317" s="1" t="n">
        <v>114</v>
      </c>
      <c r="D1317" s="1" t="s">
        <v>647</v>
      </c>
      <c r="E1317" s="1" t="n">
        <v>-81888.569</v>
      </c>
      <c r="F1317" s="1" t="n">
        <v>27.945</v>
      </c>
      <c r="G1317" s="1" t="n">
        <f aca="false">IF(ISNUMBER(E1317),E1317,VALUE(SUBSTITUTE(E1317,"#",".01")))</f>
        <v>-81888.569</v>
      </c>
    </row>
    <row r="1318" customFormat="false" ht="12.75" hidden="false" customHeight="false" outlineLevel="0" collapsed="false">
      <c r="A1318" s="1" t="n">
        <v>61</v>
      </c>
      <c r="B1318" s="1" t="n">
        <v>53</v>
      </c>
      <c r="C1318" s="1" t="n">
        <v>114</v>
      </c>
      <c r="D1318" s="1" t="s">
        <v>652</v>
      </c>
      <c r="E1318" s="1" t="s">
        <v>673</v>
      </c>
      <c r="F1318" s="1" t="s">
        <v>545</v>
      </c>
      <c r="G1318" s="1" t="n">
        <f aca="false">IF(ISNUMBER(E1318),E1318,VALUE(SUBSTITUTE(E1318,"#",".01")))</f>
        <v>-72796.01</v>
      </c>
    </row>
    <row r="1319" customFormat="false" ht="12.75" hidden="false" customHeight="false" outlineLevel="0" collapsed="false">
      <c r="A1319" s="1" t="n">
        <v>60</v>
      </c>
      <c r="B1319" s="1" t="n">
        <v>54</v>
      </c>
      <c r="C1319" s="1" t="n">
        <v>114</v>
      </c>
      <c r="D1319" s="1" t="s">
        <v>658</v>
      </c>
      <c r="E1319" s="1" t="n">
        <v>-67085.89</v>
      </c>
      <c r="F1319" s="1" t="n">
        <v>11.178</v>
      </c>
      <c r="G1319" s="1" t="n">
        <f aca="false">IF(ISNUMBER(E1319),E1319,VALUE(SUBSTITUTE(E1319,"#",".01")))</f>
        <v>-67085.89</v>
      </c>
    </row>
    <row r="1320" customFormat="false" ht="12.75" hidden="false" customHeight="false" outlineLevel="0" collapsed="false">
      <c r="A1320" s="1" t="n">
        <v>59</v>
      </c>
      <c r="B1320" s="1" t="n">
        <v>55</v>
      </c>
      <c r="C1320" s="1" t="n">
        <v>114</v>
      </c>
      <c r="D1320" s="1" t="s">
        <v>662</v>
      </c>
      <c r="E1320" s="1" t="n">
        <v>-54682.261</v>
      </c>
      <c r="F1320" s="1" t="n">
        <v>71.102</v>
      </c>
      <c r="G1320" s="1" t="n">
        <f aca="false">IF(ISNUMBER(E1320),E1320,VALUE(SUBSTITUTE(E1320,"#",".01")))</f>
        <v>-54682.261</v>
      </c>
    </row>
    <row r="1321" customFormat="false" ht="12.75" hidden="false" customHeight="false" outlineLevel="0" collapsed="false">
      <c r="A1321" s="1" t="n">
        <v>58</v>
      </c>
      <c r="B1321" s="1" t="n">
        <v>56</v>
      </c>
      <c r="C1321" s="1" t="n">
        <v>114</v>
      </c>
      <c r="D1321" s="1" t="s">
        <v>669</v>
      </c>
      <c r="E1321" s="1" t="n">
        <v>-45905.426</v>
      </c>
      <c r="F1321" s="1" t="n">
        <v>102.676</v>
      </c>
      <c r="G1321" s="1" t="n">
        <f aca="false">IF(ISNUMBER(E1321),E1321,VALUE(SUBSTITUTE(E1321,"#",".01")))</f>
        <v>-45905.426</v>
      </c>
    </row>
    <row r="1322" customFormat="false" ht="12.75" hidden="false" customHeight="false" outlineLevel="0" collapsed="false">
      <c r="A1322" s="1" t="n">
        <v>74</v>
      </c>
      <c r="B1322" s="1" t="n">
        <v>41</v>
      </c>
      <c r="C1322" s="1" t="n">
        <v>115</v>
      </c>
      <c r="D1322" s="1" t="s">
        <v>554</v>
      </c>
      <c r="E1322" s="1" t="s">
        <v>674</v>
      </c>
      <c r="F1322" s="1" t="s">
        <v>323</v>
      </c>
      <c r="G1322" s="1" t="n">
        <f aca="false">IF(ISNUMBER(E1322),E1322,VALUE(SUBSTITUTE(E1322,"#",".01")))</f>
        <v>-31354.01</v>
      </c>
    </row>
    <row r="1323" customFormat="false" ht="12.75" hidden="false" customHeight="false" outlineLevel="0" collapsed="false">
      <c r="A1323" s="1" t="n">
        <v>73</v>
      </c>
      <c r="B1323" s="1" t="n">
        <v>42</v>
      </c>
      <c r="C1323" s="1" t="n">
        <v>115</v>
      </c>
      <c r="D1323" s="1" t="s">
        <v>562</v>
      </c>
      <c r="E1323" s="1" t="s">
        <v>675</v>
      </c>
      <c r="F1323" s="1" t="s">
        <v>320</v>
      </c>
      <c r="G1323" s="1" t="n">
        <f aca="false">IF(ISNUMBER(E1323),E1323,VALUE(SUBSTITUTE(E1323,"#",".01")))</f>
        <v>-44749.01</v>
      </c>
    </row>
    <row r="1324" customFormat="false" ht="12.75" hidden="false" customHeight="false" outlineLevel="0" collapsed="false">
      <c r="A1324" s="1" t="n">
        <v>72</v>
      </c>
      <c r="B1324" s="1" t="n">
        <v>43</v>
      </c>
      <c r="C1324" s="1" t="n">
        <v>115</v>
      </c>
      <c r="D1324" s="1" t="s">
        <v>569</v>
      </c>
      <c r="E1324" s="1" t="n">
        <v>-56319.99</v>
      </c>
      <c r="F1324" s="1" t="n">
        <v>789.441</v>
      </c>
      <c r="G1324" s="1" t="n">
        <f aca="false">IF(ISNUMBER(E1324),E1324,VALUE(SUBSTITUTE(E1324,"#",".01")))</f>
        <v>-56319.99</v>
      </c>
    </row>
    <row r="1325" customFormat="false" ht="12.75" hidden="false" customHeight="false" outlineLevel="0" collapsed="false">
      <c r="A1325" s="1" t="n">
        <v>71</v>
      </c>
      <c r="B1325" s="1" t="n">
        <v>44</v>
      </c>
      <c r="C1325" s="1" t="n">
        <v>115</v>
      </c>
      <c r="D1325" s="1" t="s">
        <v>578</v>
      </c>
      <c r="E1325" s="1" t="n">
        <v>-66189.734</v>
      </c>
      <c r="F1325" s="1" t="n">
        <v>88.496</v>
      </c>
      <c r="G1325" s="1" t="n">
        <f aca="false">IF(ISNUMBER(E1325),E1325,VALUE(SUBSTITUTE(E1325,"#",".01")))</f>
        <v>-66189.734</v>
      </c>
    </row>
    <row r="1326" customFormat="false" ht="12.75" hidden="false" customHeight="false" outlineLevel="0" collapsed="false">
      <c r="A1326" s="1" t="n">
        <v>70</v>
      </c>
      <c r="B1326" s="1" t="n">
        <v>45</v>
      </c>
      <c r="C1326" s="1" t="n">
        <v>115</v>
      </c>
      <c r="D1326" s="1" t="s">
        <v>589</v>
      </c>
      <c r="E1326" s="1" t="n">
        <v>-74229.831</v>
      </c>
      <c r="F1326" s="1" t="n">
        <v>7.316</v>
      </c>
      <c r="G1326" s="1" t="n">
        <f aca="false">IF(ISNUMBER(E1326),E1326,VALUE(SUBSTITUTE(E1326,"#",".01")))</f>
        <v>-74229.831</v>
      </c>
    </row>
    <row r="1327" customFormat="false" ht="12.75" hidden="false" customHeight="false" outlineLevel="0" collapsed="false">
      <c r="A1327" s="1" t="n">
        <v>69</v>
      </c>
      <c r="B1327" s="1" t="n">
        <v>46</v>
      </c>
      <c r="C1327" s="1" t="n">
        <v>115</v>
      </c>
      <c r="D1327" s="1" t="s">
        <v>599</v>
      </c>
      <c r="E1327" s="1" t="n">
        <v>-80426.386</v>
      </c>
      <c r="F1327" s="1" t="n">
        <v>13.546</v>
      </c>
      <c r="G1327" s="1" t="n">
        <f aca="false">IF(ISNUMBER(E1327),E1327,VALUE(SUBSTITUTE(E1327,"#",".01")))</f>
        <v>-80426.386</v>
      </c>
    </row>
    <row r="1328" customFormat="false" ht="12.75" hidden="false" customHeight="false" outlineLevel="0" collapsed="false">
      <c r="A1328" s="1" t="n">
        <v>68</v>
      </c>
      <c r="B1328" s="1" t="n">
        <v>47</v>
      </c>
      <c r="C1328" s="1" t="n">
        <v>115</v>
      </c>
      <c r="D1328" s="1" t="s">
        <v>607</v>
      </c>
      <c r="E1328" s="1" t="n">
        <v>-84982.654</v>
      </c>
      <c r="F1328" s="1" t="n">
        <v>18.268</v>
      </c>
      <c r="G1328" s="1" t="n">
        <f aca="false">IF(ISNUMBER(E1328),E1328,VALUE(SUBSTITUTE(E1328,"#",".01")))</f>
        <v>-84982.654</v>
      </c>
    </row>
    <row r="1329" customFormat="false" ht="12.75" hidden="false" customHeight="false" outlineLevel="0" collapsed="false">
      <c r="A1329" s="1" t="n">
        <v>67</v>
      </c>
      <c r="B1329" s="1" t="n">
        <v>48</v>
      </c>
      <c r="C1329" s="1" t="n">
        <v>115</v>
      </c>
      <c r="D1329" s="1" t="s">
        <v>615</v>
      </c>
      <c r="E1329" s="1" t="n">
        <v>-88084.479</v>
      </c>
      <c r="F1329" s="1" t="n">
        <v>0.651</v>
      </c>
      <c r="G1329" s="1" t="n">
        <f aca="false">IF(ISNUMBER(E1329),E1329,VALUE(SUBSTITUTE(E1329,"#",".01")))</f>
        <v>-88084.479</v>
      </c>
    </row>
    <row r="1330" customFormat="false" ht="12.75" hidden="false" customHeight="false" outlineLevel="0" collapsed="false">
      <c r="A1330" s="1" t="n">
        <v>66</v>
      </c>
      <c r="B1330" s="1" t="n">
        <v>49</v>
      </c>
      <c r="C1330" s="1" t="n">
        <v>115</v>
      </c>
      <c r="D1330" s="1" t="s">
        <v>623</v>
      </c>
      <c r="E1330" s="1" t="n">
        <v>-89536.346</v>
      </c>
      <c r="F1330" s="1" t="n">
        <v>0.012</v>
      </c>
      <c r="G1330" s="1" t="n">
        <f aca="false">IF(ISNUMBER(E1330),E1330,VALUE(SUBSTITUTE(E1330,"#",".01")))</f>
        <v>-89536.346</v>
      </c>
    </row>
    <row r="1331" customFormat="false" ht="12.75" hidden="false" customHeight="false" outlineLevel="0" collapsed="false">
      <c r="A1331" s="1" t="n">
        <v>65</v>
      </c>
      <c r="B1331" s="1" t="n">
        <v>50</v>
      </c>
      <c r="C1331" s="1" t="n">
        <v>115</v>
      </c>
      <c r="D1331" s="1" t="s">
        <v>633</v>
      </c>
      <c r="E1331" s="1" t="n">
        <v>-90033.835</v>
      </c>
      <c r="F1331" s="1" t="n">
        <v>0.015</v>
      </c>
      <c r="G1331" s="1" t="n">
        <f aca="false">IF(ISNUMBER(E1331),E1331,VALUE(SUBSTITUTE(E1331,"#",".01")))</f>
        <v>-90033.835</v>
      </c>
    </row>
    <row r="1332" customFormat="false" ht="12.75" hidden="false" customHeight="false" outlineLevel="0" collapsed="false">
      <c r="A1332" s="1" t="n">
        <v>64</v>
      </c>
      <c r="B1332" s="1" t="n">
        <v>51</v>
      </c>
      <c r="C1332" s="1" t="n">
        <v>115</v>
      </c>
      <c r="D1332" s="1" t="s">
        <v>642</v>
      </c>
      <c r="E1332" s="1" t="n">
        <v>-87003.403</v>
      </c>
      <c r="F1332" s="1" t="n">
        <v>16.025</v>
      </c>
      <c r="G1332" s="1" t="n">
        <f aca="false">IF(ISNUMBER(E1332),E1332,VALUE(SUBSTITUTE(E1332,"#",".01")))</f>
        <v>-87003.403</v>
      </c>
    </row>
    <row r="1333" customFormat="false" ht="12.75" hidden="false" customHeight="false" outlineLevel="0" collapsed="false">
      <c r="A1333" s="1" t="n">
        <v>63</v>
      </c>
      <c r="B1333" s="1" t="n">
        <v>52</v>
      </c>
      <c r="C1333" s="1" t="n">
        <v>115</v>
      </c>
      <c r="D1333" s="1" t="s">
        <v>647</v>
      </c>
      <c r="E1333" s="1" t="n">
        <v>-82062.759</v>
      </c>
      <c r="F1333" s="1" t="n">
        <v>27.945</v>
      </c>
      <c r="G1333" s="1" t="n">
        <f aca="false">IF(ISNUMBER(E1333),E1333,VALUE(SUBSTITUTE(E1333,"#",".01")))</f>
        <v>-82062.759</v>
      </c>
    </row>
    <row r="1334" customFormat="false" ht="12.75" hidden="false" customHeight="false" outlineLevel="0" collapsed="false">
      <c r="A1334" s="1" t="n">
        <v>62</v>
      </c>
      <c r="B1334" s="1" t="n">
        <v>53</v>
      </c>
      <c r="C1334" s="1" t="n">
        <v>115</v>
      </c>
      <c r="D1334" s="1" t="s">
        <v>652</v>
      </c>
      <c r="E1334" s="1" t="n">
        <v>-76337.797</v>
      </c>
      <c r="F1334" s="1" t="n">
        <v>28.876</v>
      </c>
      <c r="G1334" s="1" t="n">
        <f aca="false">IF(ISNUMBER(E1334),E1334,VALUE(SUBSTITUTE(E1334,"#",".01")))</f>
        <v>-76337.797</v>
      </c>
    </row>
    <row r="1335" customFormat="false" ht="12.75" hidden="false" customHeight="false" outlineLevel="0" collapsed="false">
      <c r="A1335" s="1" t="n">
        <v>61</v>
      </c>
      <c r="B1335" s="1" t="n">
        <v>54</v>
      </c>
      <c r="C1335" s="1" t="n">
        <v>115</v>
      </c>
      <c r="D1335" s="1" t="s">
        <v>658</v>
      </c>
      <c r="E1335" s="1" t="n">
        <v>-68656.748</v>
      </c>
      <c r="F1335" s="1" t="n">
        <v>12.109</v>
      </c>
      <c r="G1335" s="1" t="n">
        <f aca="false">IF(ISNUMBER(E1335),E1335,VALUE(SUBSTITUTE(E1335,"#",".01")))</f>
        <v>-68656.748</v>
      </c>
    </row>
    <row r="1336" customFormat="false" ht="12.75" hidden="false" customHeight="false" outlineLevel="0" collapsed="false">
      <c r="A1336" s="1" t="n">
        <v>60</v>
      </c>
      <c r="B1336" s="1" t="n">
        <v>55</v>
      </c>
      <c r="C1336" s="1" t="n">
        <v>115</v>
      </c>
      <c r="D1336" s="1" t="s">
        <v>662</v>
      </c>
      <c r="E1336" s="1" t="s">
        <v>676</v>
      </c>
      <c r="F1336" s="1" t="s">
        <v>677</v>
      </c>
      <c r="G1336" s="1" t="n">
        <f aca="false">IF(ISNUMBER(E1336),E1336,VALUE(SUBSTITUTE(E1336,"#",".01")))</f>
        <v>-59699.01</v>
      </c>
    </row>
    <row r="1337" customFormat="false" ht="12.75" hidden="false" customHeight="false" outlineLevel="0" collapsed="false">
      <c r="A1337" s="1" t="n">
        <v>59</v>
      </c>
      <c r="B1337" s="1" t="n">
        <v>56</v>
      </c>
      <c r="C1337" s="1" t="n">
        <v>115</v>
      </c>
      <c r="D1337" s="1" t="s">
        <v>669</v>
      </c>
      <c r="E1337" s="1" t="s">
        <v>678</v>
      </c>
      <c r="F1337" s="1" t="s">
        <v>349</v>
      </c>
      <c r="G1337" s="1" t="n">
        <f aca="false">IF(ISNUMBER(E1337),E1337,VALUE(SUBSTITUTE(E1337,"#",".01")))</f>
        <v>-49020.01</v>
      </c>
    </row>
    <row r="1338" customFormat="false" ht="12.75" hidden="false" customHeight="false" outlineLevel="0" collapsed="false">
      <c r="A1338" s="1" t="n">
        <v>74</v>
      </c>
      <c r="B1338" s="1" t="n">
        <v>42</v>
      </c>
      <c r="C1338" s="1" t="n">
        <v>116</v>
      </c>
      <c r="D1338" s="1" t="s">
        <v>562</v>
      </c>
      <c r="E1338" s="1" t="s">
        <v>679</v>
      </c>
      <c r="F1338" s="1" t="s">
        <v>337</v>
      </c>
      <c r="G1338" s="1" t="n">
        <f aca="false">IF(ISNUMBER(E1338),E1338,VALUE(SUBSTITUTE(E1338,"#",".01")))</f>
        <v>-41500.01</v>
      </c>
    </row>
    <row r="1339" customFormat="false" ht="12.75" hidden="false" customHeight="false" outlineLevel="0" collapsed="false">
      <c r="A1339" s="1" t="n">
        <v>73</v>
      </c>
      <c r="B1339" s="1" t="n">
        <v>43</v>
      </c>
      <c r="C1339" s="1" t="n">
        <v>116</v>
      </c>
      <c r="D1339" s="1" t="s">
        <v>569</v>
      </c>
      <c r="E1339" s="1" t="s">
        <v>680</v>
      </c>
      <c r="F1339" s="1" t="s">
        <v>360</v>
      </c>
      <c r="G1339" s="1" t="n">
        <f aca="false">IF(ISNUMBER(E1339),E1339,VALUE(SUBSTITUTE(E1339,"#",".01")))</f>
        <v>-51456.01</v>
      </c>
    </row>
    <row r="1340" customFormat="false" ht="12.75" hidden="false" customHeight="false" outlineLevel="0" collapsed="false">
      <c r="A1340" s="1" t="n">
        <v>72</v>
      </c>
      <c r="B1340" s="1" t="n">
        <v>44</v>
      </c>
      <c r="C1340" s="1" t="n">
        <v>116</v>
      </c>
      <c r="D1340" s="1" t="s">
        <v>578</v>
      </c>
      <c r="E1340" s="1" t="n">
        <v>-64068.909</v>
      </c>
      <c r="F1340" s="1" t="n">
        <v>3.726</v>
      </c>
      <c r="G1340" s="1" t="n">
        <f aca="false">IF(ISNUMBER(E1340),E1340,VALUE(SUBSTITUTE(E1340,"#",".01")))</f>
        <v>-64068.909</v>
      </c>
    </row>
    <row r="1341" customFormat="false" ht="12.75" hidden="false" customHeight="false" outlineLevel="0" collapsed="false">
      <c r="A1341" s="1" t="n">
        <v>71</v>
      </c>
      <c r="B1341" s="1" t="n">
        <v>45</v>
      </c>
      <c r="C1341" s="1" t="n">
        <v>116</v>
      </c>
      <c r="D1341" s="1" t="s">
        <v>589</v>
      </c>
      <c r="E1341" s="1" t="n">
        <v>-70736.122</v>
      </c>
      <c r="F1341" s="1" t="n">
        <v>73.832</v>
      </c>
      <c r="G1341" s="1" t="n">
        <f aca="false">IF(ISNUMBER(E1341),E1341,VALUE(SUBSTITUTE(E1341,"#",".01")))</f>
        <v>-70736.122</v>
      </c>
    </row>
    <row r="1342" customFormat="false" ht="12.75" hidden="false" customHeight="false" outlineLevel="0" collapsed="false">
      <c r="A1342" s="1" t="n">
        <v>70</v>
      </c>
      <c r="B1342" s="1" t="n">
        <v>46</v>
      </c>
      <c r="C1342" s="1" t="n">
        <v>116</v>
      </c>
      <c r="D1342" s="1" t="s">
        <v>599</v>
      </c>
      <c r="E1342" s="1" t="n">
        <v>-79831.635</v>
      </c>
      <c r="F1342" s="1" t="n">
        <v>7.132</v>
      </c>
      <c r="G1342" s="1" t="n">
        <f aca="false">IF(ISNUMBER(E1342),E1342,VALUE(SUBSTITUTE(E1342,"#",".01")))</f>
        <v>-79831.635</v>
      </c>
    </row>
    <row r="1343" customFormat="false" ht="12.75" hidden="false" customHeight="false" outlineLevel="0" collapsed="false">
      <c r="A1343" s="1" t="n">
        <v>69</v>
      </c>
      <c r="B1343" s="1" t="n">
        <v>47</v>
      </c>
      <c r="C1343" s="1" t="n">
        <v>116</v>
      </c>
      <c r="D1343" s="1" t="s">
        <v>607</v>
      </c>
      <c r="E1343" s="1" t="n">
        <v>-82542.653</v>
      </c>
      <c r="F1343" s="1" t="n">
        <v>3.26</v>
      </c>
      <c r="G1343" s="1" t="n">
        <f aca="false">IF(ISNUMBER(E1343),E1343,VALUE(SUBSTITUTE(E1343,"#",".01")))</f>
        <v>-82542.653</v>
      </c>
    </row>
    <row r="1344" customFormat="false" ht="12.75" hidden="false" customHeight="false" outlineLevel="0" collapsed="false">
      <c r="A1344" s="1" t="n">
        <v>68</v>
      </c>
      <c r="B1344" s="1" t="n">
        <v>48</v>
      </c>
      <c r="C1344" s="1" t="n">
        <v>116</v>
      </c>
      <c r="D1344" s="1" t="s">
        <v>615</v>
      </c>
      <c r="E1344" s="1" t="n">
        <v>-88712.48</v>
      </c>
      <c r="F1344" s="1" t="n">
        <v>0.16</v>
      </c>
      <c r="G1344" s="1" t="n">
        <f aca="false">IF(ISNUMBER(E1344),E1344,VALUE(SUBSTITUTE(E1344,"#",".01")))</f>
        <v>-88712.48</v>
      </c>
    </row>
    <row r="1345" customFormat="false" ht="12.75" hidden="false" customHeight="false" outlineLevel="0" collapsed="false">
      <c r="A1345" s="1" t="n">
        <v>67</v>
      </c>
      <c r="B1345" s="1" t="n">
        <v>49</v>
      </c>
      <c r="C1345" s="1" t="n">
        <v>116</v>
      </c>
      <c r="D1345" s="1" t="s">
        <v>623</v>
      </c>
      <c r="E1345" s="1" t="n">
        <v>-88249.749</v>
      </c>
      <c r="F1345" s="1" t="n">
        <v>0.22</v>
      </c>
      <c r="G1345" s="1" t="n">
        <f aca="false">IF(ISNUMBER(E1345),E1345,VALUE(SUBSTITUTE(E1345,"#",".01")))</f>
        <v>-88249.749</v>
      </c>
    </row>
    <row r="1346" customFormat="false" ht="12.75" hidden="false" customHeight="false" outlineLevel="0" collapsed="false">
      <c r="A1346" s="1" t="n">
        <v>66</v>
      </c>
      <c r="B1346" s="1" t="n">
        <v>50</v>
      </c>
      <c r="C1346" s="1" t="n">
        <v>116</v>
      </c>
      <c r="D1346" s="1" t="s">
        <v>633</v>
      </c>
      <c r="E1346" s="1" t="n">
        <v>-91525.97</v>
      </c>
      <c r="F1346" s="1" t="n">
        <v>0.096</v>
      </c>
      <c r="G1346" s="1" t="n">
        <f aca="false">IF(ISNUMBER(E1346),E1346,VALUE(SUBSTITUTE(E1346,"#",".01")))</f>
        <v>-91525.97</v>
      </c>
    </row>
    <row r="1347" customFormat="false" ht="12.75" hidden="false" customHeight="false" outlineLevel="0" collapsed="false">
      <c r="A1347" s="1" t="n">
        <v>65</v>
      </c>
      <c r="B1347" s="1" t="n">
        <v>51</v>
      </c>
      <c r="C1347" s="1" t="n">
        <v>116</v>
      </c>
      <c r="D1347" s="1" t="s">
        <v>642</v>
      </c>
      <c r="E1347" s="1" t="n">
        <v>-86822.15</v>
      </c>
      <c r="F1347" s="1" t="n">
        <v>5.16</v>
      </c>
      <c r="G1347" s="1" t="n">
        <f aca="false">IF(ISNUMBER(E1347),E1347,VALUE(SUBSTITUTE(E1347,"#",".01")))</f>
        <v>-86822.15</v>
      </c>
    </row>
    <row r="1348" customFormat="false" ht="12.75" hidden="false" customHeight="false" outlineLevel="0" collapsed="false">
      <c r="A1348" s="1" t="n">
        <v>64</v>
      </c>
      <c r="B1348" s="1" t="n">
        <v>52</v>
      </c>
      <c r="C1348" s="1" t="n">
        <v>116</v>
      </c>
      <c r="D1348" s="1" t="s">
        <v>647</v>
      </c>
      <c r="E1348" s="1" t="n">
        <v>-85268.961</v>
      </c>
      <c r="F1348" s="1" t="n">
        <v>27.945</v>
      </c>
      <c r="G1348" s="1" t="n">
        <f aca="false">IF(ISNUMBER(E1348),E1348,VALUE(SUBSTITUTE(E1348,"#",".01")))</f>
        <v>-85268.961</v>
      </c>
    </row>
    <row r="1349" customFormat="false" ht="12.75" hidden="false" customHeight="false" outlineLevel="0" collapsed="false">
      <c r="A1349" s="1" t="n">
        <v>63</v>
      </c>
      <c r="B1349" s="1" t="n">
        <v>53</v>
      </c>
      <c r="C1349" s="1" t="n">
        <v>116</v>
      </c>
      <c r="D1349" s="1" t="s">
        <v>652</v>
      </c>
      <c r="E1349" s="1" t="n">
        <v>-77492.236</v>
      </c>
      <c r="F1349" s="1" t="n">
        <v>96.592</v>
      </c>
      <c r="G1349" s="1" t="n">
        <f aca="false">IF(ISNUMBER(E1349),E1349,VALUE(SUBSTITUTE(E1349,"#",".01")))</f>
        <v>-77492.236</v>
      </c>
    </row>
    <row r="1350" customFormat="false" ht="12.75" hidden="false" customHeight="false" outlineLevel="0" collapsed="false">
      <c r="A1350" s="1" t="n">
        <v>62</v>
      </c>
      <c r="B1350" s="1" t="n">
        <v>54</v>
      </c>
      <c r="C1350" s="1" t="n">
        <v>116</v>
      </c>
      <c r="D1350" s="1" t="s">
        <v>658</v>
      </c>
      <c r="E1350" s="1" t="n">
        <v>-73046.724</v>
      </c>
      <c r="F1350" s="1" t="n">
        <v>13.041</v>
      </c>
      <c r="G1350" s="1" t="n">
        <f aca="false">IF(ISNUMBER(E1350),E1350,VALUE(SUBSTITUTE(E1350,"#",".01")))</f>
        <v>-73046.724</v>
      </c>
    </row>
    <row r="1351" customFormat="false" ht="12.75" hidden="false" customHeight="false" outlineLevel="0" collapsed="false">
      <c r="A1351" s="1" t="n">
        <v>61</v>
      </c>
      <c r="B1351" s="1" t="n">
        <v>55</v>
      </c>
      <c r="C1351" s="1" t="n">
        <v>116</v>
      </c>
      <c r="D1351" s="1" t="s">
        <v>662</v>
      </c>
      <c r="E1351" s="1" t="s">
        <v>681</v>
      </c>
      <c r="F1351" s="1" t="s">
        <v>533</v>
      </c>
      <c r="G1351" s="1" t="n">
        <f aca="false">IF(ISNUMBER(E1351),E1351,VALUE(SUBSTITUTE(E1351,"#",".01")))</f>
        <v>-62043.01</v>
      </c>
    </row>
    <row r="1352" customFormat="false" ht="12.75" hidden="false" customHeight="false" outlineLevel="0" collapsed="false">
      <c r="A1352" s="1" t="n">
        <v>60</v>
      </c>
      <c r="B1352" s="1" t="n">
        <v>56</v>
      </c>
      <c r="C1352" s="1" t="n">
        <v>116</v>
      </c>
      <c r="D1352" s="1" t="s">
        <v>669</v>
      </c>
      <c r="E1352" s="1" t="s">
        <v>606</v>
      </c>
      <c r="F1352" s="1" t="s">
        <v>349</v>
      </c>
      <c r="G1352" s="1" t="n">
        <f aca="false">IF(ISNUMBER(E1352),E1352,VALUE(SUBSTITUTE(E1352,"#",".01")))</f>
        <v>-54580.01</v>
      </c>
    </row>
    <row r="1353" customFormat="false" ht="12.75" hidden="false" customHeight="false" outlineLevel="0" collapsed="false">
      <c r="A1353" s="1" t="n">
        <v>59</v>
      </c>
      <c r="B1353" s="1" t="n">
        <v>57</v>
      </c>
      <c r="C1353" s="1" t="n">
        <v>116</v>
      </c>
      <c r="D1353" s="1" t="s">
        <v>682</v>
      </c>
      <c r="E1353" s="1" t="s">
        <v>683</v>
      </c>
      <c r="F1353" s="1" t="s">
        <v>684</v>
      </c>
      <c r="G1353" s="1" t="n">
        <f aca="false">IF(ISNUMBER(E1353),E1353,VALUE(SUBSTITUTE(E1353,"#",".01")))</f>
        <v>-40645.01</v>
      </c>
    </row>
    <row r="1354" customFormat="false" ht="12.75" hidden="false" customHeight="false" outlineLevel="0" collapsed="false">
      <c r="A1354" s="1" t="n">
        <v>75</v>
      </c>
      <c r="B1354" s="1" t="n">
        <v>42</v>
      </c>
      <c r="C1354" s="1" t="n">
        <v>117</v>
      </c>
      <c r="D1354" s="1" t="s">
        <v>562</v>
      </c>
      <c r="E1354" s="1" t="s">
        <v>685</v>
      </c>
      <c r="F1354" s="1" t="s">
        <v>337</v>
      </c>
      <c r="G1354" s="1" t="n">
        <f aca="false">IF(ISNUMBER(E1354),E1354,VALUE(SUBSTITUTE(E1354,"#",".01")))</f>
        <v>-36170.01</v>
      </c>
    </row>
    <row r="1355" customFormat="false" ht="12.75" hidden="false" customHeight="false" outlineLevel="0" collapsed="false">
      <c r="A1355" s="1" t="n">
        <v>74</v>
      </c>
      <c r="B1355" s="1" t="n">
        <v>43</v>
      </c>
      <c r="C1355" s="1" t="n">
        <v>117</v>
      </c>
      <c r="D1355" s="1" t="s">
        <v>569</v>
      </c>
      <c r="E1355" s="1" t="s">
        <v>686</v>
      </c>
      <c r="F1355" s="1" t="s">
        <v>320</v>
      </c>
      <c r="G1355" s="1" t="n">
        <f aca="false">IF(ISNUMBER(E1355),E1355,VALUE(SUBSTITUTE(E1355,"#",".01")))</f>
        <v>-48382.01</v>
      </c>
    </row>
    <row r="1356" customFormat="false" ht="12.75" hidden="false" customHeight="false" outlineLevel="0" collapsed="false">
      <c r="A1356" s="1" t="n">
        <v>73</v>
      </c>
      <c r="B1356" s="1" t="n">
        <v>44</v>
      </c>
      <c r="C1356" s="1" t="n">
        <v>117</v>
      </c>
      <c r="D1356" s="1" t="s">
        <v>578</v>
      </c>
      <c r="E1356" s="1" t="n">
        <v>-59489.865</v>
      </c>
      <c r="F1356" s="1" t="n">
        <v>433.145</v>
      </c>
      <c r="G1356" s="1" t="n">
        <f aca="false">IF(ISNUMBER(E1356),E1356,VALUE(SUBSTITUTE(E1356,"#",".01")))</f>
        <v>-59489.865</v>
      </c>
    </row>
    <row r="1357" customFormat="false" ht="12.75" hidden="false" customHeight="false" outlineLevel="0" collapsed="false">
      <c r="A1357" s="1" t="n">
        <v>72</v>
      </c>
      <c r="B1357" s="1" t="n">
        <v>45</v>
      </c>
      <c r="C1357" s="1" t="n">
        <v>117</v>
      </c>
      <c r="D1357" s="1" t="s">
        <v>589</v>
      </c>
      <c r="E1357" s="1" t="n">
        <v>-68897.373</v>
      </c>
      <c r="F1357" s="1" t="n">
        <v>8.892</v>
      </c>
      <c r="G1357" s="1" t="n">
        <f aca="false">IF(ISNUMBER(E1357),E1357,VALUE(SUBSTITUTE(E1357,"#",".01")))</f>
        <v>-68897.373</v>
      </c>
    </row>
    <row r="1358" customFormat="false" ht="12.75" hidden="false" customHeight="false" outlineLevel="0" collapsed="false">
      <c r="A1358" s="1" t="n">
        <v>71</v>
      </c>
      <c r="B1358" s="1" t="n">
        <v>46</v>
      </c>
      <c r="C1358" s="1" t="n">
        <v>117</v>
      </c>
      <c r="D1358" s="1" t="s">
        <v>599</v>
      </c>
      <c r="E1358" s="1" t="n">
        <v>-76424.477</v>
      </c>
      <c r="F1358" s="1" t="n">
        <v>7.252</v>
      </c>
      <c r="G1358" s="1" t="n">
        <f aca="false">IF(ISNUMBER(E1358),E1358,VALUE(SUBSTITUTE(E1358,"#",".01")))</f>
        <v>-76424.477</v>
      </c>
    </row>
    <row r="1359" customFormat="false" ht="12.75" hidden="false" customHeight="false" outlineLevel="0" collapsed="false">
      <c r="A1359" s="1" t="n">
        <v>70</v>
      </c>
      <c r="B1359" s="1" t="n">
        <v>47</v>
      </c>
      <c r="C1359" s="1" t="n">
        <v>117</v>
      </c>
      <c r="D1359" s="1" t="s">
        <v>607</v>
      </c>
      <c r="E1359" s="1" t="n">
        <v>-82182.014</v>
      </c>
      <c r="F1359" s="1" t="n">
        <v>13.572</v>
      </c>
      <c r="G1359" s="1" t="n">
        <f aca="false">IF(ISNUMBER(E1359),E1359,VALUE(SUBSTITUTE(E1359,"#",".01")))</f>
        <v>-82182.014</v>
      </c>
    </row>
    <row r="1360" customFormat="false" ht="12.75" hidden="false" customHeight="false" outlineLevel="0" collapsed="false">
      <c r="A1360" s="1" t="n">
        <v>69</v>
      </c>
      <c r="B1360" s="1" t="n">
        <v>48</v>
      </c>
      <c r="C1360" s="1" t="n">
        <v>117</v>
      </c>
      <c r="D1360" s="1" t="s">
        <v>615</v>
      </c>
      <c r="E1360" s="1" t="n">
        <v>-86418.389</v>
      </c>
      <c r="F1360" s="1" t="n">
        <v>1.013</v>
      </c>
      <c r="G1360" s="1" t="n">
        <f aca="false">IF(ISNUMBER(E1360),E1360,VALUE(SUBSTITUTE(E1360,"#",".01")))</f>
        <v>-86418.389</v>
      </c>
    </row>
    <row r="1361" customFormat="false" ht="12.75" hidden="false" customHeight="false" outlineLevel="0" collapsed="false">
      <c r="A1361" s="1" t="n">
        <v>68</v>
      </c>
      <c r="B1361" s="1" t="n">
        <v>49</v>
      </c>
      <c r="C1361" s="1" t="n">
        <v>117</v>
      </c>
      <c r="D1361" s="1" t="s">
        <v>623</v>
      </c>
      <c r="E1361" s="1" t="n">
        <v>-88943.042</v>
      </c>
      <c r="F1361" s="1" t="n">
        <v>4.881</v>
      </c>
      <c r="G1361" s="1" t="n">
        <f aca="false">IF(ISNUMBER(E1361),E1361,VALUE(SUBSTITUTE(E1361,"#",".01")))</f>
        <v>-88943.042</v>
      </c>
    </row>
    <row r="1362" customFormat="false" ht="12.75" hidden="false" customHeight="false" outlineLevel="0" collapsed="false">
      <c r="A1362" s="1" t="n">
        <v>67</v>
      </c>
      <c r="B1362" s="1" t="n">
        <v>50</v>
      </c>
      <c r="C1362" s="1" t="n">
        <v>117</v>
      </c>
      <c r="D1362" s="1" t="s">
        <v>633</v>
      </c>
      <c r="E1362" s="1" t="n">
        <v>-90397.751</v>
      </c>
      <c r="F1362" s="1" t="n">
        <v>0.483</v>
      </c>
      <c r="G1362" s="1" t="n">
        <f aca="false">IF(ISNUMBER(E1362),E1362,VALUE(SUBSTITUTE(E1362,"#",".01")))</f>
        <v>-90397.751</v>
      </c>
    </row>
    <row r="1363" customFormat="false" ht="12.75" hidden="false" customHeight="false" outlineLevel="0" collapsed="false">
      <c r="A1363" s="1" t="n">
        <v>66</v>
      </c>
      <c r="B1363" s="1" t="n">
        <v>51</v>
      </c>
      <c r="C1363" s="1" t="n">
        <v>117</v>
      </c>
      <c r="D1363" s="1" t="s">
        <v>642</v>
      </c>
      <c r="E1363" s="1" t="n">
        <v>-88639.539</v>
      </c>
      <c r="F1363" s="1" t="n">
        <v>8.437</v>
      </c>
      <c r="G1363" s="1" t="n">
        <f aca="false">IF(ISNUMBER(E1363),E1363,VALUE(SUBSTITUTE(E1363,"#",".01")))</f>
        <v>-88639.539</v>
      </c>
    </row>
    <row r="1364" customFormat="false" ht="12.75" hidden="false" customHeight="false" outlineLevel="0" collapsed="false">
      <c r="A1364" s="1" t="n">
        <v>65</v>
      </c>
      <c r="B1364" s="1" t="n">
        <v>52</v>
      </c>
      <c r="C1364" s="1" t="n">
        <v>117</v>
      </c>
      <c r="D1364" s="1" t="s">
        <v>647</v>
      </c>
      <c r="E1364" s="1" t="n">
        <v>-85095.411</v>
      </c>
      <c r="F1364" s="1" t="n">
        <v>13.456</v>
      </c>
      <c r="G1364" s="1" t="n">
        <f aca="false">IF(ISNUMBER(E1364),E1364,VALUE(SUBSTITUTE(E1364,"#",".01")))</f>
        <v>-85095.411</v>
      </c>
    </row>
    <row r="1365" customFormat="false" ht="12.75" hidden="false" customHeight="false" outlineLevel="0" collapsed="false">
      <c r="A1365" s="1" t="n">
        <v>64</v>
      </c>
      <c r="B1365" s="1" t="n">
        <v>53</v>
      </c>
      <c r="C1365" s="1" t="n">
        <v>117</v>
      </c>
      <c r="D1365" s="1" t="s">
        <v>652</v>
      </c>
      <c r="E1365" s="1" t="n">
        <v>-80436.077</v>
      </c>
      <c r="F1365" s="1" t="n">
        <v>26.196</v>
      </c>
      <c r="G1365" s="1" t="n">
        <f aca="false">IF(ISNUMBER(E1365),E1365,VALUE(SUBSTITUTE(E1365,"#",".01")))</f>
        <v>-80436.077</v>
      </c>
    </row>
    <row r="1366" customFormat="false" ht="12.75" hidden="false" customHeight="false" outlineLevel="0" collapsed="false">
      <c r="A1366" s="1" t="n">
        <v>63</v>
      </c>
      <c r="B1366" s="1" t="n">
        <v>54</v>
      </c>
      <c r="C1366" s="1" t="n">
        <v>117</v>
      </c>
      <c r="D1366" s="1" t="s">
        <v>658</v>
      </c>
      <c r="E1366" s="1" t="n">
        <v>-74185.337</v>
      </c>
      <c r="F1366" s="1" t="n">
        <v>10.378</v>
      </c>
      <c r="G1366" s="1" t="n">
        <f aca="false">IF(ISNUMBER(E1366),E1366,VALUE(SUBSTITUTE(E1366,"#",".01")))</f>
        <v>-74185.337</v>
      </c>
    </row>
    <row r="1367" customFormat="false" ht="12.75" hidden="false" customHeight="false" outlineLevel="0" collapsed="false">
      <c r="A1367" s="1" t="n">
        <v>62</v>
      </c>
      <c r="B1367" s="1" t="n">
        <v>55</v>
      </c>
      <c r="C1367" s="1" t="n">
        <v>117</v>
      </c>
      <c r="D1367" s="1" t="s">
        <v>662</v>
      </c>
      <c r="E1367" s="1" t="n">
        <v>-66493.092</v>
      </c>
      <c r="F1367" s="1" t="n">
        <v>62.41</v>
      </c>
      <c r="G1367" s="1" t="n">
        <f aca="false">IF(ISNUMBER(E1367),E1367,VALUE(SUBSTITUTE(E1367,"#",".01")))</f>
        <v>-66493.092</v>
      </c>
    </row>
    <row r="1368" customFormat="false" ht="12.75" hidden="false" customHeight="false" outlineLevel="0" collapsed="false">
      <c r="A1368" s="1" t="n">
        <v>61</v>
      </c>
      <c r="B1368" s="1" t="n">
        <v>56</v>
      </c>
      <c r="C1368" s="1" t="n">
        <v>117</v>
      </c>
      <c r="D1368" s="1" t="s">
        <v>669</v>
      </c>
      <c r="E1368" s="1" t="n">
        <v>-57457.753</v>
      </c>
      <c r="F1368" s="1" t="n">
        <v>250.34</v>
      </c>
      <c r="G1368" s="1" t="n">
        <f aca="false">IF(ISNUMBER(E1368),E1368,VALUE(SUBSTITUTE(E1368,"#",".01")))</f>
        <v>-57457.753</v>
      </c>
    </row>
    <row r="1369" customFormat="false" ht="12.75" hidden="false" customHeight="false" outlineLevel="0" collapsed="false">
      <c r="A1369" s="1" t="n">
        <v>60</v>
      </c>
      <c r="B1369" s="1" t="n">
        <v>57</v>
      </c>
      <c r="C1369" s="1" t="n">
        <v>117</v>
      </c>
      <c r="D1369" s="1" t="s">
        <v>682</v>
      </c>
      <c r="E1369" s="1" t="s">
        <v>687</v>
      </c>
      <c r="F1369" s="1" t="s">
        <v>349</v>
      </c>
      <c r="G1369" s="1" t="n">
        <f aca="false">IF(ISNUMBER(E1369),E1369,VALUE(SUBSTITUTE(E1369,"#",".01")))</f>
        <v>-46471.01</v>
      </c>
    </row>
    <row r="1370" customFormat="false" ht="12.75" hidden="false" customHeight="false" outlineLevel="0" collapsed="false">
      <c r="A1370" s="1" t="n">
        <v>76</v>
      </c>
      <c r="B1370" s="1" t="n">
        <v>42</v>
      </c>
      <c r="C1370" s="1" t="n">
        <v>118</v>
      </c>
      <c r="D1370" s="1" t="s">
        <v>562</v>
      </c>
      <c r="E1370" s="1" t="s">
        <v>688</v>
      </c>
      <c r="F1370" s="1" t="s">
        <v>337</v>
      </c>
      <c r="G1370" s="1" t="n">
        <f aca="false">IF(ISNUMBER(E1370),E1370,VALUE(SUBSTITUTE(E1370,"#",".01")))</f>
        <v>-32630.01</v>
      </c>
    </row>
    <row r="1371" customFormat="false" ht="12.75" hidden="false" customHeight="false" outlineLevel="0" collapsed="false">
      <c r="A1371" s="1" t="n">
        <v>75</v>
      </c>
      <c r="B1371" s="1" t="n">
        <v>43</v>
      </c>
      <c r="C1371" s="1" t="n">
        <v>118</v>
      </c>
      <c r="D1371" s="1" t="s">
        <v>569</v>
      </c>
      <c r="E1371" s="1" t="s">
        <v>689</v>
      </c>
      <c r="F1371" s="1" t="s">
        <v>320</v>
      </c>
      <c r="G1371" s="1" t="n">
        <f aca="false">IF(ISNUMBER(E1371),E1371,VALUE(SUBSTITUTE(E1371,"#",".01")))</f>
        <v>-43790.01</v>
      </c>
    </row>
    <row r="1372" customFormat="false" ht="12.75" hidden="false" customHeight="false" outlineLevel="0" collapsed="false">
      <c r="A1372" s="1" t="n">
        <v>74</v>
      </c>
      <c r="B1372" s="1" t="n">
        <v>44</v>
      </c>
      <c r="C1372" s="1" t="n">
        <v>118</v>
      </c>
      <c r="D1372" s="1" t="s">
        <v>578</v>
      </c>
      <c r="E1372" s="1" t="s">
        <v>690</v>
      </c>
      <c r="F1372" s="1" t="s">
        <v>349</v>
      </c>
      <c r="G1372" s="1" t="n">
        <f aca="false">IF(ISNUMBER(E1372),E1372,VALUE(SUBSTITUTE(E1372,"#",".01")))</f>
        <v>-57260.01</v>
      </c>
    </row>
    <row r="1373" customFormat="false" ht="12.75" hidden="false" customHeight="false" outlineLevel="0" collapsed="false">
      <c r="A1373" s="1" t="n">
        <v>73</v>
      </c>
      <c r="B1373" s="1" t="n">
        <v>45</v>
      </c>
      <c r="C1373" s="1" t="n">
        <v>118</v>
      </c>
      <c r="D1373" s="1" t="s">
        <v>589</v>
      </c>
      <c r="E1373" s="1" t="n">
        <v>-64887.46</v>
      </c>
      <c r="F1373" s="1" t="n">
        <v>24.235</v>
      </c>
      <c r="G1373" s="1" t="n">
        <f aca="false">IF(ISNUMBER(E1373),E1373,VALUE(SUBSTITUTE(E1373,"#",".01")))</f>
        <v>-64887.46</v>
      </c>
    </row>
    <row r="1374" customFormat="false" ht="12.75" hidden="false" customHeight="false" outlineLevel="0" collapsed="false">
      <c r="A1374" s="1" t="n">
        <v>72</v>
      </c>
      <c r="B1374" s="1" t="n">
        <v>46</v>
      </c>
      <c r="C1374" s="1" t="n">
        <v>118</v>
      </c>
      <c r="D1374" s="1" t="s">
        <v>599</v>
      </c>
      <c r="E1374" s="1" t="n">
        <v>-75388.746</v>
      </c>
      <c r="F1374" s="1" t="n">
        <v>2.491</v>
      </c>
      <c r="G1374" s="1" t="n">
        <f aca="false">IF(ISNUMBER(E1374),E1374,VALUE(SUBSTITUTE(E1374,"#",".01")))</f>
        <v>-75388.746</v>
      </c>
    </row>
    <row r="1375" customFormat="false" ht="12.75" hidden="false" customHeight="false" outlineLevel="0" collapsed="false">
      <c r="A1375" s="1" t="n">
        <v>71</v>
      </c>
      <c r="B1375" s="1" t="n">
        <v>47</v>
      </c>
      <c r="C1375" s="1" t="n">
        <v>118</v>
      </c>
      <c r="D1375" s="1" t="s">
        <v>607</v>
      </c>
      <c r="E1375" s="1" t="n">
        <v>-79553.792</v>
      </c>
      <c r="F1375" s="1" t="n">
        <v>2.515</v>
      </c>
      <c r="G1375" s="1" t="n">
        <f aca="false">IF(ISNUMBER(E1375),E1375,VALUE(SUBSTITUTE(E1375,"#",".01")))</f>
        <v>-79553.792</v>
      </c>
    </row>
    <row r="1376" customFormat="false" ht="12.75" hidden="false" customHeight="false" outlineLevel="0" collapsed="false">
      <c r="A1376" s="1" t="n">
        <v>70</v>
      </c>
      <c r="B1376" s="1" t="n">
        <v>48</v>
      </c>
      <c r="C1376" s="1" t="n">
        <v>118</v>
      </c>
      <c r="D1376" s="1" t="s">
        <v>615</v>
      </c>
      <c r="E1376" s="1" t="n">
        <v>-86701.641</v>
      </c>
      <c r="F1376" s="1" t="n">
        <v>20.001</v>
      </c>
      <c r="G1376" s="1" t="n">
        <f aca="false">IF(ISNUMBER(E1376),E1376,VALUE(SUBSTITUTE(E1376,"#",".01")))</f>
        <v>-86701.641</v>
      </c>
    </row>
    <row r="1377" customFormat="false" ht="12.75" hidden="false" customHeight="false" outlineLevel="0" collapsed="false">
      <c r="A1377" s="1" t="n">
        <v>69</v>
      </c>
      <c r="B1377" s="1" t="n">
        <v>49</v>
      </c>
      <c r="C1377" s="1" t="n">
        <v>118</v>
      </c>
      <c r="D1377" s="1" t="s">
        <v>623</v>
      </c>
      <c r="E1377" s="1" t="n">
        <v>-87228.211</v>
      </c>
      <c r="F1377" s="1" t="n">
        <v>7.752</v>
      </c>
      <c r="G1377" s="1" t="n">
        <f aca="false">IF(ISNUMBER(E1377),E1377,VALUE(SUBSTITUTE(E1377,"#",".01")))</f>
        <v>-87228.211</v>
      </c>
    </row>
    <row r="1378" customFormat="false" ht="12.75" hidden="false" customHeight="false" outlineLevel="0" collapsed="false">
      <c r="A1378" s="1" t="n">
        <v>68</v>
      </c>
      <c r="B1378" s="1" t="n">
        <v>50</v>
      </c>
      <c r="C1378" s="1" t="n">
        <v>118</v>
      </c>
      <c r="D1378" s="1" t="s">
        <v>633</v>
      </c>
      <c r="E1378" s="1" t="n">
        <v>-91652.853</v>
      </c>
      <c r="F1378" s="1" t="n">
        <v>0.499</v>
      </c>
      <c r="G1378" s="1" t="n">
        <f aca="false">IF(ISNUMBER(E1378),E1378,VALUE(SUBSTITUTE(E1378,"#",".01")))</f>
        <v>-91652.853</v>
      </c>
    </row>
    <row r="1379" customFormat="false" ht="12.75" hidden="false" customHeight="false" outlineLevel="0" collapsed="false">
      <c r="A1379" s="1" t="n">
        <v>67</v>
      </c>
      <c r="B1379" s="1" t="n">
        <v>51</v>
      </c>
      <c r="C1379" s="1" t="n">
        <v>118</v>
      </c>
      <c r="D1379" s="1" t="s">
        <v>642</v>
      </c>
      <c r="E1379" s="1" t="n">
        <v>-87996.213</v>
      </c>
      <c r="F1379" s="1" t="n">
        <v>3.016</v>
      </c>
      <c r="G1379" s="1" t="n">
        <f aca="false">IF(ISNUMBER(E1379),E1379,VALUE(SUBSTITUTE(E1379,"#",".01")))</f>
        <v>-87996.213</v>
      </c>
    </row>
    <row r="1380" customFormat="false" ht="12.75" hidden="false" customHeight="false" outlineLevel="0" collapsed="false">
      <c r="A1380" s="1" t="n">
        <v>66</v>
      </c>
      <c r="B1380" s="1" t="n">
        <v>52</v>
      </c>
      <c r="C1380" s="1" t="n">
        <v>118</v>
      </c>
      <c r="D1380" s="1" t="s">
        <v>647</v>
      </c>
      <c r="E1380" s="1" t="n">
        <v>-87696.584</v>
      </c>
      <c r="F1380" s="1" t="n">
        <v>18.481</v>
      </c>
      <c r="G1380" s="1" t="n">
        <f aca="false">IF(ISNUMBER(E1380),E1380,VALUE(SUBSTITUTE(E1380,"#",".01")))</f>
        <v>-87696.584</v>
      </c>
    </row>
    <row r="1381" customFormat="false" ht="12.75" hidden="false" customHeight="false" outlineLevel="0" collapsed="false">
      <c r="A1381" s="1" t="n">
        <v>65</v>
      </c>
      <c r="B1381" s="1" t="n">
        <v>53</v>
      </c>
      <c r="C1381" s="1" t="n">
        <v>118</v>
      </c>
      <c r="D1381" s="1" t="s">
        <v>652</v>
      </c>
      <c r="E1381" s="1" t="n">
        <v>-80971.048</v>
      </c>
      <c r="F1381" s="1" t="n">
        <v>19.76</v>
      </c>
      <c r="G1381" s="1" t="n">
        <f aca="false">IF(ISNUMBER(E1381),E1381,VALUE(SUBSTITUTE(E1381,"#",".01")))</f>
        <v>-80971.048</v>
      </c>
    </row>
    <row r="1382" customFormat="false" ht="12.75" hidden="false" customHeight="false" outlineLevel="0" collapsed="false">
      <c r="A1382" s="1" t="n">
        <v>64</v>
      </c>
      <c r="B1382" s="1" t="n">
        <v>54</v>
      </c>
      <c r="C1382" s="1" t="n">
        <v>118</v>
      </c>
      <c r="D1382" s="1" t="s">
        <v>658</v>
      </c>
      <c r="E1382" s="1" t="n">
        <v>-78079.057</v>
      </c>
      <c r="F1382" s="1" t="n">
        <v>10.378</v>
      </c>
      <c r="G1382" s="1" t="n">
        <f aca="false">IF(ISNUMBER(E1382),E1382,VALUE(SUBSTITUTE(E1382,"#",".01")))</f>
        <v>-78079.057</v>
      </c>
    </row>
    <row r="1383" customFormat="false" ht="12.75" hidden="false" customHeight="false" outlineLevel="0" collapsed="false">
      <c r="A1383" s="1" t="n">
        <v>63</v>
      </c>
      <c r="B1383" s="1" t="n">
        <v>55</v>
      </c>
      <c r="C1383" s="1" t="n">
        <v>118</v>
      </c>
      <c r="D1383" s="1" t="s">
        <v>662</v>
      </c>
      <c r="E1383" s="1" t="n">
        <v>-68409.367</v>
      </c>
      <c r="F1383" s="1" t="n">
        <v>12.753</v>
      </c>
      <c r="G1383" s="1" t="n">
        <f aca="false">IF(ISNUMBER(E1383),E1383,VALUE(SUBSTITUTE(E1383,"#",".01")))</f>
        <v>-68409.367</v>
      </c>
    </row>
    <row r="1384" customFormat="false" ht="12.75" hidden="false" customHeight="false" outlineLevel="0" collapsed="false">
      <c r="A1384" s="1" t="n">
        <v>62</v>
      </c>
      <c r="B1384" s="1" t="n">
        <v>56</v>
      </c>
      <c r="C1384" s="1" t="n">
        <v>118</v>
      </c>
      <c r="D1384" s="1" t="s">
        <v>669</v>
      </c>
      <c r="E1384" s="1" t="s">
        <v>691</v>
      </c>
      <c r="F1384" s="1" t="s">
        <v>333</v>
      </c>
      <c r="G1384" s="1" t="n">
        <f aca="false">IF(ISNUMBER(E1384),E1384,VALUE(SUBSTITUTE(E1384,"#",".01")))</f>
        <v>-62354.01</v>
      </c>
    </row>
    <row r="1385" customFormat="false" ht="12.75" hidden="false" customHeight="false" outlineLevel="0" collapsed="false">
      <c r="A1385" s="1" t="n">
        <v>61</v>
      </c>
      <c r="B1385" s="1" t="n">
        <v>57</v>
      </c>
      <c r="C1385" s="1" t="n">
        <v>118</v>
      </c>
      <c r="D1385" s="1" t="s">
        <v>682</v>
      </c>
      <c r="E1385" s="1" t="s">
        <v>692</v>
      </c>
      <c r="F1385" s="1" t="s">
        <v>371</v>
      </c>
      <c r="G1385" s="1" t="n">
        <f aca="false">IF(ISNUMBER(E1385),E1385,VALUE(SUBSTITUTE(E1385,"#",".01")))</f>
        <v>-49560.01</v>
      </c>
    </row>
    <row r="1386" customFormat="false" ht="12.75" hidden="false" customHeight="false" outlineLevel="0" collapsed="false">
      <c r="A1386" s="1" t="n">
        <v>76</v>
      </c>
      <c r="B1386" s="1" t="n">
        <v>43</v>
      </c>
      <c r="C1386" s="1" t="n">
        <v>119</v>
      </c>
      <c r="D1386" s="1" t="s">
        <v>569</v>
      </c>
      <c r="E1386" s="1" t="s">
        <v>693</v>
      </c>
      <c r="F1386" s="1" t="s">
        <v>323</v>
      </c>
      <c r="G1386" s="1" t="n">
        <f aca="false">IF(ISNUMBER(E1386),E1386,VALUE(SUBSTITUTE(E1386,"#",".01")))</f>
        <v>-40371.01</v>
      </c>
    </row>
    <row r="1387" customFormat="false" ht="12.75" hidden="false" customHeight="false" outlineLevel="0" collapsed="false">
      <c r="A1387" s="1" t="n">
        <v>75</v>
      </c>
      <c r="B1387" s="1" t="n">
        <v>44</v>
      </c>
      <c r="C1387" s="1" t="n">
        <v>119</v>
      </c>
      <c r="D1387" s="1" t="s">
        <v>578</v>
      </c>
      <c r="E1387" s="1" t="s">
        <v>694</v>
      </c>
      <c r="F1387" s="1" t="s">
        <v>360</v>
      </c>
      <c r="G1387" s="1" t="n">
        <f aca="false">IF(ISNUMBER(E1387),E1387,VALUE(SUBSTITUTE(E1387,"#",".01")))</f>
        <v>-52564.01</v>
      </c>
    </row>
    <row r="1388" customFormat="false" ht="12.75" hidden="false" customHeight="false" outlineLevel="0" collapsed="false">
      <c r="A1388" s="1" t="n">
        <v>74</v>
      </c>
      <c r="B1388" s="1" t="n">
        <v>45</v>
      </c>
      <c r="C1388" s="1" t="n">
        <v>119</v>
      </c>
      <c r="D1388" s="1" t="s">
        <v>589</v>
      </c>
      <c r="E1388" s="1" t="n">
        <v>-62822.794</v>
      </c>
      <c r="F1388" s="1" t="n">
        <v>9.315</v>
      </c>
      <c r="G1388" s="1" t="n">
        <f aca="false">IF(ISNUMBER(E1388),E1388,VALUE(SUBSTITUTE(E1388,"#",".01")))</f>
        <v>-62822.794</v>
      </c>
    </row>
    <row r="1389" customFormat="false" ht="12.75" hidden="false" customHeight="false" outlineLevel="0" collapsed="false">
      <c r="A1389" s="1" t="n">
        <v>73</v>
      </c>
      <c r="B1389" s="1" t="n">
        <v>46</v>
      </c>
      <c r="C1389" s="1" t="n">
        <v>119</v>
      </c>
      <c r="D1389" s="1" t="s">
        <v>599</v>
      </c>
      <c r="E1389" s="1" t="n">
        <v>-71407.902</v>
      </c>
      <c r="F1389" s="1" t="n">
        <v>8.245</v>
      </c>
      <c r="G1389" s="1" t="n">
        <f aca="false">IF(ISNUMBER(E1389),E1389,VALUE(SUBSTITUTE(E1389,"#",".01")))</f>
        <v>-71407.902</v>
      </c>
    </row>
    <row r="1390" customFormat="false" ht="12.75" hidden="false" customHeight="false" outlineLevel="0" collapsed="false">
      <c r="A1390" s="1" t="n">
        <v>72</v>
      </c>
      <c r="B1390" s="1" t="n">
        <v>47</v>
      </c>
      <c r="C1390" s="1" t="n">
        <v>119</v>
      </c>
      <c r="D1390" s="1" t="s">
        <v>607</v>
      </c>
      <c r="E1390" s="1" t="n">
        <v>-78645.765</v>
      </c>
      <c r="F1390" s="1" t="n">
        <v>14.703</v>
      </c>
      <c r="G1390" s="1" t="n">
        <f aca="false">IF(ISNUMBER(E1390),E1390,VALUE(SUBSTITUTE(E1390,"#",".01")))</f>
        <v>-78645.765</v>
      </c>
    </row>
    <row r="1391" customFormat="false" ht="12.75" hidden="false" customHeight="false" outlineLevel="0" collapsed="false">
      <c r="A1391" s="1" t="n">
        <v>71</v>
      </c>
      <c r="B1391" s="1" t="n">
        <v>48</v>
      </c>
      <c r="C1391" s="1" t="n">
        <v>119</v>
      </c>
      <c r="D1391" s="1" t="s">
        <v>615</v>
      </c>
      <c r="E1391" s="1" t="n">
        <v>-83977.068</v>
      </c>
      <c r="F1391" s="1" t="n">
        <v>37.695</v>
      </c>
      <c r="G1391" s="1" t="n">
        <f aca="false">IF(ISNUMBER(E1391),E1391,VALUE(SUBSTITUTE(E1391,"#",".01")))</f>
        <v>-83977.068</v>
      </c>
    </row>
    <row r="1392" customFormat="false" ht="12.75" hidden="false" customHeight="false" outlineLevel="0" collapsed="false">
      <c r="A1392" s="1" t="n">
        <v>70</v>
      </c>
      <c r="B1392" s="1" t="n">
        <v>49</v>
      </c>
      <c r="C1392" s="1" t="n">
        <v>119</v>
      </c>
      <c r="D1392" s="1" t="s">
        <v>623</v>
      </c>
      <c r="E1392" s="1" t="n">
        <v>-87699.281</v>
      </c>
      <c r="F1392" s="1" t="n">
        <v>7.307</v>
      </c>
      <c r="G1392" s="1" t="n">
        <f aca="false">IF(ISNUMBER(E1392),E1392,VALUE(SUBSTITUTE(E1392,"#",".01")))</f>
        <v>-87699.281</v>
      </c>
    </row>
    <row r="1393" customFormat="false" ht="12.75" hidden="false" customHeight="false" outlineLevel="0" collapsed="false">
      <c r="A1393" s="1" t="n">
        <v>69</v>
      </c>
      <c r="B1393" s="1" t="n">
        <v>50</v>
      </c>
      <c r="C1393" s="1" t="n">
        <v>119</v>
      </c>
      <c r="D1393" s="1" t="s">
        <v>633</v>
      </c>
      <c r="E1393" s="1" t="n">
        <v>-90065.022</v>
      </c>
      <c r="F1393" s="1" t="n">
        <v>0.725</v>
      </c>
      <c r="G1393" s="1" t="n">
        <f aca="false">IF(ISNUMBER(E1393),E1393,VALUE(SUBSTITUTE(E1393,"#",".01")))</f>
        <v>-90065.022</v>
      </c>
    </row>
    <row r="1394" customFormat="false" ht="12.75" hidden="false" customHeight="false" outlineLevel="0" collapsed="false">
      <c r="A1394" s="1" t="n">
        <v>68</v>
      </c>
      <c r="B1394" s="1" t="n">
        <v>51</v>
      </c>
      <c r="C1394" s="1" t="n">
        <v>119</v>
      </c>
      <c r="D1394" s="1" t="s">
        <v>642</v>
      </c>
      <c r="E1394" s="1" t="n">
        <v>-89474.18</v>
      </c>
      <c r="F1394" s="1" t="n">
        <v>7.701</v>
      </c>
      <c r="G1394" s="1" t="n">
        <f aca="false">IF(ISNUMBER(E1394),E1394,VALUE(SUBSTITUTE(E1394,"#",".01")))</f>
        <v>-89474.18</v>
      </c>
    </row>
    <row r="1395" customFormat="false" ht="12.75" hidden="false" customHeight="false" outlineLevel="0" collapsed="false">
      <c r="A1395" s="1" t="n">
        <v>67</v>
      </c>
      <c r="B1395" s="1" t="n">
        <v>52</v>
      </c>
      <c r="C1395" s="1" t="n">
        <v>119</v>
      </c>
      <c r="D1395" s="1" t="s">
        <v>647</v>
      </c>
      <c r="E1395" s="1" t="n">
        <v>-87181.18</v>
      </c>
      <c r="F1395" s="1" t="n">
        <v>7.957</v>
      </c>
      <c r="G1395" s="1" t="n">
        <f aca="false">IF(ISNUMBER(E1395),E1395,VALUE(SUBSTITUTE(E1395,"#",".01")))</f>
        <v>-87181.18</v>
      </c>
    </row>
    <row r="1396" customFormat="false" ht="12.75" hidden="false" customHeight="false" outlineLevel="0" collapsed="false">
      <c r="A1396" s="1" t="n">
        <v>66</v>
      </c>
      <c r="B1396" s="1" t="n">
        <v>53</v>
      </c>
      <c r="C1396" s="1" t="n">
        <v>119</v>
      </c>
      <c r="D1396" s="1" t="s">
        <v>652</v>
      </c>
      <c r="E1396" s="1" t="n">
        <v>-83765.53</v>
      </c>
      <c r="F1396" s="1" t="n">
        <v>27.945</v>
      </c>
      <c r="G1396" s="1" t="n">
        <f aca="false">IF(ISNUMBER(E1396),E1396,VALUE(SUBSTITUTE(E1396,"#",".01")))</f>
        <v>-83765.53</v>
      </c>
    </row>
    <row r="1397" customFormat="false" ht="12.75" hidden="false" customHeight="false" outlineLevel="0" collapsed="false">
      <c r="A1397" s="1" t="n">
        <v>65</v>
      </c>
      <c r="B1397" s="1" t="n">
        <v>54</v>
      </c>
      <c r="C1397" s="1" t="n">
        <v>119</v>
      </c>
      <c r="D1397" s="1" t="s">
        <v>658</v>
      </c>
      <c r="E1397" s="1" t="n">
        <v>-78794.413</v>
      </c>
      <c r="F1397" s="1" t="n">
        <v>10.378</v>
      </c>
      <c r="G1397" s="1" t="n">
        <f aca="false">IF(ISNUMBER(E1397),E1397,VALUE(SUBSTITUTE(E1397,"#",".01")))</f>
        <v>-78794.413</v>
      </c>
    </row>
    <row r="1398" customFormat="false" ht="12.75" hidden="false" customHeight="false" outlineLevel="0" collapsed="false">
      <c r="A1398" s="1" t="n">
        <v>64</v>
      </c>
      <c r="B1398" s="1" t="n">
        <v>55</v>
      </c>
      <c r="C1398" s="1" t="n">
        <v>119</v>
      </c>
      <c r="D1398" s="1" t="s">
        <v>662</v>
      </c>
      <c r="E1398" s="1" t="n">
        <v>-72305.051</v>
      </c>
      <c r="F1398" s="1" t="n">
        <v>13.94</v>
      </c>
      <c r="G1398" s="1" t="n">
        <f aca="false">IF(ISNUMBER(E1398),E1398,VALUE(SUBSTITUTE(E1398,"#",".01")))</f>
        <v>-72305.051</v>
      </c>
    </row>
    <row r="1399" customFormat="false" ht="12.75" hidden="false" customHeight="false" outlineLevel="0" collapsed="false">
      <c r="A1399" s="1" t="n">
        <v>63</v>
      </c>
      <c r="B1399" s="1" t="n">
        <v>56</v>
      </c>
      <c r="C1399" s="1" t="n">
        <v>119</v>
      </c>
      <c r="D1399" s="1" t="s">
        <v>669</v>
      </c>
      <c r="E1399" s="1" t="n">
        <v>-64590.086</v>
      </c>
      <c r="F1399" s="1" t="n">
        <v>200.269</v>
      </c>
      <c r="G1399" s="1" t="n">
        <f aca="false">IF(ISNUMBER(E1399),E1399,VALUE(SUBSTITUTE(E1399,"#",".01")))</f>
        <v>-64590.086</v>
      </c>
    </row>
    <row r="1400" customFormat="false" ht="12.75" hidden="false" customHeight="false" outlineLevel="0" collapsed="false">
      <c r="A1400" s="1" t="n">
        <v>62</v>
      </c>
      <c r="B1400" s="1" t="n">
        <v>57</v>
      </c>
      <c r="C1400" s="1" t="n">
        <v>119</v>
      </c>
      <c r="D1400" s="1" t="s">
        <v>682</v>
      </c>
      <c r="E1400" s="1" t="s">
        <v>695</v>
      </c>
      <c r="F1400" s="1" t="s">
        <v>371</v>
      </c>
      <c r="G1400" s="1" t="n">
        <f aca="false">IF(ISNUMBER(E1400),E1400,VALUE(SUBSTITUTE(E1400,"#",".01")))</f>
        <v>-54790.01</v>
      </c>
    </row>
    <row r="1401" customFormat="false" ht="12.75" hidden="false" customHeight="false" outlineLevel="0" collapsed="false">
      <c r="A1401" s="1" t="n">
        <v>61</v>
      </c>
      <c r="B1401" s="1" t="n">
        <v>58</v>
      </c>
      <c r="C1401" s="1" t="n">
        <v>119</v>
      </c>
      <c r="D1401" s="1" t="s">
        <v>696</v>
      </c>
      <c r="E1401" s="1" t="s">
        <v>697</v>
      </c>
      <c r="F1401" s="1" t="s">
        <v>337</v>
      </c>
      <c r="G1401" s="1" t="n">
        <f aca="false">IF(ISNUMBER(E1401),E1401,VALUE(SUBSTITUTE(E1401,"#",".01")))</f>
        <v>-43940.01</v>
      </c>
    </row>
    <row r="1402" customFormat="false" ht="12.75" hidden="false" customHeight="false" outlineLevel="0" collapsed="false">
      <c r="A1402" s="1" t="n">
        <v>77</v>
      </c>
      <c r="B1402" s="1" t="n">
        <v>43</v>
      </c>
      <c r="C1402" s="1" t="n">
        <v>120</v>
      </c>
      <c r="D1402" s="1" t="s">
        <v>569</v>
      </c>
      <c r="E1402" s="1" t="s">
        <v>698</v>
      </c>
      <c r="F1402" s="1" t="s">
        <v>323</v>
      </c>
      <c r="G1402" s="1" t="n">
        <f aca="false">IF(ISNUMBER(E1402),E1402,VALUE(SUBSTITUTE(E1402,"#",".01")))</f>
        <v>-35518.01</v>
      </c>
    </row>
    <row r="1403" customFormat="false" ht="12.75" hidden="false" customHeight="false" outlineLevel="0" collapsed="false">
      <c r="A1403" s="1" t="n">
        <v>76</v>
      </c>
      <c r="B1403" s="1" t="n">
        <v>44</v>
      </c>
      <c r="C1403" s="1" t="n">
        <v>120</v>
      </c>
      <c r="D1403" s="1" t="s">
        <v>578</v>
      </c>
      <c r="E1403" s="1" t="s">
        <v>699</v>
      </c>
      <c r="F1403" s="1" t="s">
        <v>320</v>
      </c>
      <c r="G1403" s="1" t="n">
        <f aca="false">IF(ISNUMBER(E1403),E1403,VALUE(SUBSTITUTE(E1403,"#",".01")))</f>
        <v>-50012.01</v>
      </c>
    </row>
    <row r="1404" customFormat="false" ht="12.75" hidden="false" customHeight="false" outlineLevel="0" collapsed="false">
      <c r="A1404" s="1" t="n">
        <v>75</v>
      </c>
      <c r="B1404" s="1" t="n">
        <v>45</v>
      </c>
      <c r="C1404" s="1" t="n">
        <v>120</v>
      </c>
      <c r="D1404" s="1" t="s">
        <v>589</v>
      </c>
      <c r="E1404" s="1" t="s">
        <v>700</v>
      </c>
      <c r="F1404" s="1" t="s">
        <v>333</v>
      </c>
      <c r="G1404" s="1" t="n">
        <f aca="false">IF(ISNUMBER(E1404),E1404,VALUE(SUBSTITUTE(E1404,"#",".01")))</f>
        <v>-58815.01</v>
      </c>
    </row>
    <row r="1405" customFormat="false" ht="12.75" hidden="false" customHeight="false" outlineLevel="0" collapsed="false">
      <c r="A1405" s="1" t="n">
        <v>74</v>
      </c>
      <c r="B1405" s="1" t="n">
        <v>46</v>
      </c>
      <c r="C1405" s="1" t="n">
        <v>120</v>
      </c>
      <c r="D1405" s="1" t="s">
        <v>599</v>
      </c>
      <c r="E1405" s="1" t="n">
        <v>-70280.05</v>
      </c>
      <c r="F1405" s="1" t="n">
        <v>2.291</v>
      </c>
      <c r="G1405" s="1" t="n">
        <f aca="false">IF(ISNUMBER(E1405),E1405,VALUE(SUBSTITUTE(E1405,"#",".01")))</f>
        <v>-70280.05</v>
      </c>
    </row>
    <row r="1406" customFormat="false" ht="12.75" hidden="false" customHeight="false" outlineLevel="0" collapsed="false">
      <c r="A1406" s="1" t="n">
        <v>73</v>
      </c>
      <c r="B1406" s="1" t="n">
        <v>47</v>
      </c>
      <c r="C1406" s="1" t="n">
        <v>120</v>
      </c>
      <c r="D1406" s="1" t="s">
        <v>607</v>
      </c>
      <c r="E1406" s="1" t="n">
        <v>-75651.502</v>
      </c>
      <c r="F1406" s="1" t="n">
        <v>4.471</v>
      </c>
      <c r="G1406" s="1" t="n">
        <f aca="false">IF(ISNUMBER(E1406),E1406,VALUE(SUBSTITUTE(E1406,"#",".01")))</f>
        <v>-75651.502</v>
      </c>
    </row>
    <row r="1407" customFormat="false" ht="12.75" hidden="false" customHeight="false" outlineLevel="0" collapsed="false">
      <c r="A1407" s="1" t="n">
        <v>72</v>
      </c>
      <c r="B1407" s="1" t="n">
        <v>48</v>
      </c>
      <c r="C1407" s="1" t="n">
        <v>120</v>
      </c>
      <c r="D1407" s="1" t="s">
        <v>615</v>
      </c>
      <c r="E1407" s="1" t="n">
        <v>-83957.354</v>
      </c>
      <c r="F1407" s="1" t="n">
        <v>3.726</v>
      </c>
      <c r="G1407" s="1" t="n">
        <f aca="false">IF(ISNUMBER(E1407),E1407,VALUE(SUBSTITUTE(E1407,"#",".01")))</f>
        <v>-83957.354</v>
      </c>
    </row>
    <row r="1408" customFormat="false" ht="12.75" hidden="false" customHeight="false" outlineLevel="0" collapsed="false">
      <c r="A1408" s="1" t="n">
        <v>71</v>
      </c>
      <c r="B1408" s="1" t="n">
        <v>49</v>
      </c>
      <c r="C1408" s="1" t="n">
        <v>120</v>
      </c>
      <c r="D1408" s="1" t="s">
        <v>623</v>
      </c>
      <c r="E1408" s="1" t="n">
        <v>-85728.369</v>
      </c>
      <c r="F1408" s="1" t="n">
        <v>40.01</v>
      </c>
      <c r="G1408" s="1" t="n">
        <f aca="false">IF(ISNUMBER(E1408),E1408,VALUE(SUBSTITUTE(E1408,"#",".01")))</f>
        <v>-85728.369</v>
      </c>
    </row>
    <row r="1409" customFormat="false" ht="12.75" hidden="false" customHeight="false" outlineLevel="0" collapsed="false">
      <c r="A1409" s="1" t="n">
        <v>70</v>
      </c>
      <c r="B1409" s="1" t="n">
        <v>50</v>
      </c>
      <c r="C1409" s="1" t="n">
        <v>120</v>
      </c>
      <c r="D1409" s="1" t="s">
        <v>633</v>
      </c>
      <c r="E1409" s="1" t="n">
        <v>-91098.369</v>
      </c>
      <c r="F1409" s="1" t="n">
        <v>0.896</v>
      </c>
      <c r="G1409" s="1" t="n">
        <f aca="false">IF(ISNUMBER(E1409),E1409,VALUE(SUBSTITUTE(E1409,"#",".01")))</f>
        <v>-91098.369</v>
      </c>
    </row>
    <row r="1410" customFormat="false" ht="12.75" hidden="false" customHeight="false" outlineLevel="0" collapsed="false">
      <c r="A1410" s="1" t="n">
        <v>69</v>
      </c>
      <c r="B1410" s="1" t="n">
        <v>51</v>
      </c>
      <c r="C1410" s="1" t="n">
        <v>120</v>
      </c>
      <c r="D1410" s="1" t="s">
        <v>642</v>
      </c>
      <c r="E1410" s="1" t="n">
        <v>-88417.761</v>
      </c>
      <c r="F1410" s="1" t="n">
        <v>7.196</v>
      </c>
      <c r="G1410" s="1" t="n">
        <f aca="false">IF(ISNUMBER(E1410),E1410,VALUE(SUBSTITUTE(E1410,"#",".01")))</f>
        <v>-88417.761</v>
      </c>
    </row>
    <row r="1411" customFormat="false" ht="12.75" hidden="false" customHeight="false" outlineLevel="0" collapsed="false">
      <c r="A1411" s="1" t="n">
        <v>68</v>
      </c>
      <c r="B1411" s="1" t="n">
        <v>52</v>
      </c>
      <c r="C1411" s="1" t="n">
        <v>120</v>
      </c>
      <c r="D1411" s="1" t="s">
        <v>647</v>
      </c>
      <c r="E1411" s="1" t="n">
        <v>-89367.987</v>
      </c>
      <c r="F1411" s="1" t="n">
        <v>3.085</v>
      </c>
      <c r="G1411" s="1" t="n">
        <f aca="false">IF(ISNUMBER(E1411),E1411,VALUE(SUBSTITUTE(E1411,"#",".01")))</f>
        <v>-89367.987</v>
      </c>
    </row>
    <row r="1412" customFormat="false" ht="12.75" hidden="false" customHeight="false" outlineLevel="0" collapsed="false">
      <c r="A1412" s="1" t="n">
        <v>67</v>
      </c>
      <c r="B1412" s="1" t="n">
        <v>53</v>
      </c>
      <c r="C1412" s="1" t="n">
        <v>120</v>
      </c>
      <c r="D1412" s="1" t="s">
        <v>652</v>
      </c>
      <c r="E1412" s="1" t="n">
        <v>-83752.987</v>
      </c>
      <c r="F1412" s="1" t="n">
        <v>15.314</v>
      </c>
      <c r="G1412" s="1" t="n">
        <f aca="false">IF(ISNUMBER(E1412),E1412,VALUE(SUBSTITUTE(E1412,"#",".01")))</f>
        <v>-83752.987</v>
      </c>
    </row>
    <row r="1413" customFormat="false" ht="12.75" hidden="false" customHeight="false" outlineLevel="0" collapsed="false">
      <c r="A1413" s="1" t="n">
        <v>66</v>
      </c>
      <c r="B1413" s="1" t="n">
        <v>54</v>
      </c>
      <c r="C1413" s="1" t="n">
        <v>120</v>
      </c>
      <c r="D1413" s="1" t="s">
        <v>658</v>
      </c>
      <c r="E1413" s="1" t="n">
        <v>-82172.423</v>
      </c>
      <c r="F1413" s="1" t="n">
        <v>11.817</v>
      </c>
      <c r="G1413" s="1" t="n">
        <f aca="false">IF(ISNUMBER(E1413),E1413,VALUE(SUBSTITUTE(E1413,"#",".01")))</f>
        <v>-82172.423</v>
      </c>
    </row>
    <row r="1414" customFormat="false" ht="12.75" hidden="false" customHeight="false" outlineLevel="0" collapsed="false">
      <c r="A1414" s="1" t="n">
        <v>65</v>
      </c>
      <c r="B1414" s="1" t="n">
        <v>55</v>
      </c>
      <c r="C1414" s="1" t="n">
        <v>120</v>
      </c>
      <c r="D1414" s="1" t="s">
        <v>662</v>
      </c>
      <c r="E1414" s="1" t="n">
        <v>-73888.639</v>
      </c>
      <c r="F1414" s="1" t="n">
        <v>9.97</v>
      </c>
      <c r="G1414" s="1" t="n">
        <f aca="false">IF(ISNUMBER(E1414),E1414,VALUE(SUBSTITUTE(E1414,"#",".01")))</f>
        <v>-73888.639</v>
      </c>
    </row>
    <row r="1415" customFormat="false" ht="12.75" hidden="false" customHeight="false" outlineLevel="0" collapsed="false">
      <c r="A1415" s="1" t="n">
        <v>64</v>
      </c>
      <c r="B1415" s="1" t="n">
        <v>56</v>
      </c>
      <c r="C1415" s="1" t="n">
        <v>120</v>
      </c>
      <c r="D1415" s="1" t="s">
        <v>669</v>
      </c>
      <c r="E1415" s="1" t="n">
        <v>-68888.639</v>
      </c>
      <c r="F1415" s="1" t="n">
        <v>300.166</v>
      </c>
      <c r="G1415" s="1" t="n">
        <f aca="false">IF(ISNUMBER(E1415),E1415,VALUE(SUBSTITUTE(E1415,"#",".01")))</f>
        <v>-68888.639</v>
      </c>
    </row>
    <row r="1416" customFormat="false" ht="12.75" hidden="false" customHeight="false" outlineLevel="0" collapsed="false">
      <c r="A1416" s="1" t="n">
        <v>63</v>
      </c>
      <c r="B1416" s="1" t="n">
        <v>57</v>
      </c>
      <c r="C1416" s="1" t="n">
        <v>120</v>
      </c>
      <c r="D1416" s="1" t="s">
        <v>682</v>
      </c>
      <c r="E1416" s="1" t="s">
        <v>701</v>
      </c>
      <c r="F1416" s="1" t="s">
        <v>371</v>
      </c>
      <c r="G1416" s="1" t="n">
        <f aca="false">IF(ISNUMBER(E1416),E1416,VALUE(SUBSTITUTE(E1416,"#",".01")))</f>
        <v>-57570.01</v>
      </c>
    </row>
    <row r="1417" customFormat="false" ht="12.75" hidden="false" customHeight="false" outlineLevel="0" collapsed="false">
      <c r="A1417" s="1" t="n">
        <v>62</v>
      </c>
      <c r="B1417" s="1" t="n">
        <v>58</v>
      </c>
      <c r="C1417" s="1" t="n">
        <v>120</v>
      </c>
      <c r="D1417" s="1" t="s">
        <v>696</v>
      </c>
      <c r="E1417" s="1" t="s">
        <v>702</v>
      </c>
      <c r="F1417" s="1" t="s">
        <v>337</v>
      </c>
      <c r="G1417" s="1" t="n">
        <f aca="false">IF(ISNUMBER(E1417),E1417,VALUE(SUBSTITUTE(E1417,"#",".01")))</f>
        <v>-49600.01</v>
      </c>
    </row>
    <row r="1418" customFormat="false" ht="12.75" hidden="false" customHeight="false" outlineLevel="0" collapsed="false">
      <c r="A1418" s="1" t="n">
        <v>78</v>
      </c>
      <c r="B1418" s="1" t="n">
        <v>43</v>
      </c>
      <c r="C1418" s="1" t="n">
        <v>121</v>
      </c>
      <c r="D1418" s="1" t="s">
        <v>569</v>
      </c>
      <c r="E1418" s="1" t="s">
        <v>703</v>
      </c>
      <c r="F1418" s="1" t="s">
        <v>337</v>
      </c>
      <c r="G1418" s="1" t="n">
        <f aca="false">IF(ISNUMBER(E1418),E1418,VALUE(SUBSTITUTE(E1418,"#",".01")))</f>
        <v>-31780.01</v>
      </c>
    </row>
    <row r="1419" customFormat="false" ht="12.75" hidden="false" customHeight="false" outlineLevel="0" collapsed="false">
      <c r="A1419" s="1" t="n">
        <v>77</v>
      </c>
      <c r="B1419" s="1" t="n">
        <v>44</v>
      </c>
      <c r="C1419" s="1" t="n">
        <v>121</v>
      </c>
      <c r="D1419" s="1" t="s">
        <v>578</v>
      </c>
      <c r="E1419" s="1" t="s">
        <v>704</v>
      </c>
      <c r="F1419" s="1" t="s">
        <v>320</v>
      </c>
      <c r="G1419" s="1" t="n">
        <f aca="false">IF(ISNUMBER(E1419),E1419,VALUE(SUBSTITUTE(E1419,"#",".01")))</f>
        <v>-45047.01</v>
      </c>
    </row>
    <row r="1420" customFormat="false" ht="12.75" hidden="false" customHeight="false" outlineLevel="0" collapsed="false">
      <c r="A1420" s="1" t="n">
        <v>76</v>
      </c>
      <c r="B1420" s="1" t="n">
        <v>45</v>
      </c>
      <c r="C1420" s="1" t="n">
        <v>121</v>
      </c>
      <c r="D1420" s="1" t="s">
        <v>589</v>
      </c>
      <c r="E1420" s="1" t="n">
        <v>-56250.128</v>
      </c>
      <c r="F1420" s="1" t="n">
        <v>619.444</v>
      </c>
      <c r="G1420" s="1" t="n">
        <f aca="false">IF(ISNUMBER(E1420),E1420,VALUE(SUBSTITUTE(E1420,"#",".01")))</f>
        <v>-56250.128</v>
      </c>
    </row>
    <row r="1421" customFormat="false" ht="12.75" hidden="false" customHeight="false" outlineLevel="0" collapsed="false">
      <c r="A1421" s="1" t="n">
        <v>75</v>
      </c>
      <c r="B1421" s="1" t="n">
        <v>46</v>
      </c>
      <c r="C1421" s="1" t="n">
        <v>121</v>
      </c>
      <c r="D1421" s="1" t="s">
        <v>599</v>
      </c>
      <c r="E1421" s="1" t="n">
        <v>-66182.329</v>
      </c>
      <c r="F1421" s="1" t="n">
        <v>3.353</v>
      </c>
      <c r="G1421" s="1" t="n">
        <f aca="false">IF(ISNUMBER(E1421),E1421,VALUE(SUBSTITUTE(E1421,"#",".01")))</f>
        <v>-66182.329</v>
      </c>
    </row>
    <row r="1422" customFormat="false" ht="12.75" hidden="false" customHeight="false" outlineLevel="0" collapsed="false">
      <c r="A1422" s="1" t="n">
        <v>74</v>
      </c>
      <c r="B1422" s="1" t="n">
        <v>47</v>
      </c>
      <c r="C1422" s="1" t="n">
        <v>121</v>
      </c>
      <c r="D1422" s="1" t="s">
        <v>607</v>
      </c>
      <c r="E1422" s="1" t="n">
        <v>-74402.821</v>
      </c>
      <c r="F1422" s="1" t="n">
        <v>12.109</v>
      </c>
      <c r="G1422" s="1" t="n">
        <f aca="false">IF(ISNUMBER(E1422),E1422,VALUE(SUBSTITUTE(E1422,"#",".01")))</f>
        <v>-74402.821</v>
      </c>
    </row>
    <row r="1423" customFormat="false" ht="12.75" hidden="false" customHeight="false" outlineLevel="0" collapsed="false">
      <c r="A1423" s="1" t="n">
        <v>73</v>
      </c>
      <c r="B1423" s="1" t="n">
        <v>48</v>
      </c>
      <c r="C1423" s="1" t="n">
        <v>121</v>
      </c>
      <c r="D1423" s="1" t="s">
        <v>615</v>
      </c>
      <c r="E1423" s="1" t="n">
        <v>-81073.826</v>
      </c>
      <c r="F1423" s="1" t="n">
        <v>1.942</v>
      </c>
      <c r="G1423" s="1" t="n">
        <f aca="false">IF(ISNUMBER(E1423),E1423,VALUE(SUBSTITUTE(E1423,"#",".01")))</f>
        <v>-81073.826</v>
      </c>
    </row>
    <row r="1424" customFormat="false" ht="12.75" hidden="false" customHeight="false" outlineLevel="0" collapsed="false">
      <c r="A1424" s="1" t="n">
        <v>72</v>
      </c>
      <c r="B1424" s="1" t="n">
        <v>49</v>
      </c>
      <c r="C1424" s="1" t="n">
        <v>121</v>
      </c>
      <c r="D1424" s="1" t="s">
        <v>623</v>
      </c>
      <c r="E1424" s="1" t="n">
        <v>-85835.974</v>
      </c>
      <c r="F1424" s="1" t="n">
        <v>27.414</v>
      </c>
      <c r="G1424" s="1" t="n">
        <f aca="false">IF(ISNUMBER(E1424),E1424,VALUE(SUBSTITUTE(E1424,"#",".01")))</f>
        <v>-85835.974</v>
      </c>
    </row>
    <row r="1425" customFormat="false" ht="12.75" hidden="false" customHeight="false" outlineLevel="0" collapsed="false">
      <c r="A1425" s="1" t="n">
        <v>71</v>
      </c>
      <c r="B1425" s="1" t="n">
        <v>50</v>
      </c>
      <c r="C1425" s="1" t="n">
        <v>121</v>
      </c>
      <c r="D1425" s="1" t="s">
        <v>633</v>
      </c>
      <c r="E1425" s="1" t="n">
        <v>-89197.265</v>
      </c>
      <c r="F1425" s="1" t="n">
        <v>0.955</v>
      </c>
      <c r="G1425" s="1" t="n">
        <f aca="false">IF(ISNUMBER(E1425),E1425,VALUE(SUBSTITUTE(E1425,"#",".01")))</f>
        <v>-89197.265</v>
      </c>
    </row>
    <row r="1426" customFormat="false" ht="12.75" hidden="false" customHeight="false" outlineLevel="0" collapsed="false">
      <c r="A1426" s="1" t="n">
        <v>70</v>
      </c>
      <c r="B1426" s="1" t="n">
        <v>51</v>
      </c>
      <c r="C1426" s="1" t="n">
        <v>121</v>
      </c>
      <c r="D1426" s="1" t="s">
        <v>642</v>
      </c>
      <c r="E1426" s="1" t="n">
        <v>-89600.321</v>
      </c>
      <c r="F1426" s="1" t="n">
        <v>2.582</v>
      </c>
      <c r="G1426" s="1" t="n">
        <f aca="false">IF(ISNUMBER(E1426),E1426,VALUE(SUBSTITUTE(E1426,"#",".01")))</f>
        <v>-89600.321</v>
      </c>
    </row>
    <row r="1427" customFormat="false" ht="12.75" hidden="false" customHeight="false" outlineLevel="0" collapsed="false">
      <c r="A1427" s="1" t="n">
        <v>69</v>
      </c>
      <c r="B1427" s="1" t="n">
        <v>52</v>
      </c>
      <c r="C1427" s="1" t="n">
        <v>121</v>
      </c>
      <c r="D1427" s="1" t="s">
        <v>647</v>
      </c>
      <c r="E1427" s="1" t="n">
        <v>-88545.502</v>
      </c>
      <c r="F1427" s="1" t="n">
        <v>25.85</v>
      </c>
      <c r="G1427" s="1" t="n">
        <f aca="false">IF(ISNUMBER(E1427),E1427,VALUE(SUBSTITUTE(E1427,"#",".01")))</f>
        <v>-88545.502</v>
      </c>
    </row>
    <row r="1428" customFormat="false" ht="12.75" hidden="false" customHeight="false" outlineLevel="0" collapsed="false">
      <c r="A1428" s="1" t="n">
        <v>68</v>
      </c>
      <c r="B1428" s="1" t="n">
        <v>53</v>
      </c>
      <c r="C1428" s="1" t="n">
        <v>121</v>
      </c>
      <c r="D1428" s="1" t="s">
        <v>652</v>
      </c>
      <c r="E1428" s="1" t="n">
        <v>-86251.449</v>
      </c>
      <c r="F1428" s="1" t="n">
        <v>5.356</v>
      </c>
      <c r="G1428" s="1" t="n">
        <f aca="false">IF(ISNUMBER(E1428),E1428,VALUE(SUBSTITUTE(E1428,"#",".01")))</f>
        <v>-86251.449</v>
      </c>
    </row>
    <row r="1429" customFormat="false" ht="12.75" hidden="false" customHeight="false" outlineLevel="0" collapsed="false">
      <c r="A1429" s="1" t="n">
        <v>67</v>
      </c>
      <c r="B1429" s="1" t="n">
        <v>54</v>
      </c>
      <c r="C1429" s="1" t="n">
        <v>121</v>
      </c>
      <c r="D1429" s="1" t="s">
        <v>658</v>
      </c>
      <c r="E1429" s="1" t="n">
        <v>-82480.986</v>
      </c>
      <c r="F1429" s="1" t="n">
        <v>10.243</v>
      </c>
      <c r="G1429" s="1" t="n">
        <f aca="false">IF(ISNUMBER(E1429),E1429,VALUE(SUBSTITUTE(E1429,"#",".01")))</f>
        <v>-82480.986</v>
      </c>
    </row>
    <row r="1430" customFormat="false" ht="12.75" hidden="false" customHeight="false" outlineLevel="0" collapsed="false">
      <c r="A1430" s="1" t="n">
        <v>66</v>
      </c>
      <c r="B1430" s="1" t="n">
        <v>55</v>
      </c>
      <c r="C1430" s="1" t="n">
        <v>121</v>
      </c>
      <c r="D1430" s="1" t="s">
        <v>662</v>
      </c>
      <c r="E1430" s="1" t="n">
        <v>-77102.331</v>
      </c>
      <c r="F1430" s="1" t="n">
        <v>14.29</v>
      </c>
      <c r="G1430" s="1" t="n">
        <f aca="false">IF(ISNUMBER(E1430),E1430,VALUE(SUBSTITUTE(E1430,"#",".01")))</f>
        <v>-77102.331</v>
      </c>
    </row>
    <row r="1431" customFormat="false" ht="12.75" hidden="false" customHeight="false" outlineLevel="0" collapsed="false">
      <c r="A1431" s="1" t="n">
        <v>65</v>
      </c>
      <c r="B1431" s="1" t="n">
        <v>56</v>
      </c>
      <c r="C1431" s="1" t="n">
        <v>121</v>
      </c>
      <c r="D1431" s="1" t="s">
        <v>669</v>
      </c>
      <c r="E1431" s="1" t="n">
        <v>-70744.837</v>
      </c>
      <c r="F1431" s="1" t="n">
        <v>141.898</v>
      </c>
      <c r="G1431" s="1" t="n">
        <f aca="false">IF(ISNUMBER(E1431),E1431,VALUE(SUBSTITUTE(E1431,"#",".01")))</f>
        <v>-70744.837</v>
      </c>
    </row>
    <row r="1432" customFormat="false" ht="12.75" hidden="false" customHeight="false" outlineLevel="0" collapsed="false">
      <c r="A1432" s="1" t="n">
        <v>64</v>
      </c>
      <c r="B1432" s="1" t="n">
        <v>57</v>
      </c>
      <c r="C1432" s="1" t="n">
        <v>121</v>
      </c>
      <c r="D1432" s="1" t="s">
        <v>682</v>
      </c>
      <c r="E1432" s="1" t="s">
        <v>705</v>
      </c>
      <c r="F1432" s="1" t="s">
        <v>371</v>
      </c>
      <c r="G1432" s="1" t="n">
        <f aca="false">IF(ISNUMBER(E1432),E1432,VALUE(SUBSTITUTE(E1432,"#",".01")))</f>
        <v>-62190.01</v>
      </c>
    </row>
    <row r="1433" customFormat="false" ht="12.75" hidden="false" customHeight="false" outlineLevel="0" collapsed="false">
      <c r="A1433" s="1" t="n">
        <v>63</v>
      </c>
      <c r="B1433" s="1" t="n">
        <v>58</v>
      </c>
      <c r="C1433" s="1" t="n">
        <v>121</v>
      </c>
      <c r="D1433" s="1" t="s">
        <v>696</v>
      </c>
      <c r="E1433" s="1" t="s">
        <v>706</v>
      </c>
      <c r="F1433" s="1" t="s">
        <v>320</v>
      </c>
      <c r="G1433" s="1" t="n">
        <f aca="false">IF(ISNUMBER(E1433),E1433,VALUE(SUBSTITUTE(E1433,"#",".01")))</f>
        <v>-52690.01</v>
      </c>
    </row>
    <row r="1434" customFormat="false" ht="12.75" hidden="false" customHeight="false" outlineLevel="0" collapsed="false">
      <c r="A1434" s="1" t="n">
        <v>62</v>
      </c>
      <c r="B1434" s="1" t="n">
        <v>59</v>
      </c>
      <c r="C1434" s="1" t="n">
        <v>121</v>
      </c>
      <c r="D1434" s="1" t="s">
        <v>707</v>
      </c>
      <c r="E1434" s="1" t="s">
        <v>708</v>
      </c>
      <c r="F1434" s="1" t="s">
        <v>337</v>
      </c>
      <c r="G1434" s="1" t="n">
        <f aca="false">IF(ISNUMBER(E1434),E1434,VALUE(SUBSTITUTE(E1434,"#",".01")))</f>
        <v>-41422.01</v>
      </c>
    </row>
    <row r="1435" customFormat="false" ht="12.75" hidden="false" customHeight="false" outlineLevel="0" collapsed="false">
      <c r="A1435" s="1" t="n">
        <v>78</v>
      </c>
      <c r="B1435" s="1" t="n">
        <v>44</v>
      </c>
      <c r="C1435" s="1" t="n">
        <v>122</v>
      </c>
      <c r="D1435" s="1" t="s">
        <v>578</v>
      </c>
      <c r="E1435" s="1" t="s">
        <v>709</v>
      </c>
      <c r="F1435" s="1" t="s">
        <v>337</v>
      </c>
      <c r="G1435" s="1" t="n">
        <f aca="false">IF(ISNUMBER(E1435),E1435,VALUE(SUBSTITUTE(E1435,"#",".01")))</f>
        <v>-42150.01</v>
      </c>
    </row>
    <row r="1436" customFormat="false" ht="12.75" hidden="false" customHeight="false" outlineLevel="0" collapsed="false">
      <c r="A1436" s="1" t="n">
        <v>77</v>
      </c>
      <c r="B1436" s="1" t="n">
        <v>45</v>
      </c>
      <c r="C1436" s="1" t="n">
        <v>122</v>
      </c>
      <c r="D1436" s="1" t="s">
        <v>589</v>
      </c>
      <c r="E1436" s="1" t="s">
        <v>710</v>
      </c>
      <c r="F1436" s="1" t="s">
        <v>371</v>
      </c>
      <c r="G1436" s="1" t="n">
        <f aca="false">IF(ISNUMBER(E1436),E1436,VALUE(SUBSTITUTE(E1436,"#",".01")))</f>
        <v>-52080.01</v>
      </c>
    </row>
    <row r="1437" customFormat="false" ht="12.75" hidden="false" customHeight="false" outlineLevel="0" collapsed="false">
      <c r="A1437" s="1" t="n">
        <v>76</v>
      </c>
      <c r="B1437" s="1" t="n">
        <v>46</v>
      </c>
      <c r="C1437" s="1" t="n">
        <v>122</v>
      </c>
      <c r="D1437" s="1" t="s">
        <v>599</v>
      </c>
      <c r="E1437" s="1" t="n">
        <v>-64616.161</v>
      </c>
      <c r="F1437" s="1" t="n">
        <v>19.561</v>
      </c>
      <c r="G1437" s="1" t="n">
        <f aca="false">IF(ISNUMBER(E1437),E1437,VALUE(SUBSTITUTE(E1437,"#",".01")))</f>
        <v>-64616.161</v>
      </c>
    </row>
    <row r="1438" customFormat="false" ht="12.75" hidden="false" customHeight="false" outlineLevel="0" collapsed="false">
      <c r="A1438" s="1" t="n">
        <v>75</v>
      </c>
      <c r="B1438" s="1" t="n">
        <v>47</v>
      </c>
      <c r="C1438" s="1" t="n">
        <v>122</v>
      </c>
      <c r="D1438" s="1" t="s">
        <v>607</v>
      </c>
      <c r="E1438" s="1" t="n">
        <v>-71106.108</v>
      </c>
      <c r="F1438" s="1" t="n">
        <v>38.191</v>
      </c>
      <c r="G1438" s="1" t="n">
        <f aca="false">IF(ISNUMBER(E1438),E1438,VALUE(SUBSTITUTE(E1438,"#",".01")))</f>
        <v>-71106.108</v>
      </c>
    </row>
    <row r="1439" customFormat="false" ht="12.75" hidden="false" customHeight="false" outlineLevel="0" collapsed="false">
      <c r="A1439" s="1" t="n">
        <v>74</v>
      </c>
      <c r="B1439" s="1" t="n">
        <v>48</v>
      </c>
      <c r="C1439" s="1" t="n">
        <v>122</v>
      </c>
      <c r="D1439" s="1" t="s">
        <v>615</v>
      </c>
      <c r="E1439" s="1" t="n">
        <v>-80612.374</v>
      </c>
      <c r="F1439" s="1" t="n">
        <v>2.299</v>
      </c>
      <c r="G1439" s="1" t="n">
        <f aca="false">IF(ISNUMBER(E1439),E1439,VALUE(SUBSTITUTE(E1439,"#",".01")))</f>
        <v>-80612.374</v>
      </c>
    </row>
    <row r="1440" customFormat="false" ht="12.75" hidden="false" customHeight="false" outlineLevel="0" collapsed="false">
      <c r="A1440" s="1" t="n">
        <v>73</v>
      </c>
      <c r="B1440" s="1" t="n">
        <v>49</v>
      </c>
      <c r="C1440" s="1" t="n">
        <v>122</v>
      </c>
      <c r="D1440" s="1" t="s">
        <v>623</v>
      </c>
      <c r="E1440" s="1" t="n">
        <v>-83572.741</v>
      </c>
      <c r="F1440" s="1" t="n">
        <v>50.057</v>
      </c>
      <c r="G1440" s="1" t="n">
        <f aca="false">IF(ISNUMBER(E1440),E1440,VALUE(SUBSTITUTE(E1440,"#",".01")))</f>
        <v>-83572.741</v>
      </c>
    </row>
    <row r="1441" customFormat="false" ht="12.75" hidden="false" customHeight="false" outlineLevel="0" collapsed="false">
      <c r="A1441" s="1" t="n">
        <v>72</v>
      </c>
      <c r="B1441" s="1" t="n">
        <v>50</v>
      </c>
      <c r="C1441" s="1" t="n">
        <v>122</v>
      </c>
      <c r="D1441" s="1" t="s">
        <v>633</v>
      </c>
      <c r="E1441" s="1" t="n">
        <v>-89941.333</v>
      </c>
      <c r="F1441" s="1" t="n">
        <v>2.395</v>
      </c>
      <c r="G1441" s="1" t="n">
        <f aca="false">IF(ISNUMBER(E1441),E1441,VALUE(SUBSTITUTE(E1441,"#",".01")))</f>
        <v>-89941.333</v>
      </c>
    </row>
    <row r="1442" customFormat="false" ht="12.75" hidden="false" customHeight="false" outlineLevel="0" collapsed="false">
      <c r="A1442" s="1" t="n">
        <v>71</v>
      </c>
      <c r="B1442" s="1" t="n">
        <v>51</v>
      </c>
      <c r="C1442" s="1" t="n">
        <v>122</v>
      </c>
      <c r="D1442" s="1" t="s">
        <v>642</v>
      </c>
      <c r="E1442" s="1" t="n">
        <v>-88335.37</v>
      </c>
      <c r="F1442" s="1" t="n">
        <v>2.578</v>
      </c>
      <c r="G1442" s="1" t="n">
        <f aca="false">IF(ISNUMBER(E1442),E1442,VALUE(SUBSTITUTE(E1442,"#",".01")))</f>
        <v>-88335.37</v>
      </c>
    </row>
    <row r="1443" customFormat="false" ht="12.75" hidden="false" customHeight="false" outlineLevel="0" collapsed="false">
      <c r="A1443" s="1" t="n">
        <v>70</v>
      </c>
      <c r="B1443" s="1" t="n">
        <v>52</v>
      </c>
      <c r="C1443" s="1" t="n">
        <v>122</v>
      </c>
      <c r="D1443" s="1" t="s">
        <v>647</v>
      </c>
      <c r="E1443" s="1" t="n">
        <v>-90314.46</v>
      </c>
      <c r="F1443" s="1" t="n">
        <v>1.507</v>
      </c>
      <c r="G1443" s="1" t="n">
        <f aca="false">IF(ISNUMBER(E1443),E1443,VALUE(SUBSTITUTE(E1443,"#",".01")))</f>
        <v>-90314.46</v>
      </c>
    </row>
    <row r="1444" customFormat="false" ht="12.75" hidden="false" customHeight="false" outlineLevel="0" collapsed="false">
      <c r="A1444" s="1" t="n">
        <v>69</v>
      </c>
      <c r="B1444" s="1" t="n">
        <v>53</v>
      </c>
      <c r="C1444" s="1" t="n">
        <v>122</v>
      </c>
      <c r="D1444" s="1" t="s">
        <v>652</v>
      </c>
      <c r="E1444" s="1" t="n">
        <v>-86080.46</v>
      </c>
      <c r="F1444" s="1" t="n">
        <v>5.222</v>
      </c>
      <c r="G1444" s="1" t="n">
        <f aca="false">IF(ISNUMBER(E1444),E1444,VALUE(SUBSTITUTE(E1444,"#",".01")))</f>
        <v>-86080.46</v>
      </c>
    </row>
    <row r="1445" customFormat="false" ht="12.75" hidden="false" customHeight="false" outlineLevel="0" collapsed="false">
      <c r="A1445" s="1" t="n">
        <v>68</v>
      </c>
      <c r="B1445" s="1" t="n">
        <v>54</v>
      </c>
      <c r="C1445" s="1" t="n">
        <v>122</v>
      </c>
      <c r="D1445" s="1" t="s">
        <v>658</v>
      </c>
      <c r="E1445" s="1" t="n">
        <v>-85354.977</v>
      </c>
      <c r="F1445" s="1" t="n">
        <v>11.111</v>
      </c>
      <c r="G1445" s="1" t="n">
        <f aca="false">IF(ISNUMBER(E1445),E1445,VALUE(SUBSTITUTE(E1445,"#",".01")))</f>
        <v>-85354.977</v>
      </c>
    </row>
    <row r="1446" customFormat="false" ht="12.75" hidden="false" customHeight="false" outlineLevel="0" collapsed="false">
      <c r="A1446" s="1" t="n">
        <v>67</v>
      </c>
      <c r="B1446" s="1" t="n">
        <v>55</v>
      </c>
      <c r="C1446" s="1" t="n">
        <v>122</v>
      </c>
      <c r="D1446" s="1" t="s">
        <v>662</v>
      </c>
      <c r="E1446" s="1" t="n">
        <v>-78144.759</v>
      </c>
      <c r="F1446" s="1" t="n">
        <v>33.687</v>
      </c>
      <c r="G1446" s="1" t="n">
        <f aca="false">IF(ISNUMBER(E1446),E1446,VALUE(SUBSTITUTE(E1446,"#",".01")))</f>
        <v>-78144.759</v>
      </c>
    </row>
    <row r="1447" customFormat="false" ht="12.75" hidden="false" customHeight="false" outlineLevel="0" collapsed="false">
      <c r="A1447" s="1" t="n">
        <v>66</v>
      </c>
      <c r="B1447" s="1" t="n">
        <v>56</v>
      </c>
      <c r="C1447" s="1" t="n">
        <v>122</v>
      </c>
      <c r="D1447" s="1" t="s">
        <v>669</v>
      </c>
      <c r="E1447" s="1" t="n">
        <v>-74608.944</v>
      </c>
      <c r="F1447" s="1" t="n">
        <v>27.945</v>
      </c>
      <c r="G1447" s="1" t="n">
        <f aca="false">IF(ISNUMBER(E1447),E1447,VALUE(SUBSTITUTE(E1447,"#",".01")))</f>
        <v>-74608.944</v>
      </c>
    </row>
    <row r="1448" customFormat="false" ht="12.75" hidden="false" customHeight="false" outlineLevel="0" collapsed="false">
      <c r="A1448" s="1" t="n">
        <v>65</v>
      </c>
      <c r="B1448" s="1" t="n">
        <v>57</v>
      </c>
      <c r="C1448" s="1" t="n">
        <v>122</v>
      </c>
      <c r="D1448" s="1" t="s">
        <v>682</v>
      </c>
      <c r="E1448" s="1" t="s">
        <v>711</v>
      </c>
      <c r="F1448" s="1" t="s">
        <v>360</v>
      </c>
      <c r="G1448" s="1" t="n">
        <f aca="false">IF(ISNUMBER(E1448),E1448,VALUE(SUBSTITUTE(E1448,"#",".01")))</f>
        <v>-64543.01</v>
      </c>
    </row>
    <row r="1449" customFormat="false" ht="12.75" hidden="false" customHeight="false" outlineLevel="0" collapsed="false">
      <c r="A1449" s="1" t="n">
        <v>64</v>
      </c>
      <c r="B1449" s="1" t="n">
        <v>58</v>
      </c>
      <c r="C1449" s="1" t="n">
        <v>122</v>
      </c>
      <c r="D1449" s="1" t="s">
        <v>696</v>
      </c>
      <c r="E1449" s="1" t="s">
        <v>712</v>
      </c>
      <c r="F1449" s="1" t="s">
        <v>320</v>
      </c>
      <c r="G1449" s="1" t="n">
        <f aca="false">IF(ISNUMBER(E1449),E1449,VALUE(SUBSTITUTE(E1449,"#",".01")))</f>
        <v>-57874.01</v>
      </c>
    </row>
    <row r="1450" customFormat="false" ht="12.75" hidden="false" customHeight="false" outlineLevel="0" collapsed="false">
      <c r="A1450" s="1" t="n">
        <v>63</v>
      </c>
      <c r="B1450" s="1" t="n">
        <v>59</v>
      </c>
      <c r="C1450" s="1" t="n">
        <v>122</v>
      </c>
      <c r="D1450" s="1" t="s">
        <v>707</v>
      </c>
      <c r="E1450" s="1" t="s">
        <v>713</v>
      </c>
      <c r="F1450" s="1" t="s">
        <v>337</v>
      </c>
      <c r="G1450" s="1" t="n">
        <f aca="false">IF(ISNUMBER(E1450),E1450,VALUE(SUBSTITUTE(E1450,"#",".01")))</f>
        <v>-44780.01</v>
      </c>
    </row>
    <row r="1451" customFormat="false" ht="12.75" hidden="false" customHeight="false" outlineLevel="0" collapsed="false">
      <c r="A1451" s="1" t="n">
        <v>79</v>
      </c>
      <c r="B1451" s="1" t="n">
        <v>44</v>
      </c>
      <c r="C1451" s="1" t="n">
        <v>123</v>
      </c>
      <c r="D1451" s="1" t="s">
        <v>578</v>
      </c>
      <c r="E1451" s="1" t="s">
        <v>714</v>
      </c>
      <c r="F1451" s="1" t="s">
        <v>337</v>
      </c>
      <c r="G1451" s="1" t="n">
        <f aca="false">IF(ISNUMBER(E1451),E1451,VALUE(SUBSTITUTE(E1451,"#",".01")))</f>
        <v>-37080.01</v>
      </c>
    </row>
    <row r="1452" customFormat="false" ht="12.75" hidden="false" customHeight="false" outlineLevel="0" collapsed="false">
      <c r="A1452" s="1" t="n">
        <v>78</v>
      </c>
      <c r="B1452" s="1" t="n">
        <v>45</v>
      </c>
      <c r="C1452" s="1" t="n">
        <v>123</v>
      </c>
      <c r="D1452" s="1" t="s">
        <v>589</v>
      </c>
      <c r="E1452" s="1" t="s">
        <v>715</v>
      </c>
      <c r="F1452" s="1" t="s">
        <v>378</v>
      </c>
      <c r="G1452" s="1" t="n">
        <f aca="false">IF(ISNUMBER(E1452),E1452,VALUE(SUBSTITUTE(E1452,"#",".01")))</f>
        <v>-49360.01</v>
      </c>
    </row>
    <row r="1453" customFormat="false" ht="12.75" hidden="false" customHeight="false" outlineLevel="0" collapsed="false">
      <c r="A1453" s="1" t="n">
        <v>77</v>
      </c>
      <c r="B1453" s="1" t="n">
        <v>46</v>
      </c>
      <c r="C1453" s="1" t="n">
        <v>123</v>
      </c>
      <c r="D1453" s="1" t="s">
        <v>599</v>
      </c>
      <c r="E1453" s="1" t="n">
        <v>-60429.742</v>
      </c>
      <c r="F1453" s="1" t="n">
        <v>789.441</v>
      </c>
      <c r="G1453" s="1" t="n">
        <f aca="false">IF(ISNUMBER(E1453),E1453,VALUE(SUBSTITUTE(E1453,"#",".01")))</f>
        <v>-60429.742</v>
      </c>
    </row>
    <row r="1454" customFormat="false" ht="12.75" hidden="false" customHeight="false" outlineLevel="0" collapsed="false">
      <c r="A1454" s="1" t="n">
        <v>76</v>
      </c>
      <c r="B1454" s="1" t="n">
        <v>47</v>
      </c>
      <c r="C1454" s="1" t="n">
        <v>123</v>
      </c>
      <c r="D1454" s="1" t="s">
        <v>607</v>
      </c>
      <c r="E1454" s="1" t="n">
        <v>-69548.078</v>
      </c>
      <c r="F1454" s="1" t="n">
        <v>30.739</v>
      </c>
      <c r="G1454" s="1" t="n">
        <f aca="false">IF(ISNUMBER(E1454),E1454,VALUE(SUBSTITUTE(E1454,"#",".01")))</f>
        <v>-69548.078</v>
      </c>
    </row>
    <row r="1455" customFormat="false" ht="12.75" hidden="false" customHeight="false" outlineLevel="0" collapsed="false">
      <c r="A1455" s="1" t="n">
        <v>75</v>
      </c>
      <c r="B1455" s="1" t="n">
        <v>48</v>
      </c>
      <c r="C1455" s="1" t="n">
        <v>123</v>
      </c>
      <c r="D1455" s="1" t="s">
        <v>615</v>
      </c>
      <c r="E1455" s="1" t="n">
        <v>-77414.181</v>
      </c>
      <c r="F1455" s="1" t="n">
        <v>2.696</v>
      </c>
      <c r="G1455" s="1" t="n">
        <f aca="false">IF(ISNUMBER(E1455),E1455,VALUE(SUBSTITUTE(E1455,"#",".01")))</f>
        <v>-77414.181</v>
      </c>
    </row>
    <row r="1456" customFormat="false" ht="12.75" hidden="false" customHeight="false" outlineLevel="0" collapsed="false">
      <c r="A1456" s="1" t="n">
        <v>74</v>
      </c>
      <c r="B1456" s="1" t="n">
        <v>49</v>
      </c>
      <c r="C1456" s="1" t="n">
        <v>123</v>
      </c>
      <c r="D1456" s="1" t="s">
        <v>623</v>
      </c>
      <c r="E1456" s="1" t="n">
        <v>-83430.353</v>
      </c>
      <c r="F1456" s="1" t="n">
        <v>19.827</v>
      </c>
      <c r="G1456" s="1" t="n">
        <f aca="false">IF(ISNUMBER(E1456),E1456,VALUE(SUBSTITUTE(E1456,"#",".01")))</f>
        <v>-83430.353</v>
      </c>
    </row>
    <row r="1457" customFormat="false" ht="12.75" hidden="false" customHeight="false" outlineLevel="0" collapsed="false">
      <c r="A1457" s="1" t="n">
        <v>73</v>
      </c>
      <c r="B1457" s="1" t="n">
        <v>50</v>
      </c>
      <c r="C1457" s="1" t="n">
        <v>123</v>
      </c>
      <c r="D1457" s="1" t="s">
        <v>633</v>
      </c>
      <c r="E1457" s="1" t="n">
        <v>-87816.181</v>
      </c>
      <c r="F1457" s="1" t="n">
        <v>2.416</v>
      </c>
      <c r="G1457" s="1" t="n">
        <f aca="false">IF(ISNUMBER(E1457),E1457,VALUE(SUBSTITUTE(E1457,"#",".01")))</f>
        <v>-87816.181</v>
      </c>
    </row>
    <row r="1458" customFormat="false" ht="12.75" hidden="false" customHeight="false" outlineLevel="0" collapsed="false">
      <c r="A1458" s="1" t="n">
        <v>72</v>
      </c>
      <c r="B1458" s="1" t="n">
        <v>51</v>
      </c>
      <c r="C1458" s="1" t="n">
        <v>123</v>
      </c>
      <c r="D1458" s="1" t="s">
        <v>642</v>
      </c>
      <c r="E1458" s="1" t="n">
        <v>-89224.069</v>
      </c>
      <c r="F1458" s="1" t="n">
        <v>1.506</v>
      </c>
      <c r="G1458" s="1" t="n">
        <f aca="false">IF(ISNUMBER(E1458),E1458,VALUE(SUBSTITUTE(E1458,"#",".01")))</f>
        <v>-89224.069</v>
      </c>
    </row>
    <row r="1459" customFormat="false" ht="12.75" hidden="false" customHeight="false" outlineLevel="0" collapsed="false">
      <c r="A1459" s="1" t="n">
        <v>71</v>
      </c>
      <c r="B1459" s="1" t="n">
        <v>52</v>
      </c>
      <c r="C1459" s="1" t="n">
        <v>123</v>
      </c>
      <c r="D1459" s="1" t="s">
        <v>647</v>
      </c>
      <c r="E1459" s="1" t="n">
        <v>-89172.156</v>
      </c>
      <c r="F1459" s="1" t="n">
        <v>1.505</v>
      </c>
      <c r="G1459" s="1" t="n">
        <f aca="false">IF(ISNUMBER(E1459),E1459,VALUE(SUBSTITUTE(E1459,"#",".01")))</f>
        <v>-89172.156</v>
      </c>
    </row>
    <row r="1460" customFormat="false" ht="12.75" hidden="false" customHeight="false" outlineLevel="0" collapsed="false">
      <c r="A1460" s="1" t="n">
        <v>70</v>
      </c>
      <c r="B1460" s="1" t="n">
        <v>53</v>
      </c>
      <c r="C1460" s="1" t="n">
        <v>123</v>
      </c>
      <c r="D1460" s="1" t="s">
        <v>652</v>
      </c>
      <c r="E1460" s="1" t="n">
        <v>-87943.727</v>
      </c>
      <c r="F1460" s="1" t="n">
        <v>3.74</v>
      </c>
      <c r="G1460" s="1" t="n">
        <f aca="false">IF(ISNUMBER(E1460),E1460,VALUE(SUBSTITUTE(E1460,"#",".01")))</f>
        <v>-87943.727</v>
      </c>
    </row>
    <row r="1461" customFormat="false" ht="12.75" hidden="false" customHeight="false" outlineLevel="0" collapsed="false">
      <c r="A1461" s="1" t="n">
        <v>69</v>
      </c>
      <c r="B1461" s="1" t="n">
        <v>54</v>
      </c>
      <c r="C1461" s="1" t="n">
        <v>123</v>
      </c>
      <c r="D1461" s="1" t="s">
        <v>658</v>
      </c>
      <c r="E1461" s="1" t="n">
        <v>-85248.701</v>
      </c>
      <c r="F1461" s="1" t="n">
        <v>9.537</v>
      </c>
      <c r="G1461" s="1" t="n">
        <f aca="false">IF(ISNUMBER(E1461),E1461,VALUE(SUBSTITUTE(E1461,"#",".01")))</f>
        <v>-85248.701</v>
      </c>
    </row>
    <row r="1462" customFormat="false" ht="12.75" hidden="false" customHeight="false" outlineLevel="0" collapsed="false">
      <c r="A1462" s="1" t="n">
        <v>68</v>
      </c>
      <c r="B1462" s="1" t="n">
        <v>55</v>
      </c>
      <c r="C1462" s="1" t="n">
        <v>123</v>
      </c>
      <c r="D1462" s="1" t="s">
        <v>662</v>
      </c>
      <c r="E1462" s="1" t="n">
        <v>-81043.646</v>
      </c>
      <c r="F1462" s="1" t="n">
        <v>12.109</v>
      </c>
      <c r="G1462" s="1" t="n">
        <f aca="false">IF(ISNUMBER(E1462),E1462,VALUE(SUBSTITUTE(E1462,"#",".01")))</f>
        <v>-81043.646</v>
      </c>
    </row>
    <row r="1463" customFormat="false" ht="12.75" hidden="false" customHeight="false" outlineLevel="0" collapsed="false">
      <c r="A1463" s="1" t="n">
        <v>67</v>
      </c>
      <c r="B1463" s="1" t="n">
        <v>56</v>
      </c>
      <c r="C1463" s="1" t="n">
        <v>123</v>
      </c>
      <c r="D1463" s="1" t="s">
        <v>669</v>
      </c>
      <c r="E1463" s="1" t="n">
        <v>-75654.953</v>
      </c>
      <c r="F1463" s="1" t="n">
        <v>12.109</v>
      </c>
      <c r="G1463" s="1" t="n">
        <f aca="false">IF(ISNUMBER(E1463),E1463,VALUE(SUBSTITUTE(E1463,"#",".01")))</f>
        <v>-75654.953</v>
      </c>
    </row>
    <row r="1464" customFormat="false" ht="12.75" hidden="false" customHeight="false" outlineLevel="0" collapsed="false">
      <c r="A1464" s="1" t="n">
        <v>66</v>
      </c>
      <c r="B1464" s="1" t="n">
        <v>57</v>
      </c>
      <c r="C1464" s="1" t="n">
        <v>123</v>
      </c>
      <c r="D1464" s="1" t="s">
        <v>682</v>
      </c>
      <c r="E1464" s="1" t="s">
        <v>716</v>
      </c>
      <c r="F1464" s="1" t="s">
        <v>333</v>
      </c>
      <c r="G1464" s="1" t="n">
        <f aca="false">IF(ISNUMBER(E1464),E1464,VALUE(SUBSTITUTE(E1464,"#",".01")))</f>
        <v>-68651.01</v>
      </c>
    </row>
    <row r="1465" customFormat="false" ht="12.75" hidden="false" customHeight="false" outlineLevel="0" collapsed="false">
      <c r="A1465" s="1" t="n">
        <v>65</v>
      </c>
      <c r="B1465" s="1" t="n">
        <v>58</v>
      </c>
      <c r="C1465" s="1" t="n">
        <v>123</v>
      </c>
      <c r="D1465" s="1" t="s">
        <v>696</v>
      </c>
      <c r="E1465" s="1" t="s">
        <v>717</v>
      </c>
      <c r="F1465" s="1" t="s">
        <v>360</v>
      </c>
      <c r="G1465" s="1" t="n">
        <f aca="false">IF(ISNUMBER(E1465),E1465,VALUE(SUBSTITUTE(E1465,"#",".01")))</f>
        <v>-60286.01</v>
      </c>
    </row>
    <row r="1466" customFormat="false" ht="12.75" hidden="false" customHeight="false" outlineLevel="0" collapsed="false">
      <c r="A1466" s="1" t="n">
        <v>64</v>
      </c>
      <c r="B1466" s="1" t="n">
        <v>59</v>
      </c>
      <c r="C1466" s="1" t="n">
        <v>123</v>
      </c>
      <c r="D1466" s="1" t="s">
        <v>707</v>
      </c>
      <c r="E1466" s="1" t="s">
        <v>718</v>
      </c>
      <c r="F1466" s="1" t="s">
        <v>378</v>
      </c>
      <c r="G1466" s="1" t="n">
        <f aca="false">IF(ISNUMBER(E1466),E1466,VALUE(SUBSTITUTE(E1466,"#",".01")))</f>
        <v>-50230.01</v>
      </c>
    </row>
    <row r="1467" customFormat="false" ht="12.75" hidden="false" customHeight="false" outlineLevel="0" collapsed="false">
      <c r="A1467" s="1" t="n">
        <v>80</v>
      </c>
      <c r="B1467" s="1" t="n">
        <v>44</v>
      </c>
      <c r="C1467" s="1" t="n">
        <v>124</v>
      </c>
      <c r="D1467" s="1" t="s">
        <v>578</v>
      </c>
      <c r="E1467" s="1" t="s">
        <v>719</v>
      </c>
      <c r="F1467" s="1" t="s">
        <v>387</v>
      </c>
      <c r="G1467" s="1" t="n">
        <f aca="false">IF(ISNUMBER(E1467),E1467,VALUE(SUBSTITUTE(E1467,"#",".01")))</f>
        <v>-33960.01</v>
      </c>
    </row>
    <row r="1468" customFormat="false" ht="12.75" hidden="false" customHeight="false" outlineLevel="0" collapsed="false">
      <c r="A1468" s="1" t="n">
        <v>79</v>
      </c>
      <c r="B1468" s="1" t="n">
        <v>45</v>
      </c>
      <c r="C1468" s="1" t="n">
        <v>124</v>
      </c>
      <c r="D1468" s="1" t="s">
        <v>589</v>
      </c>
      <c r="E1468" s="1" t="s">
        <v>720</v>
      </c>
      <c r="F1468" s="1" t="s">
        <v>378</v>
      </c>
      <c r="G1468" s="1" t="n">
        <f aca="false">IF(ISNUMBER(E1468),E1468,VALUE(SUBSTITUTE(E1468,"#",".01")))</f>
        <v>-44890.01</v>
      </c>
    </row>
    <row r="1469" customFormat="false" ht="12.75" hidden="false" customHeight="false" outlineLevel="0" collapsed="false">
      <c r="A1469" s="1" t="n">
        <v>78</v>
      </c>
      <c r="B1469" s="1" t="n">
        <v>46</v>
      </c>
      <c r="C1469" s="1" t="n">
        <v>124</v>
      </c>
      <c r="D1469" s="1" t="s">
        <v>599</v>
      </c>
      <c r="E1469" s="1" t="s">
        <v>721</v>
      </c>
      <c r="F1469" s="1" t="s">
        <v>360</v>
      </c>
      <c r="G1469" s="1" t="n">
        <f aca="false">IF(ISNUMBER(E1469),E1469,VALUE(SUBSTITUTE(E1469,"#",".01")))</f>
        <v>-58390.01</v>
      </c>
    </row>
    <row r="1470" customFormat="false" ht="12.75" hidden="false" customHeight="false" outlineLevel="0" collapsed="false">
      <c r="A1470" s="1" t="n">
        <v>77</v>
      </c>
      <c r="B1470" s="1" t="n">
        <v>47</v>
      </c>
      <c r="C1470" s="1" t="n">
        <v>124</v>
      </c>
      <c r="D1470" s="1" t="s">
        <v>607</v>
      </c>
      <c r="E1470" s="1" t="n">
        <v>-66200.134</v>
      </c>
      <c r="F1470" s="1" t="n">
        <v>251.503</v>
      </c>
      <c r="G1470" s="1" t="n">
        <f aca="false">IF(ISNUMBER(E1470),E1470,VALUE(SUBSTITUTE(E1470,"#",".01")))</f>
        <v>-66200.134</v>
      </c>
    </row>
    <row r="1471" customFormat="false" ht="12.75" hidden="false" customHeight="false" outlineLevel="0" collapsed="false">
      <c r="A1471" s="1" t="n">
        <v>76</v>
      </c>
      <c r="B1471" s="1" t="n">
        <v>48</v>
      </c>
      <c r="C1471" s="1" t="n">
        <v>124</v>
      </c>
      <c r="D1471" s="1" t="s">
        <v>615</v>
      </c>
      <c r="E1471" s="1" t="n">
        <v>-76701.672</v>
      </c>
      <c r="F1471" s="1" t="n">
        <v>2.995</v>
      </c>
      <c r="G1471" s="1" t="n">
        <f aca="false">IF(ISNUMBER(E1471),E1471,VALUE(SUBSTITUTE(E1471,"#",".01")))</f>
        <v>-76701.672</v>
      </c>
    </row>
    <row r="1472" customFormat="false" ht="12.75" hidden="false" customHeight="false" outlineLevel="0" collapsed="false">
      <c r="A1472" s="1" t="n">
        <v>75</v>
      </c>
      <c r="B1472" s="1" t="n">
        <v>49</v>
      </c>
      <c r="C1472" s="1" t="n">
        <v>124</v>
      </c>
      <c r="D1472" s="1" t="s">
        <v>623</v>
      </c>
      <c r="E1472" s="1" t="n">
        <v>-80870.201</v>
      </c>
      <c r="F1472" s="1" t="n">
        <v>30.572</v>
      </c>
      <c r="G1472" s="1" t="n">
        <f aca="false">IF(ISNUMBER(E1472),E1472,VALUE(SUBSTITUTE(E1472,"#",".01")))</f>
        <v>-80870.201</v>
      </c>
    </row>
    <row r="1473" customFormat="false" ht="12.75" hidden="false" customHeight="false" outlineLevel="0" collapsed="false">
      <c r="A1473" s="1" t="n">
        <v>74</v>
      </c>
      <c r="B1473" s="1" t="n">
        <v>50</v>
      </c>
      <c r="C1473" s="1" t="n">
        <v>124</v>
      </c>
      <c r="D1473" s="1" t="s">
        <v>633</v>
      </c>
      <c r="E1473" s="1" t="n">
        <v>-88234.193</v>
      </c>
      <c r="F1473" s="1" t="n">
        <v>1.014</v>
      </c>
      <c r="G1473" s="1" t="n">
        <f aca="false">IF(ISNUMBER(E1473),E1473,VALUE(SUBSTITUTE(E1473,"#",".01")))</f>
        <v>-88234.193</v>
      </c>
    </row>
    <row r="1474" customFormat="false" ht="12.75" hidden="false" customHeight="false" outlineLevel="0" collapsed="false">
      <c r="A1474" s="1" t="n">
        <v>73</v>
      </c>
      <c r="B1474" s="1" t="n">
        <v>51</v>
      </c>
      <c r="C1474" s="1" t="n">
        <v>124</v>
      </c>
      <c r="D1474" s="1" t="s">
        <v>642</v>
      </c>
      <c r="E1474" s="1" t="n">
        <v>-87620.248</v>
      </c>
      <c r="F1474" s="1" t="n">
        <v>1.507</v>
      </c>
      <c r="G1474" s="1" t="n">
        <f aca="false">IF(ISNUMBER(E1474),E1474,VALUE(SUBSTITUTE(E1474,"#",".01")))</f>
        <v>-87620.248</v>
      </c>
    </row>
    <row r="1475" customFormat="false" ht="12.75" hidden="false" customHeight="false" outlineLevel="0" collapsed="false">
      <c r="A1475" s="1" t="n">
        <v>72</v>
      </c>
      <c r="B1475" s="1" t="n">
        <v>52</v>
      </c>
      <c r="C1475" s="1" t="n">
        <v>124</v>
      </c>
      <c r="D1475" s="1" t="s">
        <v>647</v>
      </c>
      <c r="E1475" s="1" t="n">
        <v>-90525.321</v>
      </c>
      <c r="F1475" s="1" t="n">
        <v>1.502</v>
      </c>
      <c r="G1475" s="1" t="n">
        <f aca="false">IF(ISNUMBER(E1475),E1475,VALUE(SUBSTITUTE(E1475,"#",".01")))</f>
        <v>-90525.321</v>
      </c>
    </row>
    <row r="1476" customFormat="false" ht="12.75" hidden="false" customHeight="false" outlineLevel="0" collapsed="false">
      <c r="A1476" s="1" t="n">
        <v>71</v>
      </c>
      <c r="B1476" s="1" t="n">
        <v>53</v>
      </c>
      <c r="C1476" s="1" t="n">
        <v>124</v>
      </c>
      <c r="D1476" s="1" t="s">
        <v>652</v>
      </c>
      <c r="E1476" s="1" t="n">
        <v>-87365.734</v>
      </c>
      <c r="F1476" s="1" t="n">
        <v>2.39</v>
      </c>
      <c r="G1476" s="1" t="n">
        <f aca="false">IF(ISNUMBER(E1476),E1476,VALUE(SUBSTITUTE(E1476,"#",".01")))</f>
        <v>-87365.734</v>
      </c>
    </row>
    <row r="1477" customFormat="false" ht="12.75" hidden="false" customHeight="false" outlineLevel="0" collapsed="false">
      <c r="A1477" s="1" t="n">
        <v>70</v>
      </c>
      <c r="B1477" s="1" t="n">
        <v>54</v>
      </c>
      <c r="C1477" s="1" t="n">
        <v>124</v>
      </c>
      <c r="D1477" s="1" t="s">
        <v>658</v>
      </c>
      <c r="E1477" s="1" t="n">
        <v>-87661.421</v>
      </c>
      <c r="F1477" s="1" t="n">
        <v>1.793</v>
      </c>
      <c r="G1477" s="1" t="n">
        <f aca="false">IF(ISNUMBER(E1477),E1477,VALUE(SUBSTITUTE(E1477,"#",".01")))</f>
        <v>-87661.421</v>
      </c>
    </row>
    <row r="1478" customFormat="false" ht="12.75" hidden="false" customHeight="false" outlineLevel="0" collapsed="false">
      <c r="A1478" s="1" t="n">
        <v>69</v>
      </c>
      <c r="B1478" s="1" t="n">
        <v>55</v>
      </c>
      <c r="C1478" s="1" t="n">
        <v>124</v>
      </c>
      <c r="D1478" s="1" t="s">
        <v>662</v>
      </c>
      <c r="E1478" s="1" t="n">
        <v>-81731.334</v>
      </c>
      <c r="F1478" s="1" t="n">
        <v>8.304</v>
      </c>
      <c r="G1478" s="1" t="n">
        <f aca="false">IF(ISNUMBER(E1478),E1478,VALUE(SUBSTITUTE(E1478,"#",".01")))</f>
        <v>-81731.334</v>
      </c>
    </row>
    <row r="1479" customFormat="false" ht="12.75" hidden="false" customHeight="false" outlineLevel="0" collapsed="false">
      <c r="A1479" s="1" t="n">
        <v>68</v>
      </c>
      <c r="B1479" s="1" t="n">
        <v>56</v>
      </c>
      <c r="C1479" s="1" t="n">
        <v>124</v>
      </c>
      <c r="D1479" s="1" t="s">
        <v>669</v>
      </c>
      <c r="E1479" s="1" t="n">
        <v>-79089.775</v>
      </c>
      <c r="F1479" s="1" t="n">
        <v>12.497</v>
      </c>
      <c r="G1479" s="1" t="n">
        <f aca="false">IF(ISNUMBER(E1479),E1479,VALUE(SUBSTITUTE(E1479,"#",".01")))</f>
        <v>-79089.775</v>
      </c>
    </row>
    <row r="1480" customFormat="false" ht="12.75" hidden="false" customHeight="false" outlineLevel="0" collapsed="false">
      <c r="A1480" s="1" t="n">
        <v>67</v>
      </c>
      <c r="B1480" s="1" t="n">
        <v>57</v>
      </c>
      <c r="C1480" s="1" t="n">
        <v>124</v>
      </c>
      <c r="D1480" s="1" t="s">
        <v>682</v>
      </c>
      <c r="E1480" s="1" t="n">
        <v>-70258.61</v>
      </c>
      <c r="F1480" s="1" t="n">
        <v>56.669</v>
      </c>
      <c r="G1480" s="1" t="n">
        <f aca="false">IF(ISNUMBER(E1480),E1480,VALUE(SUBSTITUTE(E1480,"#",".01")))</f>
        <v>-70258.61</v>
      </c>
    </row>
    <row r="1481" customFormat="false" ht="12.75" hidden="false" customHeight="false" outlineLevel="0" collapsed="false">
      <c r="A1481" s="1" t="n">
        <v>66</v>
      </c>
      <c r="B1481" s="1" t="n">
        <v>58</v>
      </c>
      <c r="C1481" s="1" t="n">
        <v>124</v>
      </c>
      <c r="D1481" s="1" t="s">
        <v>696</v>
      </c>
      <c r="E1481" s="1" t="s">
        <v>722</v>
      </c>
      <c r="F1481" s="1" t="s">
        <v>360</v>
      </c>
      <c r="G1481" s="1" t="n">
        <f aca="false">IF(ISNUMBER(E1481),E1481,VALUE(SUBSTITUTE(E1481,"#",".01")))</f>
        <v>-64916.01</v>
      </c>
    </row>
    <row r="1482" customFormat="false" ht="12.75" hidden="false" customHeight="false" outlineLevel="0" collapsed="false">
      <c r="A1482" s="1" t="n">
        <v>65</v>
      </c>
      <c r="B1482" s="1" t="n">
        <v>59</v>
      </c>
      <c r="C1482" s="1" t="n">
        <v>124</v>
      </c>
      <c r="D1482" s="1" t="s">
        <v>707</v>
      </c>
      <c r="E1482" s="1" t="s">
        <v>723</v>
      </c>
      <c r="F1482" s="1" t="s">
        <v>320</v>
      </c>
      <c r="G1482" s="1" t="n">
        <f aca="false">IF(ISNUMBER(E1482),E1482,VALUE(SUBSTITUTE(E1482,"#",".01")))</f>
        <v>-53151.01</v>
      </c>
    </row>
    <row r="1483" customFormat="false" ht="12.75" hidden="false" customHeight="false" outlineLevel="0" collapsed="false">
      <c r="A1483" s="1" t="n">
        <v>64</v>
      </c>
      <c r="B1483" s="1" t="n">
        <v>60</v>
      </c>
      <c r="C1483" s="1" t="n">
        <v>124</v>
      </c>
      <c r="D1483" s="1" t="s">
        <v>724</v>
      </c>
      <c r="E1483" s="1" t="s">
        <v>725</v>
      </c>
      <c r="F1483" s="1" t="s">
        <v>323</v>
      </c>
      <c r="G1483" s="1" t="n">
        <f aca="false">IF(ISNUMBER(E1483),E1483,VALUE(SUBSTITUTE(E1483,"#",".01")))</f>
        <v>-44525.01</v>
      </c>
    </row>
    <row r="1484" customFormat="false" ht="12.75" hidden="false" customHeight="false" outlineLevel="0" collapsed="false">
      <c r="A1484" s="1" t="n">
        <v>80</v>
      </c>
      <c r="B1484" s="1" t="n">
        <v>45</v>
      </c>
      <c r="C1484" s="1" t="n">
        <v>125</v>
      </c>
      <c r="D1484" s="1" t="s">
        <v>589</v>
      </c>
      <c r="E1484" s="1" t="s">
        <v>726</v>
      </c>
      <c r="F1484" s="1" t="s">
        <v>337</v>
      </c>
      <c r="G1484" s="1" t="n">
        <f aca="false">IF(ISNUMBER(E1484),E1484,VALUE(SUBSTITUTE(E1484,"#",".01")))</f>
        <v>-42000.01</v>
      </c>
    </row>
    <row r="1485" customFormat="false" ht="12.75" hidden="false" customHeight="false" outlineLevel="0" collapsed="false">
      <c r="A1485" s="1" t="n">
        <v>79</v>
      </c>
      <c r="B1485" s="1" t="n">
        <v>46</v>
      </c>
      <c r="C1485" s="1" t="n">
        <v>125</v>
      </c>
      <c r="D1485" s="1" t="s">
        <v>599</v>
      </c>
      <c r="E1485" s="1" t="s">
        <v>727</v>
      </c>
      <c r="F1485" s="1" t="s">
        <v>378</v>
      </c>
      <c r="G1485" s="1" t="n">
        <f aca="false">IF(ISNUMBER(E1485),E1485,VALUE(SUBSTITUTE(E1485,"#",".01")))</f>
        <v>-54120.01</v>
      </c>
    </row>
    <row r="1486" customFormat="false" ht="12.75" hidden="false" customHeight="false" outlineLevel="0" collapsed="false">
      <c r="A1486" s="1" t="n">
        <v>78</v>
      </c>
      <c r="B1486" s="1" t="n">
        <v>47</v>
      </c>
      <c r="C1486" s="1" t="n">
        <v>125</v>
      </c>
      <c r="D1486" s="1" t="s">
        <v>607</v>
      </c>
      <c r="E1486" s="1" t="n">
        <v>-64519.932</v>
      </c>
      <c r="F1486" s="1" t="n">
        <v>433.145</v>
      </c>
      <c r="G1486" s="1" t="n">
        <f aca="false">IF(ISNUMBER(E1486),E1486,VALUE(SUBSTITUTE(E1486,"#",".01")))</f>
        <v>-64519.932</v>
      </c>
    </row>
    <row r="1487" customFormat="false" ht="12.75" hidden="false" customHeight="false" outlineLevel="0" collapsed="false">
      <c r="A1487" s="1" t="n">
        <v>77</v>
      </c>
      <c r="B1487" s="1" t="n">
        <v>48</v>
      </c>
      <c r="C1487" s="1" t="n">
        <v>125</v>
      </c>
      <c r="D1487" s="1" t="s">
        <v>615</v>
      </c>
      <c r="E1487" s="1" t="n">
        <v>-73348.095</v>
      </c>
      <c r="F1487" s="1" t="n">
        <v>2.885</v>
      </c>
      <c r="G1487" s="1" t="n">
        <f aca="false">IF(ISNUMBER(E1487),E1487,VALUE(SUBSTITUTE(E1487,"#",".01")))</f>
        <v>-73348.095</v>
      </c>
    </row>
    <row r="1488" customFormat="false" ht="12.75" hidden="false" customHeight="false" outlineLevel="0" collapsed="false">
      <c r="A1488" s="1" t="n">
        <v>76</v>
      </c>
      <c r="B1488" s="1" t="n">
        <v>49</v>
      </c>
      <c r="C1488" s="1" t="n">
        <v>125</v>
      </c>
      <c r="D1488" s="1" t="s">
        <v>623</v>
      </c>
      <c r="E1488" s="1" t="n">
        <v>-80476.805</v>
      </c>
      <c r="F1488" s="1" t="n">
        <v>27.023</v>
      </c>
      <c r="G1488" s="1" t="n">
        <f aca="false">IF(ISNUMBER(E1488),E1488,VALUE(SUBSTITUTE(E1488,"#",".01")))</f>
        <v>-80476.805</v>
      </c>
    </row>
    <row r="1489" customFormat="false" ht="12.75" hidden="false" customHeight="false" outlineLevel="0" collapsed="false">
      <c r="A1489" s="1" t="n">
        <v>75</v>
      </c>
      <c r="B1489" s="1" t="n">
        <v>50</v>
      </c>
      <c r="C1489" s="1" t="n">
        <v>125</v>
      </c>
      <c r="D1489" s="1" t="s">
        <v>633</v>
      </c>
      <c r="E1489" s="1" t="n">
        <v>-85896.376</v>
      </c>
      <c r="F1489" s="1" t="n">
        <v>1.033</v>
      </c>
      <c r="G1489" s="1" t="n">
        <f aca="false">IF(ISNUMBER(E1489),E1489,VALUE(SUBSTITUTE(E1489,"#",".01")))</f>
        <v>-85896.376</v>
      </c>
    </row>
    <row r="1490" customFormat="false" ht="12.75" hidden="false" customHeight="false" outlineLevel="0" collapsed="false">
      <c r="A1490" s="1" t="n">
        <v>74</v>
      </c>
      <c r="B1490" s="1" t="n">
        <v>51</v>
      </c>
      <c r="C1490" s="1" t="n">
        <v>125</v>
      </c>
      <c r="D1490" s="1" t="s">
        <v>642</v>
      </c>
      <c r="E1490" s="1" t="n">
        <v>-88256.274</v>
      </c>
      <c r="F1490" s="1" t="n">
        <v>2.599</v>
      </c>
      <c r="G1490" s="1" t="n">
        <f aca="false">IF(ISNUMBER(E1490),E1490,VALUE(SUBSTITUTE(E1490,"#",".01")))</f>
        <v>-88256.274</v>
      </c>
    </row>
    <row r="1491" customFormat="false" ht="12.75" hidden="false" customHeight="false" outlineLevel="0" collapsed="false">
      <c r="A1491" s="1" t="n">
        <v>73</v>
      </c>
      <c r="B1491" s="1" t="n">
        <v>52</v>
      </c>
      <c r="C1491" s="1" t="n">
        <v>125</v>
      </c>
      <c r="D1491" s="1" t="s">
        <v>647</v>
      </c>
      <c r="E1491" s="1" t="n">
        <v>-89022.974</v>
      </c>
      <c r="F1491" s="1" t="n">
        <v>1.502</v>
      </c>
      <c r="G1491" s="1" t="n">
        <f aca="false">IF(ISNUMBER(E1491),E1491,VALUE(SUBSTITUTE(E1491,"#",".01")))</f>
        <v>-89022.974</v>
      </c>
    </row>
    <row r="1492" customFormat="false" ht="12.75" hidden="false" customHeight="false" outlineLevel="0" collapsed="false">
      <c r="A1492" s="1" t="n">
        <v>72</v>
      </c>
      <c r="B1492" s="1" t="n">
        <v>53</v>
      </c>
      <c r="C1492" s="1" t="n">
        <v>125</v>
      </c>
      <c r="D1492" s="1" t="s">
        <v>652</v>
      </c>
      <c r="E1492" s="1" t="n">
        <v>-88837.204</v>
      </c>
      <c r="F1492" s="1" t="n">
        <v>1.504</v>
      </c>
      <c r="G1492" s="1" t="n">
        <f aca="false">IF(ISNUMBER(E1492),E1492,VALUE(SUBSTITUTE(E1492,"#",".01")))</f>
        <v>-88837.204</v>
      </c>
    </row>
    <row r="1493" customFormat="false" ht="12.75" hidden="false" customHeight="false" outlineLevel="0" collapsed="false">
      <c r="A1493" s="1" t="n">
        <v>71</v>
      </c>
      <c r="B1493" s="1" t="n">
        <v>54</v>
      </c>
      <c r="C1493" s="1" t="n">
        <v>125</v>
      </c>
      <c r="D1493" s="1" t="s">
        <v>658</v>
      </c>
      <c r="E1493" s="1" t="n">
        <v>-87193.381</v>
      </c>
      <c r="F1493" s="1" t="n">
        <v>1.836</v>
      </c>
      <c r="G1493" s="1" t="n">
        <f aca="false">IF(ISNUMBER(E1493),E1493,VALUE(SUBSTITUTE(E1493,"#",".01")))</f>
        <v>-87193.381</v>
      </c>
    </row>
    <row r="1494" customFormat="false" ht="12.75" hidden="false" customHeight="false" outlineLevel="0" collapsed="false">
      <c r="A1494" s="1" t="n">
        <v>70</v>
      </c>
      <c r="B1494" s="1" t="n">
        <v>55</v>
      </c>
      <c r="C1494" s="1" t="n">
        <v>125</v>
      </c>
      <c r="D1494" s="1" t="s">
        <v>662</v>
      </c>
      <c r="E1494" s="1" t="n">
        <v>-84087.95</v>
      </c>
      <c r="F1494" s="1" t="n">
        <v>7.744</v>
      </c>
      <c r="G1494" s="1" t="n">
        <f aca="false">IF(ISNUMBER(E1494),E1494,VALUE(SUBSTITUTE(E1494,"#",".01")))</f>
        <v>-84087.95</v>
      </c>
    </row>
    <row r="1495" customFormat="false" ht="12.75" hidden="false" customHeight="false" outlineLevel="0" collapsed="false">
      <c r="A1495" s="1" t="n">
        <v>69</v>
      </c>
      <c r="B1495" s="1" t="n">
        <v>56</v>
      </c>
      <c r="C1495" s="1" t="n">
        <v>125</v>
      </c>
      <c r="D1495" s="1" t="s">
        <v>669</v>
      </c>
      <c r="E1495" s="1" t="n">
        <v>-79668.965</v>
      </c>
      <c r="F1495" s="1" t="n">
        <v>10.992</v>
      </c>
      <c r="G1495" s="1" t="n">
        <f aca="false">IF(ISNUMBER(E1495),E1495,VALUE(SUBSTITUTE(E1495,"#",".01")))</f>
        <v>-79668.965</v>
      </c>
    </row>
    <row r="1496" customFormat="false" ht="12.75" hidden="false" customHeight="false" outlineLevel="0" collapsed="false">
      <c r="A1496" s="1" t="n">
        <v>68</v>
      </c>
      <c r="B1496" s="1" t="n">
        <v>57</v>
      </c>
      <c r="C1496" s="1" t="n">
        <v>125</v>
      </c>
      <c r="D1496" s="1" t="s">
        <v>682</v>
      </c>
      <c r="E1496" s="1" t="n">
        <v>-73759.484</v>
      </c>
      <c r="F1496" s="1" t="n">
        <v>25.997</v>
      </c>
      <c r="G1496" s="1" t="n">
        <f aca="false">IF(ISNUMBER(E1496),E1496,VALUE(SUBSTITUTE(E1496,"#",".01")))</f>
        <v>-73759.484</v>
      </c>
    </row>
    <row r="1497" customFormat="false" ht="12.75" hidden="false" customHeight="false" outlineLevel="0" collapsed="false">
      <c r="A1497" s="1" t="n">
        <v>67</v>
      </c>
      <c r="B1497" s="1" t="n">
        <v>58</v>
      </c>
      <c r="C1497" s="1" t="n">
        <v>125</v>
      </c>
      <c r="D1497" s="1" t="s">
        <v>696</v>
      </c>
      <c r="E1497" s="1" t="s">
        <v>728</v>
      </c>
      <c r="F1497" s="1" t="s">
        <v>333</v>
      </c>
      <c r="G1497" s="1" t="n">
        <f aca="false">IF(ISNUMBER(E1497),E1497,VALUE(SUBSTITUTE(E1497,"#",".01")))</f>
        <v>-66658.01</v>
      </c>
    </row>
    <row r="1498" customFormat="false" ht="12.75" hidden="false" customHeight="false" outlineLevel="0" collapsed="false">
      <c r="A1498" s="1" t="n">
        <v>66</v>
      </c>
      <c r="B1498" s="1" t="n">
        <v>59</v>
      </c>
      <c r="C1498" s="1" t="n">
        <v>125</v>
      </c>
      <c r="D1498" s="1" t="s">
        <v>707</v>
      </c>
      <c r="E1498" s="1" t="s">
        <v>729</v>
      </c>
      <c r="F1498" s="1" t="s">
        <v>371</v>
      </c>
      <c r="G1498" s="1" t="n">
        <f aca="false">IF(ISNUMBER(E1498),E1498,VALUE(SUBSTITUTE(E1498,"#",".01")))</f>
        <v>-57940.01</v>
      </c>
    </row>
    <row r="1499" customFormat="false" ht="12.75" hidden="false" customHeight="false" outlineLevel="0" collapsed="false">
      <c r="A1499" s="1" t="n">
        <v>65</v>
      </c>
      <c r="B1499" s="1" t="n">
        <v>60</v>
      </c>
      <c r="C1499" s="1" t="n">
        <v>125</v>
      </c>
      <c r="D1499" s="1" t="s">
        <v>724</v>
      </c>
      <c r="E1499" s="1" t="s">
        <v>730</v>
      </c>
      <c r="F1499" s="1" t="s">
        <v>320</v>
      </c>
      <c r="G1499" s="1" t="n">
        <f aca="false">IF(ISNUMBER(E1499),E1499,VALUE(SUBSTITUTE(E1499,"#",".01")))</f>
        <v>-47599.01</v>
      </c>
    </row>
    <row r="1500" customFormat="false" ht="12.75" hidden="false" customHeight="false" outlineLevel="0" collapsed="false">
      <c r="A1500" s="1" t="n">
        <v>81</v>
      </c>
      <c r="B1500" s="1" t="n">
        <v>45</v>
      </c>
      <c r="C1500" s="1" t="n">
        <v>126</v>
      </c>
      <c r="D1500" s="1" t="s">
        <v>589</v>
      </c>
      <c r="E1500" s="1" t="s">
        <v>731</v>
      </c>
      <c r="F1500" s="1" t="s">
        <v>337</v>
      </c>
      <c r="G1500" s="1" t="n">
        <f aca="false">IF(ISNUMBER(E1500),E1500,VALUE(SUBSTITUTE(E1500,"#",".01")))</f>
        <v>-37300.01</v>
      </c>
    </row>
    <row r="1501" customFormat="false" ht="12.75" hidden="false" customHeight="false" outlineLevel="0" collapsed="false">
      <c r="A1501" s="1" t="n">
        <v>80</v>
      </c>
      <c r="B1501" s="1" t="n">
        <v>46</v>
      </c>
      <c r="C1501" s="1" t="n">
        <v>126</v>
      </c>
      <c r="D1501" s="1" t="s">
        <v>599</v>
      </c>
      <c r="E1501" s="1" t="s">
        <v>732</v>
      </c>
      <c r="F1501" s="1" t="s">
        <v>378</v>
      </c>
      <c r="G1501" s="1" t="n">
        <f aca="false">IF(ISNUMBER(E1501),E1501,VALUE(SUBSTITUTE(E1501,"#",".01")))</f>
        <v>-51860.01</v>
      </c>
    </row>
    <row r="1502" customFormat="false" ht="12.75" hidden="false" customHeight="false" outlineLevel="0" collapsed="false">
      <c r="A1502" s="1" t="n">
        <v>79</v>
      </c>
      <c r="B1502" s="1" t="n">
        <v>47</v>
      </c>
      <c r="C1502" s="1" t="n">
        <v>126</v>
      </c>
      <c r="D1502" s="1" t="s">
        <v>607</v>
      </c>
      <c r="E1502" s="1" t="s">
        <v>733</v>
      </c>
      <c r="F1502" s="1" t="s">
        <v>349</v>
      </c>
      <c r="G1502" s="1" t="n">
        <f aca="false">IF(ISNUMBER(E1502),E1502,VALUE(SUBSTITUTE(E1502,"#",".01")))</f>
        <v>-60680.01</v>
      </c>
    </row>
    <row r="1503" customFormat="false" ht="12.75" hidden="false" customHeight="false" outlineLevel="0" collapsed="false">
      <c r="A1503" s="1" t="n">
        <v>78</v>
      </c>
      <c r="B1503" s="1" t="n">
        <v>48</v>
      </c>
      <c r="C1503" s="1" t="n">
        <v>126</v>
      </c>
      <c r="D1503" s="1" t="s">
        <v>615</v>
      </c>
      <c r="E1503" s="1" t="n">
        <v>-72256.802</v>
      </c>
      <c r="F1503" s="1" t="n">
        <v>2.476</v>
      </c>
      <c r="G1503" s="1" t="n">
        <f aca="false">IF(ISNUMBER(E1503),E1503,VALUE(SUBSTITUTE(E1503,"#",".01")))</f>
        <v>-72256.802</v>
      </c>
    </row>
    <row r="1504" customFormat="false" ht="12.75" hidden="false" customHeight="false" outlineLevel="0" collapsed="false">
      <c r="A1504" s="1" t="n">
        <v>77</v>
      </c>
      <c r="B1504" s="1" t="n">
        <v>49</v>
      </c>
      <c r="C1504" s="1" t="n">
        <v>126</v>
      </c>
      <c r="D1504" s="1" t="s">
        <v>623</v>
      </c>
      <c r="E1504" s="1" t="n">
        <v>-77772.908</v>
      </c>
      <c r="F1504" s="1" t="n">
        <v>26.921</v>
      </c>
      <c r="G1504" s="1" t="n">
        <f aca="false">IF(ISNUMBER(E1504),E1504,VALUE(SUBSTITUTE(E1504,"#",".01")))</f>
        <v>-77772.908</v>
      </c>
    </row>
    <row r="1505" customFormat="false" ht="12.75" hidden="false" customHeight="false" outlineLevel="0" collapsed="false">
      <c r="A1505" s="1" t="n">
        <v>76</v>
      </c>
      <c r="B1505" s="1" t="n">
        <v>50</v>
      </c>
      <c r="C1505" s="1" t="n">
        <v>126</v>
      </c>
      <c r="D1505" s="1" t="s">
        <v>633</v>
      </c>
      <c r="E1505" s="1" t="n">
        <v>-86015.24</v>
      </c>
      <c r="F1505" s="1" t="n">
        <v>10.447</v>
      </c>
      <c r="G1505" s="1" t="n">
        <f aca="false">IF(ISNUMBER(E1505),E1505,VALUE(SUBSTITUTE(E1505,"#",".01")))</f>
        <v>-86015.24</v>
      </c>
    </row>
    <row r="1506" customFormat="false" ht="12.75" hidden="false" customHeight="false" outlineLevel="0" collapsed="false">
      <c r="A1506" s="1" t="n">
        <v>75</v>
      </c>
      <c r="B1506" s="1" t="n">
        <v>51</v>
      </c>
      <c r="C1506" s="1" t="n">
        <v>126</v>
      </c>
      <c r="D1506" s="1" t="s">
        <v>642</v>
      </c>
      <c r="E1506" s="1" t="n">
        <v>-86393.24</v>
      </c>
      <c r="F1506" s="1" t="n">
        <v>31.767</v>
      </c>
      <c r="G1506" s="1" t="n">
        <f aca="false">IF(ISNUMBER(E1506),E1506,VALUE(SUBSTITUTE(E1506,"#",".01")))</f>
        <v>-86393.24</v>
      </c>
    </row>
    <row r="1507" customFormat="false" ht="12.75" hidden="false" customHeight="false" outlineLevel="0" collapsed="false">
      <c r="A1507" s="1" t="n">
        <v>74</v>
      </c>
      <c r="B1507" s="1" t="n">
        <v>52</v>
      </c>
      <c r="C1507" s="1" t="n">
        <v>126</v>
      </c>
      <c r="D1507" s="1" t="s">
        <v>647</v>
      </c>
      <c r="E1507" s="1" t="n">
        <v>-90065.348</v>
      </c>
      <c r="F1507" s="1" t="n">
        <v>1.504</v>
      </c>
      <c r="G1507" s="1" t="n">
        <f aca="false">IF(ISNUMBER(E1507),E1507,VALUE(SUBSTITUTE(E1507,"#",".01")))</f>
        <v>-90065.348</v>
      </c>
    </row>
    <row r="1508" customFormat="false" ht="12.75" hidden="false" customHeight="false" outlineLevel="0" collapsed="false">
      <c r="A1508" s="1" t="n">
        <v>73</v>
      </c>
      <c r="B1508" s="1" t="n">
        <v>53</v>
      </c>
      <c r="C1508" s="1" t="n">
        <v>126</v>
      </c>
      <c r="D1508" s="1" t="s">
        <v>652</v>
      </c>
      <c r="E1508" s="1" t="n">
        <v>-87911.318</v>
      </c>
      <c r="F1508" s="1" t="n">
        <v>3.809</v>
      </c>
      <c r="G1508" s="1" t="n">
        <f aca="false">IF(ISNUMBER(E1508),E1508,VALUE(SUBSTITUTE(E1508,"#",".01")))</f>
        <v>-87911.318</v>
      </c>
    </row>
    <row r="1509" customFormat="false" ht="12.75" hidden="false" customHeight="false" outlineLevel="0" collapsed="false">
      <c r="A1509" s="1" t="n">
        <v>72</v>
      </c>
      <c r="B1509" s="1" t="n">
        <v>54</v>
      </c>
      <c r="C1509" s="1" t="n">
        <v>126</v>
      </c>
      <c r="D1509" s="1" t="s">
        <v>658</v>
      </c>
      <c r="E1509" s="1" t="n">
        <v>-89146.962</v>
      </c>
      <c r="F1509" s="1" t="n">
        <v>3.5</v>
      </c>
      <c r="G1509" s="1" t="n">
        <f aca="false">IF(ISNUMBER(E1509),E1509,VALUE(SUBSTITUTE(E1509,"#",".01")))</f>
        <v>-89146.962</v>
      </c>
    </row>
    <row r="1510" customFormat="false" ht="12.75" hidden="false" customHeight="false" outlineLevel="0" collapsed="false">
      <c r="A1510" s="1" t="n">
        <v>71</v>
      </c>
      <c r="B1510" s="1" t="n">
        <v>55</v>
      </c>
      <c r="C1510" s="1" t="n">
        <v>126</v>
      </c>
      <c r="D1510" s="1" t="s">
        <v>662</v>
      </c>
      <c r="E1510" s="1" t="n">
        <v>-84350.829</v>
      </c>
      <c r="F1510" s="1" t="n">
        <v>10.401</v>
      </c>
      <c r="G1510" s="1" t="n">
        <f aca="false">IF(ISNUMBER(E1510),E1510,VALUE(SUBSTITUTE(E1510,"#",".01")))</f>
        <v>-84350.829</v>
      </c>
    </row>
    <row r="1511" customFormat="false" ht="12.75" hidden="false" customHeight="false" outlineLevel="0" collapsed="false">
      <c r="A1511" s="1" t="n">
        <v>70</v>
      </c>
      <c r="B1511" s="1" t="n">
        <v>56</v>
      </c>
      <c r="C1511" s="1" t="n">
        <v>126</v>
      </c>
      <c r="D1511" s="1" t="s">
        <v>669</v>
      </c>
      <c r="E1511" s="1" t="n">
        <v>-82669.902</v>
      </c>
      <c r="F1511" s="1" t="n">
        <v>12.497</v>
      </c>
      <c r="G1511" s="1" t="n">
        <f aca="false">IF(ISNUMBER(E1511),E1511,VALUE(SUBSTITUTE(E1511,"#",".01")))</f>
        <v>-82669.902</v>
      </c>
    </row>
    <row r="1512" customFormat="false" ht="12.75" hidden="false" customHeight="false" outlineLevel="0" collapsed="false">
      <c r="A1512" s="1" t="n">
        <v>69</v>
      </c>
      <c r="B1512" s="1" t="n">
        <v>57</v>
      </c>
      <c r="C1512" s="1" t="n">
        <v>126</v>
      </c>
      <c r="D1512" s="1" t="s">
        <v>682</v>
      </c>
      <c r="E1512" s="1" t="n">
        <v>-74973.468</v>
      </c>
      <c r="F1512" s="1" t="n">
        <v>90.508</v>
      </c>
      <c r="G1512" s="1" t="n">
        <f aca="false">IF(ISNUMBER(E1512),E1512,VALUE(SUBSTITUTE(E1512,"#",".01")))</f>
        <v>-74973.468</v>
      </c>
    </row>
    <row r="1513" customFormat="false" ht="12.75" hidden="false" customHeight="false" outlineLevel="0" collapsed="false">
      <c r="A1513" s="1" t="n">
        <v>68</v>
      </c>
      <c r="B1513" s="1" t="n">
        <v>58</v>
      </c>
      <c r="C1513" s="1" t="n">
        <v>126</v>
      </c>
      <c r="D1513" s="1" t="s">
        <v>696</v>
      </c>
      <c r="E1513" s="1" t="n">
        <v>-70820.558</v>
      </c>
      <c r="F1513" s="1" t="n">
        <v>27.945</v>
      </c>
      <c r="G1513" s="1" t="n">
        <f aca="false">IF(ISNUMBER(E1513),E1513,VALUE(SUBSTITUTE(E1513,"#",".01")))</f>
        <v>-70820.558</v>
      </c>
    </row>
    <row r="1514" customFormat="false" ht="12.75" hidden="false" customHeight="false" outlineLevel="0" collapsed="false">
      <c r="A1514" s="1" t="n">
        <v>67</v>
      </c>
      <c r="B1514" s="1" t="n">
        <v>59</v>
      </c>
      <c r="C1514" s="1" t="n">
        <v>126</v>
      </c>
      <c r="D1514" s="1" t="s">
        <v>707</v>
      </c>
      <c r="E1514" s="1" t="s">
        <v>734</v>
      </c>
      <c r="F1514" s="1" t="s">
        <v>333</v>
      </c>
      <c r="G1514" s="1" t="n">
        <f aca="false">IF(ISNUMBER(E1514),E1514,VALUE(SUBSTITUTE(E1514,"#",".01")))</f>
        <v>-60324.01</v>
      </c>
    </row>
    <row r="1515" customFormat="false" ht="12.75" hidden="false" customHeight="false" outlineLevel="0" collapsed="false">
      <c r="A1515" s="1" t="n">
        <v>66</v>
      </c>
      <c r="B1515" s="1" t="n">
        <v>60</v>
      </c>
      <c r="C1515" s="1" t="n">
        <v>126</v>
      </c>
      <c r="D1515" s="1" t="s">
        <v>724</v>
      </c>
      <c r="E1515" s="1" t="s">
        <v>735</v>
      </c>
      <c r="F1515" s="1" t="s">
        <v>360</v>
      </c>
      <c r="G1515" s="1" t="n">
        <f aca="false">IF(ISNUMBER(E1515),E1515,VALUE(SUBSTITUTE(E1515,"#",".01")))</f>
        <v>-52993.01</v>
      </c>
    </row>
    <row r="1516" customFormat="false" ht="12.75" hidden="false" customHeight="false" outlineLevel="0" collapsed="false">
      <c r="A1516" s="1" t="n">
        <v>65</v>
      </c>
      <c r="B1516" s="1" t="n">
        <v>61</v>
      </c>
      <c r="C1516" s="1" t="n">
        <v>126</v>
      </c>
      <c r="D1516" s="1" t="s">
        <v>736</v>
      </c>
      <c r="E1516" s="1" t="s">
        <v>737</v>
      </c>
      <c r="F1516" s="1" t="s">
        <v>337</v>
      </c>
      <c r="G1516" s="1" t="n">
        <f aca="false">IF(ISNUMBER(E1516),E1516,VALUE(SUBSTITUTE(E1516,"#",".01")))</f>
        <v>-39350.01</v>
      </c>
    </row>
    <row r="1517" customFormat="false" ht="12.75" hidden="false" customHeight="false" outlineLevel="0" collapsed="false">
      <c r="A1517" s="1" t="n">
        <v>82</v>
      </c>
      <c r="B1517" s="1" t="n">
        <v>45</v>
      </c>
      <c r="C1517" s="1" t="n">
        <v>127</v>
      </c>
      <c r="D1517" s="1" t="s">
        <v>589</v>
      </c>
      <c r="E1517" s="1" t="s">
        <v>738</v>
      </c>
      <c r="F1517" s="1" t="s">
        <v>387</v>
      </c>
      <c r="G1517" s="1" t="n">
        <f aca="false">IF(ISNUMBER(E1517),E1517,VALUE(SUBSTITUTE(E1517,"#",".01")))</f>
        <v>-34030.01</v>
      </c>
    </row>
    <row r="1518" customFormat="false" ht="12.75" hidden="false" customHeight="false" outlineLevel="0" collapsed="false">
      <c r="A1518" s="1" t="n">
        <v>81</v>
      </c>
      <c r="B1518" s="1" t="n">
        <v>46</v>
      </c>
      <c r="C1518" s="1" t="n">
        <v>127</v>
      </c>
      <c r="D1518" s="1" t="s">
        <v>599</v>
      </c>
      <c r="E1518" s="1" t="s">
        <v>739</v>
      </c>
      <c r="F1518" s="1" t="s">
        <v>337</v>
      </c>
      <c r="G1518" s="1" t="n">
        <f aca="false">IF(ISNUMBER(E1518),E1518,VALUE(SUBSTITUTE(E1518,"#",".01")))</f>
        <v>-47180.01</v>
      </c>
    </row>
    <row r="1519" customFormat="false" ht="12.75" hidden="false" customHeight="false" outlineLevel="0" collapsed="false">
      <c r="A1519" s="1" t="n">
        <v>80</v>
      </c>
      <c r="B1519" s="1" t="n">
        <v>47</v>
      </c>
      <c r="C1519" s="1" t="n">
        <v>127</v>
      </c>
      <c r="D1519" s="1" t="s">
        <v>607</v>
      </c>
      <c r="E1519" s="1" t="s">
        <v>740</v>
      </c>
      <c r="F1519" s="1" t="s">
        <v>349</v>
      </c>
      <c r="G1519" s="1" t="n">
        <f aca="false">IF(ISNUMBER(E1519),E1519,VALUE(SUBSTITUTE(E1519,"#",".01")))</f>
        <v>-58440.01</v>
      </c>
    </row>
    <row r="1520" customFormat="false" ht="12.75" hidden="false" customHeight="false" outlineLevel="0" collapsed="false">
      <c r="A1520" s="1" t="n">
        <v>79</v>
      </c>
      <c r="B1520" s="1" t="n">
        <v>48</v>
      </c>
      <c r="C1520" s="1" t="n">
        <v>127</v>
      </c>
      <c r="D1520" s="1" t="s">
        <v>615</v>
      </c>
      <c r="E1520" s="1" t="n">
        <v>-68747.402</v>
      </c>
      <c r="F1520" s="1" t="n">
        <v>12.109</v>
      </c>
      <c r="G1520" s="1" t="n">
        <f aca="false">IF(ISNUMBER(E1520),E1520,VALUE(SUBSTITUTE(E1520,"#",".01")))</f>
        <v>-68747.402</v>
      </c>
    </row>
    <row r="1521" customFormat="false" ht="12.75" hidden="false" customHeight="false" outlineLevel="0" collapsed="false">
      <c r="A1521" s="1" t="n">
        <v>78</v>
      </c>
      <c r="B1521" s="1" t="n">
        <v>49</v>
      </c>
      <c r="C1521" s="1" t="n">
        <v>127</v>
      </c>
      <c r="D1521" s="1" t="s">
        <v>623</v>
      </c>
      <c r="E1521" s="1" t="n">
        <v>-76896.184</v>
      </c>
      <c r="F1521" s="1" t="n">
        <v>21.157</v>
      </c>
      <c r="G1521" s="1" t="n">
        <f aca="false">IF(ISNUMBER(E1521),E1521,VALUE(SUBSTITUTE(E1521,"#",".01")))</f>
        <v>-76896.184</v>
      </c>
    </row>
    <row r="1522" customFormat="false" ht="12.75" hidden="false" customHeight="false" outlineLevel="0" collapsed="false">
      <c r="A1522" s="1" t="n">
        <v>77</v>
      </c>
      <c r="B1522" s="1" t="n">
        <v>50</v>
      </c>
      <c r="C1522" s="1" t="n">
        <v>127</v>
      </c>
      <c r="D1522" s="1" t="s">
        <v>633</v>
      </c>
      <c r="E1522" s="1" t="n">
        <v>-83470.803</v>
      </c>
      <c r="F1522" s="1" t="n">
        <v>10.057</v>
      </c>
      <c r="G1522" s="1" t="n">
        <f aca="false">IF(ISNUMBER(E1522),E1522,VALUE(SUBSTITUTE(E1522,"#",".01")))</f>
        <v>-83470.803</v>
      </c>
    </row>
    <row r="1523" customFormat="false" ht="12.75" hidden="false" customHeight="false" outlineLevel="0" collapsed="false">
      <c r="A1523" s="1" t="n">
        <v>76</v>
      </c>
      <c r="B1523" s="1" t="n">
        <v>51</v>
      </c>
      <c r="C1523" s="1" t="n">
        <v>127</v>
      </c>
      <c r="D1523" s="1" t="s">
        <v>642</v>
      </c>
      <c r="E1523" s="1" t="n">
        <v>-86699.477</v>
      </c>
      <c r="F1523" s="1" t="n">
        <v>5.126</v>
      </c>
      <c r="G1523" s="1" t="n">
        <f aca="false">IF(ISNUMBER(E1523),E1523,VALUE(SUBSTITUTE(E1523,"#",".01")))</f>
        <v>-86699.477</v>
      </c>
    </row>
    <row r="1524" customFormat="false" ht="12.75" hidden="false" customHeight="false" outlineLevel="0" collapsed="false">
      <c r="A1524" s="1" t="n">
        <v>75</v>
      </c>
      <c r="B1524" s="1" t="n">
        <v>52</v>
      </c>
      <c r="C1524" s="1" t="n">
        <v>127</v>
      </c>
      <c r="D1524" s="1" t="s">
        <v>647</v>
      </c>
      <c r="E1524" s="1" t="n">
        <v>-88281.678</v>
      </c>
      <c r="F1524" s="1" t="n">
        <v>1.514</v>
      </c>
      <c r="G1524" s="1" t="n">
        <f aca="false">IF(ISNUMBER(E1524),E1524,VALUE(SUBSTITUTE(E1524,"#",".01")))</f>
        <v>-88281.678</v>
      </c>
    </row>
    <row r="1525" customFormat="false" ht="12.75" hidden="false" customHeight="false" outlineLevel="0" collapsed="false">
      <c r="A1525" s="1" t="n">
        <v>74</v>
      </c>
      <c r="B1525" s="1" t="n">
        <v>53</v>
      </c>
      <c r="C1525" s="1" t="n">
        <v>127</v>
      </c>
      <c r="D1525" s="1" t="s">
        <v>652</v>
      </c>
      <c r="E1525" s="1" t="n">
        <v>-88983.909</v>
      </c>
      <c r="F1525" s="1" t="n">
        <v>3.647</v>
      </c>
      <c r="G1525" s="1" t="n">
        <f aca="false">IF(ISNUMBER(E1525),E1525,VALUE(SUBSTITUTE(E1525,"#",".01")))</f>
        <v>-88983.909</v>
      </c>
    </row>
    <row r="1526" customFormat="false" ht="12.75" hidden="false" customHeight="false" outlineLevel="0" collapsed="false">
      <c r="A1526" s="1" t="n">
        <v>73</v>
      </c>
      <c r="B1526" s="1" t="n">
        <v>54</v>
      </c>
      <c r="C1526" s="1" t="n">
        <v>127</v>
      </c>
      <c r="D1526" s="1" t="s">
        <v>658</v>
      </c>
      <c r="E1526" s="1" t="n">
        <v>-88321.56</v>
      </c>
      <c r="F1526" s="1" t="n">
        <v>4.11</v>
      </c>
      <c r="G1526" s="1" t="n">
        <f aca="false">IF(ISNUMBER(E1526),E1526,VALUE(SUBSTITUTE(E1526,"#",".01")))</f>
        <v>-88321.56</v>
      </c>
    </row>
    <row r="1527" customFormat="false" ht="12.75" hidden="false" customHeight="false" outlineLevel="0" collapsed="false">
      <c r="A1527" s="1" t="n">
        <v>72</v>
      </c>
      <c r="B1527" s="1" t="n">
        <v>55</v>
      </c>
      <c r="C1527" s="1" t="n">
        <v>127</v>
      </c>
      <c r="D1527" s="1" t="s">
        <v>662</v>
      </c>
      <c r="E1527" s="1" t="n">
        <v>-86240.154</v>
      </c>
      <c r="F1527" s="1" t="n">
        <v>5.578</v>
      </c>
      <c r="G1527" s="1" t="n">
        <f aca="false">IF(ISNUMBER(E1527),E1527,VALUE(SUBSTITUTE(E1527,"#",".01")))</f>
        <v>-86240.154</v>
      </c>
    </row>
    <row r="1528" customFormat="false" ht="12.75" hidden="false" customHeight="false" outlineLevel="0" collapsed="false">
      <c r="A1528" s="1" t="n">
        <v>71</v>
      </c>
      <c r="B1528" s="1" t="n">
        <v>56</v>
      </c>
      <c r="C1528" s="1" t="n">
        <v>127</v>
      </c>
      <c r="D1528" s="1" t="s">
        <v>669</v>
      </c>
      <c r="E1528" s="1" t="n">
        <v>-82817.944</v>
      </c>
      <c r="F1528" s="1" t="n">
        <v>11.357</v>
      </c>
      <c r="G1528" s="1" t="n">
        <f aca="false">IF(ISNUMBER(E1528),E1528,VALUE(SUBSTITUTE(E1528,"#",".01")))</f>
        <v>-82817.944</v>
      </c>
    </row>
    <row r="1529" customFormat="false" ht="12.75" hidden="false" customHeight="false" outlineLevel="0" collapsed="false">
      <c r="A1529" s="1" t="n">
        <v>70</v>
      </c>
      <c r="B1529" s="1" t="n">
        <v>57</v>
      </c>
      <c r="C1529" s="1" t="n">
        <v>127</v>
      </c>
      <c r="D1529" s="1" t="s">
        <v>682</v>
      </c>
      <c r="E1529" s="1" t="n">
        <v>-77896.108</v>
      </c>
      <c r="F1529" s="1" t="n">
        <v>26</v>
      </c>
      <c r="G1529" s="1" t="n">
        <f aca="false">IF(ISNUMBER(E1529),E1529,VALUE(SUBSTITUTE(E1529,"#",".01")))</f>
        <v>-77896.108</v>
      </c>
    </row>
    <row r="1530" customFormat="false" ht="12.75" hidden="false" customHeight="false" outlineLevel="0" collapsed="false">
      <c r="A1530" s="1" t="n">
        <v>69</v>
      </c>
      <c r="B1530" s="1" t="n">
        <v>58</v>
      </c>
      <c r="C1530" s="1" t="n">
        <v>127</v>
      </c>
      <c r="D1530" s="1" t="s">
        <v>696</v>
      </c>
      <c r="E1530" s="1" t="n">
        <v>-71979.336</v>
      </c>
      <c r="F1530" s="1" t="n">
        <v>28.876</v>
      </c>
      <c r="G1530" s="1" t="n">
        <f aca="false">IF(ISNUMBER(E1530),E1530,VALUE(SUBSTITUTE(E1530,"#",".01")))</f>
        <v>-71979.336</v>
      </c>
    </row>
    <row r="1531" customFormat="false" ht="12.75" hidden="false" customHeight="false" outlineLevel="0" collapsed="false">
      <c r="A1531" s="1" t="n">
        <v>68</v>
      </c>
      <c r="B1531" s="1" t="n">
        <v>59</v>
      </c>
      <c r="C1531" s="1" t="n">
        <v>127</v>
      </c>
      <c r="D1531" s="1" t="s">
        <v>707</v>
      </c>
      <c r="E1531" s="1" t="s">
        <v>711</v>
      </c>
      <c r="F1531" s="1" t="s">
        <v>333</v>
      </c>
      <c r="G1531" s="1" t="n">
        <f aca="false">IF(ISNUMBER(E1531),E1531,VALUE(SUBSTITUTE(E1531,"#",".01")))</f>
        <v>-64543.01</v>
      </c>
    </row>
    <row r="1532" customFormat="false" ht="12.75" hidden="false" customHeight="false" outlineLevel="0" collapsed="false">
      <c r="A1532" s="1" t="n">
        <v>67</v>
      </c>
      <c r="B1532" s="1" t="n">
        <v>60</v>
      </c>
      <c r="C1532" s="1" t="n">
        <v>127</v>
      </c>
      <c r="D1532" s="1" t="s">
        <v>724</v>
      </c>
      <c r="E1532" s="1" t="s">
        <v>741</v>
      </c>
      <c r="F1532" s="1" t="s">
        <v>360</v>
      </c>
      <c r="G1532" s="1" t="n">
        <f aca="false">IF(ISNUMBER(E1532),E1532,VALUE(SUBSTITUTE(E1532,"#",".01")))</f>
        <v>-55536.01</v>
      </c>
    </row>
    <row r="1533" customFormat="false" ht="12.75" hidden="false" customHeight="false" outlineLevel="0" collapsed="false">
      <c r="A1533" s="1" t="n">
        <v>66</v>
      </c>
      <c r="B1533" s="1" t="n">
        <v>61</v>
      </c>
      <c r="C1533" s="1" t="n">
        <v>127</v>
      </c>
      <c r="D1533" s="1" t="s">
        <v>736</v>
      </c>
      <c r="E1533" s="1" t="s">
        <v>742</v>
      </c>
      <c r="F1533" s="1" t="s">
        <v>320</v>
      </c>
      <c r="G1533" s="1" t="n">
        <f aca="false">IF(ISNUMBER(E1533),E1533,VALUE(SUBSTITUTE(E1533,"#",".01")))</f>
        <v>-44786.01</v>
      </c>
    </row>
    <row r="1534" customFormat="false" ht="12.75" hidden="false" customHeight="false" outlineLevel="0" collapsed="false">
      <c r="A1534" s="1" t="n">
        <v>82</v>
      </c>
      <c r="B1534" s="1" t="n">
        <v>46</v>
      </c>
      <c r="C1534" s="1" t="n">
        <v>128</v>
      </c>
      <c r="D1534" s="1" t="s">
        <v>599</v>
      </c>
      <c r="E1534" s="1" t="s">
        <v>743</v>
      </c>
      <c r="F1534" s="1" t="s">
        <v>337</v>
      </c>
      <c r="G1534" s="1" t="n">
        <f aca="false">IF(ISNUMBER(E1534),E1534,VALUE(SUBSTITUTE(E1534,"#",".01")))</f>
        <v>-44490.01</v>
      </c>
    </row>
    <row r="1535" customFormat="false" ht="12.75" hidden="false" customHeight="false" outlineLevel="0" collapsed="false">
      <c r="A1535" s="1" t="n">
        <v>81</v>
      </c>
      <c r="B1535" s="1" t="n">
        <v>47</v>
      </c>
      <c r="C1535" s="1" t="n">
        <v>128</v>
      </c>
      <c r="D1535" s="1" t="s">
        <v>607</v>
      </c>
      <c r="E1535" s="1" t="s">
        <v>744</v>
      </c>
      <c r="F1535" s="1" t="s">
        <v>371</v>
      </c>
      <c r="G1535" s="1" t="n">
        <f aca="false">IF(ISNUMBER(E1535),E1535,VALUE(SUBSTITUTE(E1535,"#",".01")))</f>
        <v>-54620.01</v>
      </c>
    </row>
    <row r="1536" customFormat="false" ht="12.75" hidden="false" customHeight="false" outlineLevel="0" collapsed="false">
      <c r="A1536" s="1" t="n">
        <v>80</v>
      </c>
      <c r="B1536" s="1" t="n">
        <v>48</v>
      </c>
      <c r="C1536" s="1" t="n">
        <v>128</v>
      </c>
      <c r="D1536" s="1" t="s">
        <v>615</v>
      </c>
      <c r="E1536" s="1" t="n">
        <v>-67241.89</v>
      </c>
      <c r="F1536" s="1" t="n">
        <v>7.244</v>
      </c>
      <c r="G1536" s="1" t="n">
        <f aca="false">IF(ISNUMBER(E1536),E1536,VALUE(SUBSTITUTE(E1536,"#",".01")))</f>
        <v>-67241.89</v>
      </c>
    </row>
    <row r="1537" customFormat="false" ht="12.75" hidden="false" customHeight="false" outlineLevel="0" collapsed="false">
      <c r="A1537" s="1" t="n">
        <v>79</v>
      </c>
      <c r="B1537" s="1" t="n">
        <v>49</v>
      </c>
      <c r="C1537" s="1" t="n">
        <v>128</v>
      </c>
      <c r="D1537" s="1" t="s">
        <v>623</v>
      </c>
      <c r="E1537" s="1" t="n">
        <v>-74145.941</v>
      </c>
      <c r="F1537" s="1" t="n">
        <v>153.479</v>
      </c>
      <c r="G1537" s="1" t="n">
        <f aca="false">IF(ISNUMBER(E1537),E1537,VALUE(SUBSTITUTE(E1537,"#",".01")))</f>
        <v>-74145.941</v>
      </c>
    </row>
    <row r="1538" customFormat="false" ht="12.75" hidden="false" customHeight="false" outlineLevel="0" collapsed="false">
      <c r="A1538" s="1" t="n">
        <v>78</v>
      </c>
      <c r="B1538" s="1" t="n">
        <v>50</v>
      </c>
      <c r="C1538" s="1" t="n">
        <v>128</v>
      </c>
      <c r="D1538" s="1" t="s">
        <v>633</v>
      </c>
      <c r="E1538" s="1" t="n">
        <v>-83362.008</v>
      </c>
      <c r="F1538" s="1" t="n">
        <v>17.66</v>
      </c>
      <c r="G1538" s="1" t="n">
        <f aca="false">IF(ISNUMBER(E1538),E1538,VALUE(SUBSTITUTE(E1538,"#",".01")))</f>
        <v>-83362.008</v>
      </c>
    </row>
    <row r="1539" customFormat="false" ht="12.75" hidden="false" customHeight="false" outlineLevel="0" collapsed="false">
      <c r="A1539" s="1" t="n">
        <v>77</v>
      </c>
      <c r="B1539" s="1" t="n">
        <v>51</v>
      </c>
      <c r="C1539" s="1" t="n">
        <v>128</v>
      </c>
      <c r="D1539" s="1" t="s">
        <v>642</v>
      </c>
      <c r="E1539" s="1" t="n">
        <v>-84630.286</v>
      </c>
      <c r="F1539" s="1" t="n">
        <v>19.119</v>
      </c>
      <c r="G1539" s="1" t="n">
        <f aca="false">IF(ISNUMBER(E1539),E1539,VALUE(SUBSTITUTE(E1539,"#",".01")))</f>
        <v>-84630.286</v>
      </c>
    </row>
    <row r="1540" customFormat="false" ht="12.75" hidden="false" customHeight="false" outlineLevel="0" collapsed="false">
      <c r="A1540" s="1" t="n">
        <v>76</v>
      </c>
      <c r="B1540" s="1" t="n">
        <v>52</v>
      </c>
      <c r="C1540" s="1" t="n">
        <v>128</v>
      </c>
      <c r="D1540" s="1" t="s">
        <v>647</v>
      </c>
      <c r="E1540" s="1" t="n">
        <v>-88993.716</v>
      </c>
      <c r="F1540" s="1" t="n">
        <v>0.866</v>
      </c>
      <c r="G1540" s="1" t="n">
        <f aca="false">IF(ISNUMBER(E1540),E1540,VALUE(SUBSTITUTE(E1540,"#",".01")))</f>
        <v>-88993.716</v>
      </c>
    </row>
    <row r="1541" customFormat="false" ht="12.75" hidden="false" customHeight="false" outlineLevel="0" collapsed="false">
      <c r="A1541" s="1" t="n">
        <v>75</v>
      </c>
      <c r="B1541" s="1" t="n">
        <v>53</v>
      </c>
      <c r="C1541" s="1" t="n">
        <v>128</v>
      </c>
      <c r="D1541" s="1" t="s">
        <v>652</v>
      </c>
      <c r="E1541" s="1" t="n">
        <v>-87738.724</v>
      </c>
      <c r="F1541" s="1" t="n">
        <v>3.647</v>
      </c>
      <c r="G1541" s="1" t="n">
        <f aca="false">IF(ISNUMBER(E1541),E1541,VALUE(SUBSTITUTE(E1541,"#",".01")))</f>
        <v>-87738.724</v>
      </c>
    </row>
    <row r="1542" customFormat="false" ht="12.75" hidden="false" customHeight="false" outlineLevel="0" collapsed="false">
      <c r="A1542" s="1" t="n">
        <v>74</v>
      </c>
      <c r="B1542" s="1" t="n">
        <v>54</v>
      </c>
      <c r="C1542" s="1" t="n">
        <v>128</v>
      </c>
      <c r="D1542" s="1" t="s">
        <v>658</v>
      </c>
      <c r="E1542" s="1" t="n">
        <v>-89860.298</v>
      </c>
      <c r="F1542" s="1" t="n">
        <v>1.061</v>
      </c>
      <c r="G1542" s="1" t="n">
        <f aca="false">IF(ISNUMBER(E1542),E1542,VALUE(SUBSTITUTE(E1542,"#",".01")))</f>
        <v>-89860.298</v>
      </c>
    </row>
    <row r="1543" customFormat="false" ht="12.75" hidden="false" customHeight="false" outlineLevel="0" collapsed="false">
      <c r="A1543" s="1" t="n">
        <v>73</v>
      </c>
      <c r="B1543" s="1" t="n">
        <v>55</v>
      </c>
      <c r="C1543" s="1" t="n">
        <v>128</v>
      </c>
      <c r="D1543" s="1" t="s">
        <v>662</v>
      </c>
      <c r="E1543" s="1" t="n">
        <v>-85931.581</v>
      </c>
      <c r="F1543" s="1" t="n">
        <v>5.443</v>
      </c>
      <c r="G1543" s="1" t="n">
        <f aca="false">IF(ISNUMBER(E1543),E1543,VALUE(SUBSTITUTE(E1543,"#",".01")))</f>
        <v>-85931.581</v>
      </c>
    </row>
    <row r="1544" customFormat="false" ht="12.75" hidden="false" customHeight="false" outlineLevel="0" collapsed="false">
      <c r="A1544" s="1" t="n">
        <v>72</v>
      </c>
      <c r="B1544" s="1" t="n">
        <v>56</v>
      </c>
      <c r="C1544" s="1" t="n">
        <v>128</v>
      </c>
      <c r="D1544" s="1" t="s">
        <v>669</v>
      </c>
      <c r="E1544" s="1" t="n">
        <v>-85378.497</v>
      </c>
      <c r="F1544" s="1" t="n">
        <v>5.195</v>
      </c>
      <c r="G1544" s="1" t="n">
        <f aca="false">IF(ISNUMBER(E1544),E1544,VALUE(SUBSTITUTE(E1544,"#",".01")))</f>
        <v>-85378.497</v>
      </c>
    </row>
    <row r="1545" customFormat="false" ht="12.75" hidden="false" customHeight="false" outlineLevel="0" collapsed="false">
      <c r="A1545" s="1" t="n">
        <v>71</v>
      </c>
      <c r="B1545" s="1" t="n">
        <v>57</v>
      </c>
      <c r="C1545" s="1" t="n">
        <v>128</v>
      </c>
      <c r="D1545" s="1" t="s">
        <v>682</v>
      </c>
      <c r="E1545" s="1" t="n">
        <v>-78625.431</v>
      </c>
      <c r="F1545" s="1" t="n">
        <v>54.448</v>
      </c>
      <c r="G1545" s="1" t="n">
        <f aca="false">IF(ISNUMBER(E1545),E1545,VALUE(SUBSTITUTE(E1545,"#",".01")))</f>
        <v>-78625.431</v>
      </c>
    </row>
    <row r="1546" customFormat="false" ht="12.75" hidden="false" customHeight="false" outlineLevel="0" collapsed="false">
      <c r="A1546" s="1" t="n">
        <v>70</v>
      </c>
      <c r="B1546" s="1" t="n">
        <v>58</v>
      </c>
      <c r="C1546" s="1" t="n">
        <v>128</v>
      </c>
      <c r="D1546" s="1" t="s">
        <v>696</v>
      </c>
      <c r="E1546" s="1" t="n">
        <v>-75533.917</v>
      </c>
      <c r="F1546" s="1" t="n">
        <v>27.945</v>
      </c>
      <c r="G1546" s="1" t="n">
        <f aca="false">IF(ISNUMBER(E1546),E1546,VALUE(SUBSTITUTE(E1546,"#",".01")))</f>
        <v>-75533.917</v>
      </c>
    </row>
    <row r="1547" customFormat="false" ht="12.75" hidden="false" customHeight="false" outlineLevel="0" collapsed="false">
      <c r="A1547" s="1" t="n">
        <v>69</v>
      </c>
      <c r="B1547" s="1" t="n">
        <v>59</v>
      </c>
      <c r="C1547" s="1" t="n">
        <v>128</v>
      </c>
      <c r="D1547" s="1" t="s">
        <v>707</v>
      </c>
      <c r="E1547" s="1" t="n">
        <v>-66330.757</v>
      </c>
      <c r="F1547" s="1" t="n">
        <v>29.808</v>
      </c>
      <c r="G1547" s="1" t="n">
        <f aca="false">IF(ISNUMBER(E1547),E1547,VALUE(SUBSTITUTE(E1547,"#",".01")))</f>
        <v>-66330.757</v>
      </c>
    </row>
    <row r="1548" customFormat="false" ht="12.75" hidden="false" customHeight="false" outlineLevel="0" collapsed="false">
      <c r="A1548" s="1" t="n">
        <v>68</v>
      </c>
      <c r="B1548" s="1" t="n">
        <v>60</v>
      </c>
      <c r="C1548" s="1" t="n">
        <v>128</v>
      </c>
      <c r="D1548" s="1" t="s">
        <v>724</v>
      </c>
      <c r="E1548" s="1" t="s">
        <v>745</v>
      </c>
      <c r="F1548" s="1" t="s">
        <v>333</v>
      </c>
      <c r="G1548" s="1" t="n">
        <f aca="false">IF(ISNUMBER(E1548),E1548,VALUE(SUBSTITUTE(E1548,"#",".01")))</f>
        <v>-60314.01</v>
      </c>
    </row>
    <row r="1549" customFormat="false" ht="12.75" hidden="false" customHeight="false" outlineLevel="0" collapsed="false">
      <c r="A1549" s="1" t="n">
        <v>67</v>
      </c>
      <c r="B1549" s="1" t="n">
        <v>61</v>
      </c>
      <c r="C1549" s="1" t="n">
        <v>128</v>
      </c>
      <c r="D1549" s="1" t="s">
        <v>736</v>
      </c>
      <c r="E1549" s="1" t="s">
        <v>746</v>
      </c>
      <c r="F1549" s="1" t="s">
        <v>360</v>
      </c>
      <c r="G1549" s="1" t="n">
        <f aca="false">IF(ISNUMBER(E1549),E1549,VALUE(SUBSTITUTE(E1549,"#",".01")))</f>
        <v>-47786.01</v>
      </c>
    </row>
    <row r="1550" customFormat="false" ht="12.75" hidden="false" customHeight="false" outlineLevel="0" collapsed="false">
      <c r="A1550" s="1" t="n">
        <v>66</v>
      </c>
      <c r="B1550" s="1" t="n">
        <v>62</v>
      </c>
      <c r="C1550" s="1" t="n">
        <v>128</v>
      </c>
      <c r="D1550" s="1" t="s">
        <v>747</v>
      </c>
      <c r="E1550" s="1" t="s">
        <v>748</v>
      </c>
      <c r="F1550" s="1" t="s">
        <v>337</v>
      </c>
      <c r="G1550" s="1" t="n">
        <f aca="false">IF(ISNUMBER(E1550),E1550,VALUE(SUBSTITUTE(E1550,"#",".01")))</f>
        <v>-38670.01</v>
      </c>
    </row>
    <row r="1551" customFormat="false" ht="12.75" hidden="false" customHeight="false" outlineLevel="0" collapsed="false">
      <c r="A1551" s="1" t="n">
        <v>83</v>
      </c>
      <c r="B1551" s="1" t="n">
        <v>46</v>
      </c>
      <c r="C1551" s="1" t="n">
        <v>129</v>
      </c>
      <c r="D1551" s="1" t="s">
        <v>599</v>
      </c>
      <c r="E1551" s="1" t="s">
        <v>749</v>
      </c>
      <c r="F1551" s="1" t="s">
        <v>387</v>
      </c>
      <c r="G1551" s="1" t="n">
        <f aca="false">IF(ISNUMBER(E1551),E1551,VALUE(SUBSTITUTE(E1551,"#",".01")))</f>
        <v>-37610.01</v>
      </c>
    </row>
    <row r="1552" customFormat="false" ht="12.75" hidden="false" customHeight="false" outlineLevel="0" collapsed="false">
      <c r="A1552" s="1" t="n">
        <v>82</v>
      </c>
      <c r="B1552" s="1" t="n">
        <v>47</v>
      </c>
      <c r="C1552" s="1" t="n">
        <v>129</v>
      </c>
      <c r="D1552" s="1" t="s">
        <v>607</v>
      </c>
      <c r="E1552" s="1" t="s">
        <v>750</v>
      </c>
      <c r="F1552" s="1" t="s">
        <v>378</v>
      </c>
      <c r="G1552" s="1" t="n">
        <f aca="false">IF(ISNUMBER(E1552),E1552,VALUE(SUBSTITUTE(E1552,"#",".01")))</f>
        <v>-51980.01</v>
      </c>
    </row>
    <row r="1553" customFormat="false" ht="12.75" hidden="false" customHeight="false" outlineLevel="0" collapsed="false">
      <c r="A1553" s="1" t="n">
        <v>81</v>
      </c>
      <c r="B1553" s="1" t="n">
        <v>48</v>
      </c>
      <c r="C1553" s="1" t="n">
        <v>129</v>
      </c>
      <c r="D1553" s="1" t="s">
        <v>615</v>
      </c>
      <c r="E1553" s="1" t="n">
        <v>-63058.046</v>
      </c>
      <c r="F1553" s="1" t="n">
        <v>16.767</v>
      </c>
      <c r="G1553" s="1" t="n">
        <f aca="false">IF(ISNUMBER(E1553),E1553,VALUE(SUBSTITUTE(E1553,"#",".01")))</f>
        <v>-63058.046</v>
      </c>
    </row>
    <row r="1554" customFormat="false" ht="12.75" hidden="false" customHeight="false" outlineLevel="0" collapsed="false">
      <c r="A1554" s="1" t="n">
        <v>80</v>
      </c>
      <c r="B1554" s="1" t="n">
        <v>49</v>
      </c>
      <c r="C1554" s="1" t="n">
        <v>129</v>
      </c>
      <c r="D1554" s="1" t="s">
        <v>623</v>
      </c>
      <c r="E1554" s="1" t="n">
        <v>-72837.72</v>
      </c>
      <c r="F1554" s="1" t="n">
        <v>2.693</v>
      </c>
      <c r="G1554" s="1" t="n">
        <f aca="false">IF(ISNUMBER(E1554),E1554,VALUE(SUBSTITUTE(E1554,"#",".01")))</f>
        <v>-72837.72</v>
      </c>
    </row>
    <row r="1555" customFormat="false" ht="12.75" hidden="false" customHeight="false" outlineLevel="0" collapsed="false">
      <c r="A1555" s="1" t="n">
        <v>79</v>
      </c>
      <c r="B1555" s="1" t="n">
        <v>50</v>
      </c>
      <c r="C1555" s="1" t="n">
        <v>129</v>
      </c>
      <c r="D1555" s="1" t="s">
        <v>633</v>
      </c>
      <c r="E1555" s="1" t="n">
        <v>-80590.903</v>
      </c>
      <c r="F1555" s="1" t="n">
        <v>17.277</v>
      </c>
      <c r="G1555" s="1" t="n">
        <f aca="false">IF(ISNUMBER(E1555),E1555,VALUE(SUBSTITUTE(E1555,"#",".01")))</f>
        <v>-80590.903</v>
      </c>
    </row>
    <row r="1556" customFormat="false" ht="12.75" hidden="false" customHeight="false" outlineLevel="0" collapsed="false">
      <c r="A1556" s="1" t="n">
        <v>78</v>
      </c>
      <c r="B1556" s="1" t="n">
        <v>51</v>
      </c>
      <c r="C1556" s="1" t="n">
        <v>129</v>
      </c>
      <c r="D1556" s="1" t="s">
        <v>642</v>
      </c>
      <c r="E1556" s="1" t="n">
        <v>-84629.307</v>
      </c>
      <c r="F1556" s="1" t="n">
        <v>21.231</v>
      </c>
      <c r="G1556" s="1" t="n">
        <f aca="false">IF(ISNUMBER(E1556),E1556,VALUE(SUBSTITUTE(E1556,"#",".01")))</f>
        <v>-84629.307</v>
      </c>
    </row>
    <row r="1557" customFormat="false" ht="12.75" hidden="false" customHeight="false" outlineLevel="0" collapsed="false">
      <c r="A1557" s="1" t="n">
        <v>77</v>
      </c>
      <c r="B1557" s="1" t="n">
        <v>52</v>
      </c>
      <c r="C1557" s="1" t="n">
        <v>129</v>
      </c>
      <c r="D1557" s="1" t="s">
        <v>647</v>
      </c>
      <c r="E1557" s="1" t="n">
        <v>-87004.807</v>
      </c>
      <c r="F1557" s="1" t="n">
        <v>0.869</v>
      </c>
      <c r="G1557" s="1" t="n">
        <f aca="false">IF(ISNUMBER(E1557),E1557,VALUE(SUBSTITUTE(E1557,"#",".01")))</f>
        <v>-87004.807</v>
      </c>
    </row>
    <row r="1558" customFormat="false" ht="12.75" hidden="false" customHeight="false" outlineLevel="0" collapsed="false">
      <c r="A1558" s="1" t="n">
        <v>76</v>
      </c>
      <c r="B1558" s="1" t="n">
        <v>53</v>
      </c>
      <c r="C1558" s="1" t="n">
        <v>129</v>
      </c>
      <c r="D1558" s="1" t="s">
        <v>652</v>
      </c>
      <c r="E1558" s="1" t="n">
        <v>-88507.125</v>
      </c>
      <c r="F1558" s="1" t="n">
        <v>3.168</v>
      </c>
      <c r="G1558" s="1" t="n">
        <f aca="false">IF(ISNUMBER(E1558),E1558,VALUE(SUBSTITUTE(E1558,"#",".01")))</f>
        <v>-88507.125</v>
      </c>
    </row>
    <row r="1559" customFormat="false" ht="12.75" hidden="false" customHeight="false" outlineLevel="0" collapsed="false">
      <c r="A1559" s="1" t="n">
        <v>75</v>
      </c>
      <c r="B1559" s="1" t="n">
        <v>54</v>
      </c>
      <c r="C1559" s="1" t="n">
        <v>129</v>
      </c>
      <c r="D1559" s="1" t="s">
        <v>658</v>
      </c>
      <c r="E1559" s="1" t="n">
        <v>-88696.05896</v>
      </c>
      <c r="F1559" s="1" t="n">
        <v>0.00537</v>
      </c>
      <c r="G1559" s="1" t="n">
        <f aca="false">IF(ISNUMBER(E1559),E1559,VALUE(SUBSTITUTE(E1559,"#",".01")))</f>
        <v>-88696.05896</v>
      </c>
    </row>
    <row r="1560" customFormat="false" ht="12.75" hidden="false" customHeight="false" outlineLevel="0" collapsed="false">
      <c r="A1560" s="1" t="n">
        <v>74</v>
      </c>
      <c r="B1560" s="1" t="n">
        <v>55</v>
      </c>
      <c r="C1560" s="1" t="n">
        <v>129</v>
      </c>
      <c r="D1560" s="1" t="s">
        <v>662</v>
      </c>
      <c r="E1560" s="1" t="n">
        <v>-87499.246</v>
      </c>
      <c r="F1560" s="1" t="n">
        <v>4.555</v>
      </c>
      <c r="G1560" s="1" t="n">
        <f aca="false">IF(ISNUMBER(E1560),E1560,VALUE(SUBSTITUTE(E1560,"#",".01")))</f>
        <v>-87499.246</v>
      </c>
    </row>
    <row r="1561" customFormat="false" ht="12.75" hidden="false" customHeight="false" outlineLevel="0" collapsed="false">
      <c r="A1561" s="1" t="n">
        <v>73</v>
      </c>
      <c r="B1561" s="1" t="n">
        <v>56</v>
      </c>
      <c r="C1561" s="1" t="n">
        <v>129</v>
      </c>
      <c r="D1561" s="1" t="s">
        <v>669</v>
      </c>
      <c r="E1561" s="1" t="n">
        <v>-85063.198</v>
      </c>
      <c r="F1561" s="1" t="n">
        <v>10.577</v>
      </c>
      <c r="G1561" s="1" t="n">
        <f aca="false">IF(ISNUMBER(E1561),E1561,VALUE(SUBSTITUTE(E1561,"#",".01")))</f>
        <v>-85063.198</v>
      </c>
    </row>
    <row r="1562" customFormat="false" ht="12.75" hidden="false" customHeight="false" outlineLevel="0" collapsed="false">
      <c r="A1562" s="1" t="n">
        <v>72</v>
      </c>
      <c r="B1562" s="1" t="n">
        <v>57</v>
      </c>
      <c r="C1562" s="1" t="n">
        <v>129</v>
      </c>
      <c r="D1562" s="1" t="s">
        <v>682</v>
      </c>
      <c r="E1562" s="1" t="n">
        <v>-81324.573</v>
      </c>
      <c r="F1562" s="1" t="n">
        <v>21.351</v>
      </c>
      <c r="G1562" s="1" t="n">
        <f aca="false">IF(ISNUMBER(E1562),E1562,VALUE(SUBSTITUTE(E1562,"#",".01")))</f>
        <v>-81324.573</v>
      </c>
    </row>
    <row r="1563" customFormat="false" ht="12.75" hidden="false" customHeight="false" outlineLevel="0" collapsed="false">
      <c r="A1563" s="1" t="n">
        <v>71</v>
      </c>
      <c r="B1563" s="1" t="n">
        <v>58</v>
      </c>
      <c r="C1563" s="1" t="n">
        <v>129</v>
      </c>
      <c r="D1563" s="1" t="s">
        <v>696</v>
      </c>
      <c r="E1563" s="1" t="n">
        <v>-76287.496</v>
      </c>
      <c r="F1563" s="1" t="n">
        <v>27.945</v>
      </c>
      <c r="G1563" s="1" t="n">
        <f aca="false">IF(ISNUMBER(E1563),E1563,VALUE(SUBSTITUTE(E1563,"#",".01")))</f>
        <v>-76287.496</v>
      </c>
    </row>
    <row r="1564" customFormat="false" ht="12.75" hidden="false" customHeight="false" outlineLevel="0" collapsed="false">
      <c r="A1564" s="1" t="n">
        <v>70</v>
      </c>
      <c r="B1564" s="1" t="n">
        <v>59</v>
      </c>
      <c r="C1564" s="1" t="n">
        <v>129</v>
      </c>
      <c r="D1564" s="1" t="s">
        <v>707</v>
      </c>
      <c r="E1564" s="1" t="n">
        <v>-69773.558</v>
      </c>
      <c r="F1564" s="1" t="n">
        <v>29.808</v>
      </c>
      <c r="G1564" s="1" t="n">
        <f aca="false">IF(ISNUMBER(E1564),E1564,VALUE(SUBSTITUTE(E1564,"#",".01")))</f>
        <v>-69773.558</v>
      </c>
    </row>
    <row r="1565" customFormat="false" ht="12.75" hidden="false" customHeight="false" outlineLevel="0" collapsed="false">
      <c r="A1565" s="1" t="n">
        <v>69</v>
      </c>
      <c r="B1565" s="1" t="n">
        <v>60</v>
      </c>
      <c r="C1565" s="1" t="n">
        <v>129</v>
      </c>
      <c r="D1565" s="1" t="s">
        <v>724</v>
      </c>
      <c r="E1565" s="1" t="s">
        <v>751</v>
      </c>
      <c r="F1565" s="1" t="s">
        <v>752</v>
      </c>
      <c r="G1565" s="1" t="n">
        <f aca="false">IF(ISNUMBER(E1565),E1565,VALUE(SUBSTITUTE(E1565,"#",".01")))</f>
        <v>-62315.01</v>
      </c>
    </row>
    <row r="1566" customFormat="false" ht="12.75" hidden="false" customHeight="false" outlineLevel="0" collapsed="false">
      <c r="A1566" s="1" t="n">
        <v>68</v>
      </c>
      <c r="B1566" s="1" t="n">
        <v>61</v>
      </c>
      <c r="C1566" s="1" t="n">
        <v>129</v>
      </c>
      <c r="D1566" s="1" t="s">
        <v>736</v>
      </c>
      <c r="E1566" s="1" t="s">
        <v>753</v>
      </c>
      <c r="F1566" s="1" t="s">
        <v>360</v>
      </c>
      <c r="G1566" s="1" t="n">
        <f aca="false">IF(ISNUMBER(E1566),E1566,VALUE(SUBSTITUTE(E1566,"#",".01")))</f>
        <v>-52881.01</v>
      </c>
    </row>
    <row r="1567" customFormat="false" ht="12.75" hidden="false" customHeight="false" outlineLevel="0" collapsed="false">
      <c r="A1567" s="1" t="n">
        <v>67</v>
      </c>
      <c r="B1567" s="1" t="n">
        <v>62</v>
      </c>
      <c r="C1567" s="1" t="n">
        <v>129</v>
      </c>
      <c r="D1567" s="1" t="s">
        <v>747</v>
      </c>
      <c r="E1567" s="1" t="s">
        <v>726</v>
      </c>
      <c r="F1567" s="1" t="s">
        <v>337</v>
      </c>
      <c r="G1567" s="1" t="n">
        <f aca="false">IF(ISNUMBER(E1567),E1567,VALUE(SUBSTITUTE(E1567,"#",".01")))</f>
        <v>-42000.01</v>
      </c>
    </row>
    <row r="1568" customFormat="false" ht="12.75" hidden="false" customHeight="false" outlineLevel="0" collapsed="false">
      <c r="A1568" s="1" t="n">
        <v>83</v>
      </c>
      <c r="B1568" s="1" t="n">
        <v>47</v>
      </c>
      <c r="C1568" s="1" t="n">
        <v>130</v>
      </c>
      <c r="D1568" s="1" t="s">
        <v>607</v>
      </c>
      <c r="E1568" s="1" t="s">
        <v>754</v>
      </c>
      <c r="F1568" s="1" t="s">
        <v>337</v>
      </c>
      <c r="G1568" s="1" t="n">
        <f aca="false">IF(ISNUMBER(E1568),E1568,VALUE(SUBSTITUTE(E1568,"#",".01")))</f>
        <v>-45697.01</v>
      </c>
    </row>
    <row r="1569" customFormat="false" ht="12.75" hidden="false" customHeight="false" outlineLevel="0" collapsed="false">
      <c r="A1569" s="1" t="n">
        <v>82</v>
      </c>
      <c r="B1569" s="1" t="n">
        <v>48</v>
      </c>
      <c r="C1569" s="1" t="n">
        <v>130</v>
      </c>
      <c r="D1569" s="1" t="s">
        <v>615</v>
      </c>
      <c r="E1569" s="1" t="n">
        <v>-61117.589</v>
      </c>
      <c r="F1569" s="1" t="n">
        <v>22.356</v>
      </c>
      <c r="G1569" s="1" t="n">
        <f aca="false">IF(ISNUMBER(E1569),E1569,VALUE(SUBSTITUTE(E1569,"#",".01")))</f>
        <v>-61117.589</v>
      </c>
    </row>
    <row r="1570" customFormat="false" ht="12.75" hidden="false" customHeight="false" outlineLevel="0" collapsed="false">
      <c r="A1570" s="1" t="n">
        <v>81</v>
      </c>
      <c r="B1570" s="1" t="n">
        <v>49</v>
      </c>
      <c r="C1570" s="1" t="n">
        <v>130</v>
      </c>
      <c r="D1570" s="1" t="s">
        <v>623</v>
      </c>
      <c r="E1570" s="1" t="n">
        <v>-69883.206</v>
      </c>
      <c r="F1570" s="1" t="n">
        <v>38.046</v>
      </c>
      <c r="G1570" s="1" t="n">
        <f aca="false">IF(ISNUMBER(E1570),E1570,VALUE(SUBSTITUTE(E1570,"#",".01")))</f>
        <v>-69883.206</v>
      </c>
    </row>
    <row r="1571" customFormat="false" ht="12.75" hidden="false" customHeight="false" outlineLevel="0" collapsed="false">
      <c r="A1571" s="1" t="n">
        <v>80</v>
      </c>
      <c r="B1571" s="1" t="n">
        <v>50</v>
      </c>
      <c r="C1571" s="1" t="n">
        <v>130</v>
      </c>
      <c r="D1571" s="1" t="s">
        <v>633</v>
      </c>
      <c r="E1571" s="1" t="n">
        <v>-80132.206</v>
      </c>
      <c r="F1571" s="1" t="n">
        <v>1.873</v>
      </c>
      <c r="G1571" s="1" t="n">
        <f aca="false">IF(ISNUMBER(E1571),E1571,VALUE(SUBSTITUTE(E1571,"#",".01")))</f>
        <v>-80132.206</v>
      </c>
    </row>
    <row r="1572" customFormat="false" ht="12.75" hidden="false" customHeight="false" outlineLevel="0" collapsed="false">
      <c r="A1572" s="1" t="n">
        <v>79</v>
      </c>
      <c r="B1572" s="1" t="n">
        <v>51</v>
      </c>
      <c r="C1572" s="1" t="n">
        <v>130</v>
      </c>
      <c r="D1572" s="1" t="s">
        <v>642</v>
      </c>
      <c r="E1572" s="1" t="n">
        <v>-82285.676</v>
      </c>
      <c r="F1572" s="1" t="n">
        <v>14.212</v>
      </c>
      <c r="G1572" s="1" t="n">
        <f aca="false">IF(ISNUMBER(E1572),E1572,VALUE(SUBSTITUTE(E1572,"#",".01")))</f>
        <v>-82285.676</v>
      </c>
    </row>
    <row r="1573" customFormat="false" ht="12.75" hidden="false" customHeight="false" outlineLevel="0" collapsed="false">
      <c r="A1573" s="1" t="n">
        <v>78</v>
      </c>
      <c r="B1573" s="1" t="n">
        <v>52</v>
      </c>
      <c r="C1573" s="1" t="n">
        <v>130</v>
      </c>
      <c r="D1573" s="1" t="s">
        <v>647</v>
      </c>
      <c r="E1573" s="1" t="n">
        <v>-87352.949</v>
      </c>
      <c r="F1573" s="1" t="n">
        <v>0.011</v>
      </c>
      <c r="G1573" s="1" t="n">
        <f aca="false">IF(ISNUMBER(E1573),E1573,VALUE(SUBSTITUTE(E1573,"#",".01")))</f>
        <v>-87352.949</v>
      </c>
    </row>
    <row r="1574" customFormat="false" ht="12.75" hidden="false" customHeight="false" outlineLevel="0" collapsed="false">
      <c r="A1574" s="1" t="n">
        <v>77</v>
      </c>
      <c r="B1574" s="1" t="n">
        <v>53</v>
      </c>
      <c r="C1574" s="1" t="n">
        <v>130</v>
      </c>
      <c r="D1574" s="1" t="s">
        <v>652</v>
      </c>
      <c r="E1574" s="1" t="n">
        <v>-86936.138</v>
      </c>
      <c r="F1574" s="1" t="n">
        <v>3.168</v>
      </c>
      <c r="G1574" s="1" t="n">
        <f aca="false">IF(ISNUMBER(E1574),E1574,VALUE(SUBSTITUTE(E1574,"#",".01")))</f>
        <v>-86936.138</v>
      </c>
    </row>
    <row r="1575" customFormat="false" ht="12.75" hidden="false" customHeight="false" outlineLevel="0" collapsed="false">
      <c r="A1575" s="1" t="n">
        <v>76</v>
      </c>
      <c r="B1575" s="1" t="n">
        <v>54</v>
      </c>
      <c r="C1575" s="1" t="n">
        <v>130</v>
      </c>
      <c r="D1575" s="1" t="s">
        <v>658</v>
      </c>
      <c r="E1575" s="1" t="n">
        <v>-89880.463</v>
      </c>
      <c r="F1575" s="1" t="n">
        <v>0.009</v>
      </c>
      <c r="G1575" s="1" t="n">
        <f aca="false">IF(ISNUMBER(E1575),E1575,VALUE(SUBSTITUTE(E1575,"#",".01")))</f>
        <v>-89880.463</v>
      </c>
    </row>
    <row r="1576" customFormat="false" ht="12.75" hidden="false" customHeight="false" outlineLevel="0" collapsed="false">
      <c r="A1576" s="1" t="n">
        <v>75</v>
      </c>
      <c r="B1576" s="1" t="n">
        <v>55</v>
      </c>
      <c r="C1576" s="1" t="n">
        <v>130</v>
      </c>
      <c r="D1576" s="1" t="s">
        <v>662</v>
      </c>
      <c r="E1576" s="1" t="n">
        <v>-86899.743</v>
      </c>
      <c r="F1576" s="1" t="n">
        <v>8.357</v>
      </c>
      <c r="G1576" s="1" t="n">
        <f aca="false">IF(ISNUMBER(E1576),E1576,VALUE(SUBSTITUTE(E1576,"#",".01")))</f>
        <v>-86899.743</v>
      </c>
    </row>
    <row r="1577" customFormat="false" ht="12.75" hidden="false" customHeight="false" outlineLevel="0" collapsed="false">
      <c r="A1577" s="1" t="n">
        <v>74</v>
      </c>
      <c r="B1577" s="1" t="n">
        <v>56</v>
      </c>
      <c r="C1577" s="1" t="n">
        <v>130</v>
      </c>
      <c r="D1577" s="1" t="s">
        <v>669</v>
      </c>
      <c r="E1577" s="1" t="n">
        <v>-87261.544</v>
      </c>
      <c r="F1577" s="1" t="n">
        <v>2.553</v>
      </c>
      <c r="G1577" s="1" t="n">
        <f aca="false">IF(ISNUMBER(E1577),E1577,VALUE(SUBSTITUTE(E1577,"#",".01")))</f>
        <v>-87261.544</v>
      </c>
    </row>
    <row r="1578" customFormat="false" ht="12.75" hidden="false" customHeight="false" outlineLevel="0" collapsed="false">
      <c r="A1578" s="1" t="n">
        <v>73</v>
      </c>
      <c r="B1578" s="1" t="n">
        <v>57</v>
      </c>
      <c r="C1578" s="1" t="n">
        <v>130</v>
      </c>
      <c r="D1578" s="1" t="s">
        <v>682</v>
      </c>
      <c r="E1578" s="1" t="n">
        <v>-81627.366</v>
      </c>
      <c r="F1578" s="1" t="n">
        <v>25.946</v>
      </c>
      <c r="G1578" s="1" t="n">
        <f aca="false">IF(ISNUMBER(E1578),E1578,VALUE(SUBSTITUTE(E1578,"#",".01")))</f>
        <v>-81627.366</v>
      </c>
    </row>
    <row r="1579" customFormat="false" ht="12.75" hidden="false" customHeight="false" outlineLevel="0" collapsed="false">
      <c r="A1579" s="1" t="n">
        <v>72</v>
      </c>
      <c r="B1579" s="1" t="n">
        <v>58</v>
      </c>
      <c r="C1579" s="1" t="n">
        <v>130</v>
      </c>
      <c r="D1579" s="1" t="s">
        <v>696</v>
      </c>
      <c r="E1579" s="1" t="n">
        <v>-79422.905</v>
      </c>
      <c r="F1579" s="1" t="n">
        <v>27.945</v>
      </c>
      <c r="G1579" s="1" t="n">
        <f aca="false">IF(ISNUMBER(E1579),E1579,VALUE(SUBSTITUTE(E1579,"#",".01")))</f>
        <v>-79422.905</v>
      </c>
    </row>
    <row r="1580" customFormat="false" ht="12.75" hidden="false" customHeight="false" outlineLevel="0" collapsed="false">
      <c r="A1580" s="1" t="n">
        <v>71</v>
      </c>
      <c r="B1580" s="1" t="n">
        <v>59</v>
      </c>
      <c r="C1580" s="1" t="n">
        <v>130</v>
      </c>
      <c r="D1580" s="1" t="s">
        <v>707</v>
      </c>
      <c r="E1580" s="1" t="n">
        <v>-71175.457</v>
      </c>
      <c r="F1580" s="1" t="n">
        <v>64.273</v>
      </c>
      <c r="G1580" s="1" t="n">
        <f aca="false">IF(ISNUMBER(E1580),E1580,VALUE(SUBSTITUTE(E1580,"#",".01")))</f>
        <v>-71175.457</v>
      </c>
    </row>
    <row r="1581" customFormat="false" ht="12.75" hidden="false" customHeight="false" outlineLevel="0" collapsed="false">
      <c r="A1581" s="1" t="n">
        <v>70</v>
      </c>
      <c r="B1581" s="1" t="n">
        <v>60</v>
      </c>
      <c r="C1581" s="1" t="n">
        <v>130</v>
      </c>
      <c r="D1581" s="1" t="s">
        <v>724</v>
      </c>
      <c r="E1581" s="1" t="n">
        <v>-66596.232</v>
      </c>
      <c r="F1581" s="1" t="n">
        <v>27.945</v>
      </c>
      <c r="G1581" s="1" t="n">
        <f aca="false">IF(ISNUMBER(E1581),E1581,VALUE(SUBSTITUTE(E1581,"#",".01")))</f>
        <v>-66596.232</v>
      </c>
    </row>
    <row r="1582" customFormat="false" ht="12.75" hidden="false" customHeight="false" outlineLevel="0" collapsed="false">
      <c r="A1582" s="1" t="n">
        <v>69</v>
      </c>
      <c r="B1582" s="1" t="n">
        <v>61</v>
      </c>
      <c r="C1582" s="1" t="n">
        <v>130</v>
      </c>
      <c r="D1582" s="1" t="s">
        <v>736</v>
      </c>
      <c r="E1582" s="1" t="s">
        <v>755</v>
      </c>
      <c r="F1582" s="1" t="s">
        <v>333</v>
      </c>
      <c r="G1582" s="1" t="n">
        <f aca="false">IF(ISNUMBER(E1582),E1582,VALUE(SUBSTITUTE(E1582,"#",".01")))</f>
        <v>-55396.01</v>
      </c>
    </row>
    <row r="1583" customFormat="false" ht="12.75" hidden="false" customHeight="false" outlineLevel="0" collapsed="false">
      <c r="A1583" s="1" t="n">
        <v>68</v>
      </c>
      <c r="B1583" s="1" t="n">
        <v>62</v>
      </c>
      <c r="C1583" s="1" t="n">
        <v>130</v>
      </c>
      <c r="D1583" s="1" t="s">
        <v>747</v>
      </c>
      <c r="E1583" s="1" t="s">
        <v>756</v>
      </c>
      <c r="F1583" s="1" t="s">
        <v>320</v>
      </c>
      <c r="G1583" s="1" t="n">
        <f aca="false">IF(ISNUMBER(E1583),E1583,VALUE(SUBSTITUTE(E1583,"#",".01")))</f>
        <v>-47506.01</v>
      </c>
    </row>
    <row r="1584" customFormat="false" ht="12.75" hidden="false" customHeight="false" outlineLevel="0" collapsed="false">
      <c r="A1584" s="1" t="n">
        <v>67</v>
      </c>
      <c r="B1584" s="1" t="n">
        <v>63</v>
      </c>
      <c r="C1584" s="1" t="n">
        <v>130</v>
      </c>
      <c r="D1584" s="1" t="s">
        <v>757</v>
      </c>
      <c r="E1584" s="1" t="s">
        <v>758</v>
      </c>
      <c r="F1584" s="1" t="s">
        <v>337</v>
      </c>
      <c r="G1584" s="1" t="n">
        <f aca="false">IF(ISNUMBER(E1584),E1584,VALUE(SUBSTITUTE(E1584,"#",".01")))</f>
        <v>-33683.01</v>
      </c>
    </row>
    <row r="1585" customFormat="false" ht="12.75" hidden="false" customHeight="false" outlineLevel="0" collapsed="false">
      <c r="A1585" s="1" t="n">
        <v>84</v>
      </c>
      <c r="B1585" s="1" t="n">
        <v>47</v>
      </c>
      <c r="C1585" s="1" t="n">
        <v>131</v>
      </c>
      <c r="D1585" s="1" t="s">
        <v>607</v>
      </c>
      <c r="E1585" s="1" t="s">
        <v>759</v>
      </c>
      <c r="F1585" s="1" t="s">
        <v>337</v>
      </c>
      <c r="G1585" s="1" t="n">
        <f aca="false">IF(ISNUMBER(E1585),E1585,VALUE(SUBSTITUTE(E1585,"#",".01")))</f>
        <v>-40380.01</v>
      </c>
    </row>
    <row r="1586" customFormat="false" ht="12.75" hidden="false" customHeight="false" outlineLevel="0" collapsed="false">
      <c r="A1586" s="1" t="n">
        <v>83</v>
      </c>
      <c r="B1586" s="1" t="n">
        <v>48</v>
      </c>
      <c r="C1586" s="1" t="n">
        <v>131</v>
      </c>
      <c r="D1586" s="1" t="s">
        <v>615</v>
      </c>
      <c r="E1586" s="1" t="n">
        <v>-55218.965</v>
      </c>
      <c r="F1586" s="1" t="n">
        <v>102.464</v>
      </c>
      <c r="G1586" s="1" t="n">
        <f aca="false">IF(ISNUMBER(E1586),E1586,VALUE(SUBSTITUTE(E1586,"#",".01")))</f>
        <v>-55218.965</v>
      </c>
    </row>
    <row r="1587" customFormat="false" ht="12.75" hidden="false" customHeight="false" outlineLevel="0" collapsed="false">
      <c r="A1587" s="1" t="n">
        <v>82</v>
      </c>
      <c r="B1587" s="1" t="n">
        <v>49</v>
      </c>
      <c r="C1587" s="1" t="n">
        <v>131</v>
      </c>
      <c r="D1587" s="1" t="s">
        <v>623</v>
      </c>
      <c r="E1587" s="1" t="n">
        <v>-68025.03</v>
      </c>
      <c r="F1587" s="1" t="n">
        <v>2.701</v>
      </c>
      <c r="G1587" s="1" t="n">
        <f aca="false">IF(ISNUMBER(E1587),E1587,VALUE(SUBSTITUTE(E1587,"#",".01")))</f>
        <v>-68025.03</v>
      </c>
    </row>
    <row r="1588" customFormat="false" ht="12.75" hidden="false" customHeight="false" outlineLevel="0" collapsed="false">
      <c r="A1588" s="1" t="n">
        <v>81</v>
      </c>
      <c r="B1588" s="1" t="n">
        <v>50</v>
      </c>
      <c r="C1588" s="1" t="n">
        <v>131</v>
      </c>
      <c r="D1588" s="1" t="s">
        <v>633</v>
      </c>
      <c r="E1588" s="1" t="n">
        <v>-77264.571</v>
      </c>
      <c r="F1588" s="1" t="n">
        <v>3.621</v>
      </c>
      <c r="G1588" s="1" t="n">
        <f aca="false">IF(ISNUMBER(E1588),E1588,VALUE(SUBSTITUTE(E1588,"#",".01")))</f>
        <v>-77264.571</v>
      </c>
    </row>
    <row r="1589" customFormat="false" ht="12.75" hidden="false" customHeight="false" outlineLevel="0" collapsed="false">
      <c r="A1589" s="1" t="n">
        <v>80</v>
      </c>
      <c r="B1589" s="1" t="n">
        <v>51</v>
      </c>
      <c r="C1589" s="1" t="n">
        <v>131</v>
      </c>
      <c r="D1589" s="1" t="s">
        <v>642</v>
      </c>
      <c r="E1589" s="1" t="n">
        <v>-81981.401</v>
      </c>
      <c r="F1589" s="1" t="n">
        <v>2.084</v>
      </c>
      <c r="G1589" s="1" t="n">
        <f aca="false">IF(ISNUMBER(E1589),E1589,VALUE(SUBSTITUTE(E1589,"#",".01")))</f>
        <v>-81981.401</v>
      </c>
    </row>
    <row r="1590" customFormat="false" ht="12.75" hidden="false" customHeight="false" outlineLevel="0" collapsed="false">
      <c r="A1590" s="1" t="n">
        <v>79</v>
      </c>
      <c r="B1590" s="1" t="n">
        <v>52</v>
      </c>
      <c r="C1590" s="1" t="n">
        <v>131</v>
      </c>
      <c r="D1590" s="1" t="s">
        <v>647</v>
      </c>
      <c r="E1590" s="1" t="n">
        <v>-85211.012</v>
      </c>
      <c r="F1590" s="1" t="n">
        <v>0.061</v>
      </c>
      <c r="G1590" s="1" t="n">
        <f aca="false">IF(ISNUMBER(E1590),E1590,VALUE(SUBSTITUTE(E1590,"#",".01")))</f>
        <v>-85211.012</v>
      </c>
    </row>
    <row r="1591" customFormat="false" ht="12.75" hidden="false" customHeight="false" outlineLevel="0" collapsed="false">
      <c r="A1591" s="1" t="n">
        <v>78</v>
      </c>
      <c r="B1591" s="1" t="n">
        <v>53</v>
      </c>
      <c r="C1591" s="1" t="n">
        <v>131</v>
      </c>
      <c r="D1591" s="1" t="s">
        <v>652</v>
      </c>
      <c r="E1591" s="1" t="n">
        <v>-87442.71</v>
      </c>
      <c r="F1591" s="1" t="n">
        <v>0.605</v>
      </c>
      <c r="G1591" s="1" t="n">
        <f aca="false">IF(ISNUMBER(E1591),E1591,VALUE(SUBSTITUTE(E1591,"#",".01")))</f>
        <v>-87442.71</v>
      </c>
    </row>
    <row r="1592" customFormat="false" ht="12.75" hidden="false" customHeight="false" outlineLevel="0" collapsed="false">
      <c r="A1592" s="1" t="n">
        <v>77</v>
      </c>
      <c r="B1592" s="1" t="n">
        <v>54</v>
      </c>
      <c r="C1592" s="1" t="n">
        <v>131</v>
      </c>
      <c r="D1592" s="1" t="s">
        <v>658</v>
      </c>
      <c r="E1592" s="1" t="n">
        <v>-88413.558</v>
      </c>
      <c r="F1592" s="1" t="n">
        <v>0.009</v>
      </c>
      <c r="G1592" s="1" t="n">
        <f aca="false">IF(ISNUMBER(E1592),E1592,VALUE(SUBSTITUTE(E1592,"#",".01")))</f>
        <v>-88413.558</v>
      </c>
    </row>
    <row r="1593" customFormat="false" ht="12.75" hidden="false" customHeight="false" outlineLevel="0" collapsed="false">
      <c r="A1593" s="1" t="n">
        <v>76</v>
      </c>
      <c r="B1593" s="1" t="n">
        <v>55</v>
      </c>
      <c r="C1593" s="1" t="n">
        <v>131</v>
      </c>
      <c r="D1593" s="1" t="s">
        <v>662</v>
      </c>
      <c r="E1593" s="1" t="n">
        <v>-88058.786</v>
      </c>
      <c r="F1593" s="1" t="n">
        <v>4.974</v>
      </c>
      <c r="G1593" s="1" t="n">
        <f aca="false">IF(ISNUMBER(E1593),E1593,VALUE(SUBSTITUTE(E1593,"#",".01")))</f>
        <v>-88058.786</v>
      </c>
    </row>
    <row r="1594" customFormat="false" ht="12.75" hidden="false" customHeight="false" outlineLevel="0" collapsed="false">
      <c r="A1594" s="1" t="n">
        <v>75</v>
      </c>
      <c r="B1594" s="1" t="n">
        <v>56</v>
      </c>
      <c r="C1594" s="1" t="n">
        <v>131</v>
      </c>
      <c r="D1594" s="1" t="s">
        <v>669</v>
      </c>
      <c r="E1594" s="1" t="n">
        <v>-86683.731</v>
      </c>
      <c r="F1594" s="1" t="n">
        <v>2.569</v>
      </c>
      <c r="G1594" s="1" t="n">
        <f aca="false">IF(ISNUMBER(E1594),E1594,VALUE(SUBSTITUTE(E1594,"#",".01")))</f>
        <v>-86683.731</v>
      </c>
    </row>
    <row r="1595" customFormat="false" ht="12.75" hidden="false" customHeight="false" outlineLevel="0" collapsed="false">
      <c r="A1595" s="1" t="n">
        <v>74</v>
      </c>
      <c r="B1595" s="1" t="n">
        <v>57</v>
      </c>
      <c r="C1595" s="1" t="n">
        <v>131</v>
      </c>
      <c r="D1595" s="1" t="s">
        <v>682</v>
      </c>
      <c r="E1595" s="1" t="n">
        <v>-83769.256</v>
      </c>
      <c r="F1595" s="1" t="n">
        <v>27.945</v>
      </c>
      <c r="G1595" s="1" t="n">
        <f aca="false">IF(ISNUMBER(E1595),E1595,VALUE(SUBSTITUTE(E1595,"#",".01")))</f>
        <v>-83769.256</v>
      </c>
    </row>
    <row r="1596" customFormat="false" ht="12.75" hidden="false" customHeight="false" outlineLevel="0" collapsed="false">
      <c r="A1596" s="1" t="n">
        <v>73</v>
      </c>
      <c r="B1596" s="1" t="n">
        <v>58</v>
      </c>
      <c r="C1596" s="1" t="n">
        <v>131</v>
      </c>
      <c r="D1596" s="1" t="s">
        <v>696</v>
      </c>
      <c r="E1596" s="1" t="n">
        <v>-79708.44</v>
      </c>
      <c r="F1596" s="1" t="n">
        <v>32.802</v>
      </c>
      <c r="G1596" s="1" t="n">
        <f aca="false">IF(ISNUMBER(E1596),E1596,VALUE(SUBSTITUTE(E1596,"#",".01")))</f>
        <v>-79708.44</v>
      </c>
    </row>
    <row r="1597" customFormat="false" ht="12.75" hidden="false" customHeight="false" outlineLevel="0" collapsed="false">
      <c r="A1597" s="1" t="n">
        <v>72</v>
      </c>
      <c r="B1597" s="1" t="n">
        <v>59</v>
      </c>
      <c r="C1597" s="1" t="n">
        <v>131</v>
      </c>
      <c r="D1597" s="1" t="s">
        <v>707</v>
      </c>
      <c r="E1597" s="1" t="n">
        <v>-74300.656</v>
      </c>
      <c r="F1597" s="1" t="n">
        <v>46.995</v>
      </c>
      <c r="G1597" s="1" t="n">
        <f aca="false">IF(ISNUMBER(E1597),E1597,VALUE(SUBSTITUTE(E1597,"#",".01")))</f>
        <v>-74300.656</v>
      </c>
    </row>
    <row r="1598" customFormat="false" ht="12.75" hidden="false" customHeight="false" outlineLevel="0" collapsed="false">
      <c r="A1598" s="1" t="n">
        <v>71</v>
      </c>
      <c r="B1598" s="1" t="n">
        <v>60</v>
      </c>
      <c r="C1598" s="1" t="n">
        <v>131</v>
      </c>
      <c r="D1598" s="1" t="s">
        <v>724</v>
      </c>
      <c r="E1598" s="1" t="n">
        <v>-67768.033</v>
      </c>
      <c r="F1598" s="1" t="n">
        <v>27.517</v>
      </c>
      <c r="G1598" s="1" t="n">
        <f aca="false">IF(ISNUMBER(E1598),E1598,VALUE(SUBSTITUTE(E1598,"#",".01")))</f>
        <v>-67768.033</v>
      </c>
    </row>
    <row r="1599" customFormat="false" ht="12.75" hidden="false" customHeight="false" outlineLevel="0" collapsed="false">
      <c r="A1599" s="1" t="n">
        <v>70</v>
      </c>
      <c r="B1599" s="1" t="n">
        <v>61</v>
      </c>
      <c r="C1599" s="1" t="n">
        <v>131</v>
      </c>
      <c r="D1599" s="1" t="s">
        <v>736</v>
      </c>
      <c r="E1599" s="1" t="s">
        <v>760</v>
      </c>
      <c r="F1599" s="1" t="s">
        <v>349</v>
      </c>
      <c r="G1599" s="1" t="n">
        <f aca="false">IF(ISNUMBER(E1599),E1599,VALUE(SUBSTITUTE(E1599,"#",".01")))</f>
        <v>-59660.01</v>
      </c>
    </row>
    <row r="1600" customFormat="false" ht="12.75" hidden="false" customHeight="false" outlineLevel="0" collapsed="false">
      <c r="A1600" s="1" t="n">
        <v>69</v>
      </c>
      <c r="B1600" s="1" t="n">
        <v>62</v>
      </c>
      <c r="C1600" s="1" t="n">
        <v>131</v>
      </c>
      <c r="D1600" s="1" t="s">
        <v>747</v>
      </c>
      <c r="E1600" s="1" t="s">
        <v>761</v>
      </c>
      <c r="F1600" s="1" t="s">
        <v>320</v>
      </c>
      <c r="G1600" s="1" t="n">
        <f aca="false">IF(ISNUMBER(E1600),E1600,VALUE(SUBSTITUTE(E1600,"#",".01")))</f>
        <v>-50133.01</v>
      </c>
    </row>
    <row r="1601" customFormat="false" ht="12.75" hidden="false" customHeight="false" outlineLevel="0" collapsed="false">
      <c r="A1601" s="1" t="n">
        <v>68</v>
      </c>
      <c r="B1601" s="1" t="n">
        <v>63</v>
      </c>
      <c r="C1601" s="1" t="n">
        <v>131</v>
      </c>
      <c r="D1601" s="1" t="s">
        <v>757</v>
      </c>
      <c r="E1601" s="1" t="s">
        <v>762</v>
      </c>
      <c r="F1601" s="1" t="s">
        <v>320</v>
      </c>
      <c r="G1601" s="1" t="n">
        <f aca="false">IF(ISNUMBER(E1601),E1601,VALUE(SUBSTITUTE(E1601,"#",".01")))</f>
        <v>-39270.01</v>
      </c>
    </row>
    <row r="1602" customFormat="false" ht="12.75" hidden="false" customHeight="false" outlineLevel="0" collapsed="false">
      <c r="A1602" s="1" t="n">
        <v>85</v>
      </c>
      <c r="B1602" s="1" t="n">
        <v>47</v>
      </c>
      <c r="C1602" s="1" t="n">
        <v>132</v>
      </c>
      <c r="D1602" s="1" t="s">
        <v>607</v>
      </c>
      <c r="E1602" s="1" t="s">
        <v>763</v>
      </c>
      <c r="F1602" s="1" t="s">
        <v>337</v>
      </c>
      <c r="G1602" s="1" t="n">
        <f aca="false">IF(ISNUMBER(E1602),E1602,VALUE(SUBSTITUTE(E1602,"#",".01")))</f>
        <v>-33790.01</v>
      </c>
    </row>
    <row r="1603" customFormat="false" ht="12.75" hidden="false" customHeight="false" outlineLevel="0" collapsed="false">
      <c r="A1603" s="1" t="n">
        <v>84</v>
      </c>
      <c r="B1603" s="1" t="n">
        <v>48</v>
      </c>
      <c r="C1603" s="1" t="n">
        <v>132</v>
      </c>
      <c r="D1603" s="1" t="s">
        <v>615</v>
      </c>
      <c r="E1603" s="1" t="s">
        <v>764</v>
      </c>
      <c r="F1603" s="1" t="s">
        <v>333</v>
      </c>
      <c r="G1603" s="1" t="n">
        <f aca="false">IF(ISNUMBER(E1603),E1603,VALUE(SUBSTITUTE(E1603,"#",".01")))</f>
        <v>-50263.01</v>
      </c>
    </row>
    <row r="1604" customFormat="false" ht="12.75" hidden="false" customHeight="false" outlineLevel="0" collapsed="false">
      <c r="A1604" s="1" t="n">
        <v>83</v>
      </c>
      <c r="B1604" s="1" t="n">
        <v>49</v>
      </c>
      <c r="C1604" s="1" t="n">
        <v>132</v>
      </c>
      <c r="D1604" s="1" t="s">
        <v>623</v>
      </c>
      <c r="E1604" s="1" t="n">
        <v>-62411.542</v>
      </c>
      <c r="F1604" s="1" t="n">
        <v>60.033</v>
      </c>
      <c r="G1604" s="1" t="n">
        <f aca="false">IF(ISNUMBER(E1604),E1604,VALUE(SUBSTITUTE(E1604,"#",".01")))</f>
        <v>-62411.542</v>
      </c>
    </row>
    <row r="1605" customFormat="false" ht="12.75" hidden="false" customHeight="false" outlineLevel="0" collapsed="false">
      <c r="A1605" s="1" t="n">
        <v>82</v>
      </c>
      <c r="B1605" s="1" t="n">
        <v>50</v>
      </c>
      <c r="C1605" s="1" t="n">
        <v>132</v>
      </c>
      <c r="D1605" s="1" t="s">
        <v>633</v>
      </c>
      <c r="E1605" s="1" t="n">
        <v>-76546.542</v>
      </c>
      <c r="F1605" s="1" t="n">
        <v>1.976</v>
      </c>
      <c r="G1605" s="1" t="n">
        <f aca="false">IF(ISNUMBER(E1605),E1605,VALUE(SUBSTITUTE(E1605,"#",".01")))</f>
        <v>-76546.542</v>
      </c>
    </row>
    <row r="1606" customFormat="false" ht="12.75" hidden="false" customHeight="false" outlineLevel="0" collapsed="false">
      <c r="A1606" s="1" t="n">
        <v>81</v>
      </c>
      <c r="B1606" s="1" t="n">
        <v>51</v>
      </c>
      <c r="C1606" s="1" t="n">
        <v>132</v>
      </c>
      <c r="D1606" s="1" t="s">
        <v>642</v>
      </c>
      <c r="E1606" s="1" t="n">
        <v>-79635.271</v>
      </c>
      <c r="F1606" s="1" t="n">
        <v>2.467</v>
      </c>
      <c r="G1606" s="1" t="n">
        <f aca="false">IF(ISNUMBER(E1606),E1606,VALUE(SUBSTITUTE(E1606,"#",".01")))</f>
        <v>-79635.271</v>
      </c>
    </row>
    <row r="1607" customFormat="false" ht="12.75" hidden="false" customHeight="false" outlineLevel="0" collapsed="false">
      <c r="A1607" s="1" t="n">
        <v>80</v>
      </c>
      <c r="B1607" s="1" t="n">
        <v>52</v>
      </c>
      <c r="C1607" s="1" t="n">
        <v>132</v>
      </c>
      <c r="D1607" s="1" t="s">
        <v>647</v>
      </c>
      <c r="E1607" s="1" t="n">
        <v>-85188.186</v>
      </c>
      <c r="F1607" s="1" t="n">
        <v>3.486</v>
      </c>
      <c r="G1607" s="1" t="n">
        <f aca="false">IF(ISNUMBER(E1607),E1607,VALUE(SUBSTITUTE(E1607,"#",".01")))</f>
        <v>-85188.186</v>
      </c>
    </row>
    <row r="1608" customFormat="false" ht="12.75" hidden="false" customHeight="false" outlineLevel="0" collapsed="false">
      <c r="A1608" s="1" t="n">
        <v>79</v>
      </c>
      <c r="B1608" s="1" t="n">
        <v>53</v>
      </c>
      <c r="C1608" s="1" t="n">
        <v>132</v>
      </c>
      <c r="D1608" s="1" t="s">
        <v>652</v>
      </c>
      <c r="E1608" s="1" t="n">
        <v>-85703.49</v>
      </c>
      <c r="F1608" s="1" t="n">
        <v>4.065</v>
      </c>
      <c r="G1608" s="1" t="n">
        <f aca="false">IF(ISNUMBER(E1608),E1608,VALUE(SUBSTITUTE(E1608,"#",".01")))</f>
        <v>-85703.49</v>
      </c>
    </row>
    <row r="1609" customFormat="false" ht="12.75" hidden="false" customHeight="false" outlineLevel="0" collapsed="false">
      <c r="A1609" s="1" t="n">
        <v>78</v>
      </c>
      <c r="B1609" s="1" t="n">
        <v>54</v>
      </c>
      <c r="C1609" s="1" t="n">
        <v>132</v>
      </c>
      <c r="D1609" s="1" t="s">
        <v>658</v>
      </c>
      <c r="E1609" s="1" t="n">
        <v>-89278.96179</v>
      </c>
      <c r="F1609" s="1" t="n">
        <v>0.00515</v>
      </c>
      <c r="G1609" s="1" t="n">
        <f aca="false">IF(ISNUMBER(E1609),E1609,VALUE(SUBSTITUTE(E1609,"#",".01")))</f>
        <v>-89278.96179</v>
      </c>
    </row>
    <row r="1610" customFormat="false" ht="12.75" hidden="false" customHeight="false" outlineLevel="0" collapsed="false">
      <c r="A1610" s="1" t="n">
        <v>77</v>
      </c>
      <c r="B1610" s="1" t="n">
        <v>55</v>
      </c>
      <c r="C1610" s="1" t="n">
        <v>132</v>
      </c>
      <c r="D1610" s="1" t="s">
        <v>662</v>
      </c>
      <c r="E1610" s="1" t="n">
        <v>-87152.681</v>
      </c>
      <c r="F1610" s="1" t="n">
        <v>1.036</v>
      </c>
      <c r="G1610" s="1" t="n">
        <f aca="false">IF(ISNUMBER(E1610),E1610,VALUE(SUBSTITUTE(E1610,"#",".01")))</f>
        <v>-87152.681</v>
      </c>
    </row>
    <row r="1611" customFormat="false" ht="12.75" hidden="false" customHeight="false" outlineLevel="0" collapsed="false">
      <c r="A1611" s="1" t="n">
        <v>76</v>
      </c>
      <c r="B1611" s="1" t="n">
        <v>56</v>
      </c>
      <c r="C1611" s="1" t="n">
        <v>132</v>
      </c>
      <c r="D1611" s="1" t="s">
        <v>669</v>
      </c>
      <c r="E1611" s="1" t="n">
        <v>-88435.017</v>
      </c>
      <c r="F1611" s="1" t="n">
        <v>1.054</v>
      </c>
      <c r="G1611" s="1" t="n">
        <f aca="false">IF(ISNUMBER(E1611),E1611,VALUE(SUBSTITUTE(E1611,"#",".01")))</f>
        <v>-88435.017</v>
      </c>
    </row>
    <row r="1612" customFormat="false" ht="12.75" hidden="false" customHeight="false" outlineLevel="0" collapsed="false">
      <c r="A1612" s="1" t="n">
        <v>75</v>
      </c>
      <c r="B1612" s="1" t="n">
        <v>57</v>
      </c>
      <c r="C1612" s="1" t="n">
        <v>132</v>
      </c>
      <c r="D1612" s="1" t="s">
        <v>682</v>
      </c>
      <c r="E1612" s="1" t="n">
        <v>-83723.65</v>
      </c>
      <c r="F1612" s="1" t="n">
        <v>36.359</v>
      </c>
      <c r="G1612" s="1" t="n">
        <f aca="false">IF(ISNUMBER(E1612),E1612,VALUE(SUBSTITUTE(E1612,"#",".01")))</f>
        <v>-83723.65</v>
      </c>
    </row>
    <row r="1613" customFormat="false" ht="12.75" hidden="false" customHeight="false" outlineLevel="0" collapsed="false">
      <c r="A1613" s="1" t="n">
        <v>74</v>
      </c>
      <c r="B1613" s="1" t="n">
        <v>58</v>
      </c>
      <c r="C1613" s="1" t="n">
        <v>132</v>
      </c>
      <c r="D1613" s="1" t="s">
        <v>696</v>
      </c>
      <c r="E1613" s="1" t="n">
        <v>-82470.896</v>
      </c>
      <c r="F1613" s="1" t="n">
        <v>20.442</v>
      </c>
      <c r="G1613" s="1" t="n">
        <f aca="false">IF(ISNUMBER(E1613),E1613,VALUE(SUBSTITUTE(E1613,"#",".01")))</f>
        <v>-82470.896</v>
      </c>
    </row>
    <row r="1614" customFormat="false" ht="12.75" hidden="false" customHeight="false" outlineLevel="0" collapsed="false">
      <c r="A1614" s="1" t="n">
        <v>73</v>
      </c>
      <c r="B1614" s="1" t="n">
        <v>59</v>
      </c>
      <c r="C1614" s="1" t="n">
        <v>132</v>
      </c>
      <c r="D1614" s="1" t="s">
        <v>707</v>
      </c>
      <c r="E1614" s="1" t="n">
        <v>-75227.456</v>
      </c>
      <c r="F1614" s="1" t="n">
        <v>28.876</v>
      </c>
      <c r="G1614" s="1" t="n">
        <f aca="false">IF(ISNUMBER(E1614),E1614,VALUE(SUBSTITUTE(E1614,"#",".01")))</f>
        <v>-75227.456</v>
      </c>
    </row>
    <row r="1615" customFormat="false" ht="12.75" hidden="false" customHeight="false" outlineLevel="0" collapsed="false">
      <c r="A1615" s="1" t="n">
        <v>72</v>
      </c>
      <c r="B1615" s="1" t="n">
        <v>60</v>
      </c>
      <c r="C1615" s="1" t="n">
        <v>132</v>
      </c>
      <c r="D1615" s="1" t="s">
        <v>724</v>
      </c>
      <c r="E1615" s="1" t="n">
        <v>-71425.807</v>
      </c>
      <c r="F1615" s="1" t="n">
        <v>24.205</v>
      </c>
      <c r="G1615" s="1" t="n">
        <f aca="false">IF(ISNUMBER(E1615),E1615,VALUE(SUBSTITUTE(E1615,"#",".01")))</f>
        <v>-71425.807</v>
      </c>
    </row>
    <row r="1616" customFormat="false" ht="12.75" hidden="false" customHeight="false" outlineLevel="0" collapsed="false">
      <c r="A1616" s="1" t="n">
        <v>71</v>
      </c>
      <c r="B1616" s="1" t="n">
        <v>61</v>
      </c>
      <c r="C1616" s="1" t="n">
        <v>132</v>
      </c>
      <c r="D1616" s="1" t="s">
        <v>736</v>
      </c>
      <c r="E1616" s="1" t="s">
        <v>765</v>
      </c>
      <c r="F1616" s="1" t="s">
        <v>545</v>
      </c>
      <c r="G1616" s="1" t="n">
        <f aca="false">IF(ISNUMBER(E1616),E1616,VALUE(SUBSTITUTE(E1616,"#",".01")))</f>
        <v>-61628.01</v>
      </c>
    </row>
    <row r="1617" customFormat="false" ht="12.75" hidden="false" customHeight="false" outlineLevel="0" collapsed="false">
      <c r="A1617" s="1" t="n">
        <v>70</v>
      </c>
      <c r="B1617" s="1" t="n">
        <v>62</v>
      </c>
      <c r="C1617" s="1" t="n">
        <v>132</v>
      </c>
      <c r="D1617" s="1" t="s">
        <v>747</v>
      </c>
      <c r="E1617" s="1" t="s">
        <v>766</v>
      </c>
      <c r="F1617" s="1" t="s">
        <v>360</v>
      </c>
      <c r="G1617" s="1" t="n">
        <f aca="false">IF(ISNUMBER(E1617),E1617,VALUE(SUBSTITUTE(E1617,"#",".01")))</f>
        <v>-55079.01</v>
      </c>
    </row>
    <row r="1618" customFormat="false" ht="12.75" hidden="false" customHeight="false" outlineLevel="0" collapsed="false">
      <c r="A1618" s="1" t="n">
        <v>69</v>
      </c>
      <c r="B1618" s="1" t="n">
        <v>63</v>
      </c>
      <c r="C1618" s="1" t="n">
        <v>132</v>
      </c>
      <c r="D1618" s="1" t="s">
        <v>757</v>
      </c>
      <c r="E1618" s="1" t="s">
        <v>767</v>
      </c>
      <c r="F1618" s="1" t="s">
        <v>378</v>
      </c>
      <c r="G1618" s="1" t="n">
        <f aca="false">IF(ISNUMBER(E1618),E1618,VALUE(SUBSTITUTE(E1618,"#",".01")))</f>
        <v>-42200.01</v>
      </c>
    </row>
    <row r="1619" customFormat="false" ht="12.75" hidden="false" customHeight="false" outlineLevel="0" collapsed="false">
      <c r="A1619" s="1" t="n">
        <v>85</v>
      </c>
      <c r="B1619" s="1" t="n">
        <v>48</v>
      </c>
      <c r="C1619" s="1" t="n">
        <v>133</v>
      </c>
      <c r="D1619" s="1" t="s">
        <v>615</v>
      </c>
      <c r="E1619" s="1" t="s">
        <v>768</v>
      </c>
      <c r="F1619" s="1" t="s">
        <v>360</v>
      </c>
      <c r="G1619" s="1" t="n">
        <f aca="false">IF(ISNUMBER(E1619),E1619,VALUE(SUBSTITUTE(E1619,"#",".01")))</f>
        <v>-43920.01</v>
      </c>
    </row>
    <row r="1620" customFormat="false" ht="12.75" hidden="false" customHeight="false" outlineLevel="0" collapsed="false">
      <c r="A1620" s="1" t="n">
        <v>84</v>
      </c>
      <c r="B1620" s="1" t="n">
        <v>49</v>
      </c>
      <c r="C1620" s="1" t="n">
        <v>133</v>
      </c>
      <c r="D1620" s="1" t="s">
        <v>623</v>
      </c>
      <c r="E1620" s="1" t="s">
        <v>666</v>
      </c>
      <c r="F1620" s="1" t="s">
        <v>333</v>
      </c>
      <c r="G1620" s="1" t="n">
        <f aca="false">IF(ISNUMBER(E1620),E1620,VALUE(SUBSTITUTE(E1620,"#",".01")))</f>
        <v>-57464.01</v>
      </c>
    </row>
    <row r="1621" customFormat="false" ht="12.75" hidden="false" customHeight="false" outlineLevel="0" collapsed="false">
      <c r="A1621" s="1" t="n">
        <v>83</v>
      </c>
      <c r="B1621" s="1" t="n">
        <v>50</v>
      </c>
      <c r="C1621" s="1" t="n">
        <v>133</v>
      </c>
      <c r="D1621" s="1" t="s">
        <v>633</v>
      </c>
      <c r="E1621" s="1" t="n">
        <v>-70873.88</v>
      </c>
      <c r="F1621" s="1" t="n">
        <v>1.904</v>
      </c>
      <c r="G1621" s="1" t="n">
        <f aca="false">IF(ISNUMBER(E1621),E1621,VALUE(SUBSTITUTE(E1621,"#",".01")))</f>
        <v>-70873.88</v>
      </c>
    </row>
    <row r="1622" customFormat="false" ht="12.75" hidden="false" customHeight="false" outlineLevel="0" collapsed="false">
      <c r="A1622" s="1" t="n">
        <v>82</v>
      </c>
      <c r="B1622" s="1" t="n">
        <v>51</v>
      </c>
      <c r="C1622" s="1" t="n">
        <v>133</v>
      </c>
      <c r="D1622" s="1" t="s">
        <v>642</v>
      </c>
      <c r="E1622" s="1" t="n">
        <v>-78923.503</v>
      </c>
      <c r="F1622" s="1" t="n">
        <v>3.128</v>
      </c>
      <c r="G1622" s="1" t="n">
        <f aca="false">IF(ISNUMBER(E1622),E1622,VALUE(SUBSTITUTE(E1622,"#",".01")))</f>
        <v>-78923.503</v>
      </c>
    </row>
    <row r="1623" customFormat="false" ht="12.75" hidden="false" customHeight="false" outlineLevel="0" collapsed="false">
      <c r="A1623" s="1" t="n">
        <v>81</v>
      </c>
      <c r="B1623" s="1" t="n">
        <v>52</v>
      </c>
      <c r="C1623" s="1" t="n">
        <v>133</v>
      </c>
      <c r="D1623" s="1" t="s">
        <v>647</v>
      </c>
      <c r="E1623" s="1" t="n">
        <v>-82937.122</v>
      </c>
      <c r="F1623" s="1" t="n">
        <v>2.066</v>
      </c>
      <c r="G1623" s="1" t="n">
        <f aca="false">IF(ISNUMBER(E1623),E1623,VALUE(SUBSTITUTE(E1623,"#",".01")))</f>
        <v>-82937.122</v>
      </c>
    </row>
    <row r="1624" customFormat="false" ht="12.75" hidden="false" customHeight="false" outlineLevel="0" collapsed="false">
      <c r="A1624" s="1" t="n">
        <v>80</v>
      </c>
      <c r="B1624" s="1" t="n">
        <v>53</v>
      </c>
      <c r="C1624" s="1" t="n">
        <v>133</v>
      </c>
      <c r="D1624" s="1" t="s">
        <v>652</v>
      </c>
      <c r="E1624" s="1" t="n">
        <v>-85858.26</v>
      </c>
      <c r="F1624" s="1" t="n">
        <v>6.427</v>
      </c>
      <c r="G1624" s="1" t="n">
        <f aca="false">IF(ISNUMBER(E1624),E1624,VALUE(SUBSTITUTE(E1624,"#",".01")))</f>
        <v>-85858.26</v>
      </c>
    </row>
    <row r="1625" customFormat="false" ht="12.75" hidden="false" customHeight="false" outlineLevel="0" collapsed="false">
      <c r="A1625" s="1" t="n">
        <v>79</v>
      </c>
      <c r="B1625" s="1" t="n">
        <v>54</v>
      </c>
      <c r="C1625" s="1" t="n">
        <v>133</v>
      </c>
      <c r="D1625" s="1" t="s">
        <v>658</v>
      </c>
      <c r="E1625" s="1" t="n">
        <v>-87643.571</v>
      </c>
      <c r="F1625" s="1" t="n">
        <v>2.4</v>
      </c>
      <c r="G1625" s="1" t="n">
        <f aca="false">IF(ISNUMBER(E1625),E1625,VALUE(SUBSTITUTE(E1625,"#",".01")))</f>
        <v>-87643.571</v>
      </c>
    </row>
    <row r="1626" customFormat="false" ht="12.75" hidden="false" customHeight="false" outlineLevel="0" collapsed="false">
      <c r="A1626" s="1" t="n">
        <v>78</v>
      </c>
      <c r="B1626" s="1" t="n">
        <v>55</v>
      </c>
      <c r="C1626" s="1" t="n">
        <v>133</v>
      </c>
      <c r="D1626" s="1" t="s">
        <v>662</v>
      </c>
      <c r="E1626" s="1" t="n">
        <v>-88070.931</v>
      </c>
      <c r="F1626" s="1" t="n">
        <v>0.008</v>
      </c>
      <c r="G1626" s="1" t="n">
        <f aca="false">IF(ISNUMBER(E1626),E1626,VALUE(SUBSTITUTE(E1626,"#",".01")))</f>
        <v>-88070.931</v>
      </c>
    </row>
    <row r="1627" customFormat="false" ht="12.75" hidden="false" customHeight="false" outlineLevel="0" collapsed="false">
      <c r="A1627" s="1" t="n">
        <v>77</v>
      </c>
      <c r="B1627" s="1" t="n">
        <v>56</v>
      </c>
      <c r="C1627" s="1" t="n">
        <v>133</v>
      </c>
      <c r="D1627" s="1" t="s">
        <v>669</v>
      </c>
      <c r="E1627" s="1" t="n">
        <v>-87553.613</v>
      </c>
      <c r="F1627" s="1" t="n">
        <v>0.992</v>
      </c>
      <c r="G1627" s="1" t="n">
        <f aca="false">IF(ISNUMBER(E1627),E1627,VALUE(SUBSTITUTE(E1627,"#",".01")))</f>
        <v>-87553.613</v>
      </c>
    </row>
    <row r="1628" customFormat="false" ht="12.75" hidden="false" customHeight="false" outlineLevel="0" collapsed="false">
      <c r="A1628" s="1" t="n">
        <v>76</v>
      </c>
      <c r="B1628" s="1" t="n">
        <v>57</v>
      </c>
      <c r="C1628" s="1" t="n">
        <v>133</v>
      </c>
      <c r="D1628" s="1" t="s">
        <v>682</v>
      </c>
      <c r="E1628" s="1" t="n">
        <v>-85494.383</v>
      </c>
      <c r="F1628" s="1" t="n">
        <v>27.945</v>
      </c>
      <c r="G1628" s="1" t="n">
        <f aca="false">IF(ISNUMBER(E1628),E1628,VALUE(SUBSTITUTE(E1628,"#",".01")))</f>
        <v>-85494.383</v>
      </c>
    </row>
    <row r="1629" customFormat="false" ht="12.75" hidden="false" customHeight="false" outlineLevel="0" collapsed="false">
      <c r="A1629" s="1" t="n">
        <v>75</v>
      </c>
      <c r="B1629" s="1" t="n">
        <v>58</v>
      </c>
      <c r="C1629" s="1" t="n">
        <v>133</v>
      </c>
      <c r="D1629" s="1" t="s">
        <v>696</v>
      </c>
      <c r="E1629" s="1" t="n">
        <v>-82418.214</v>
      </c>
      <c r="F1629" s="1" t="n">
        <v>16.354</v>
      </c>
      <c r="G1629" s="1" t="n">
        <f aca="false">IF(ISNUMBER(E1629),E1629,VALUE(SUBSTITUTE(E1629,"#",".01")))</f>
        <v>-82418.214</v>
      </c>
    </row>
    <row r="1630" customFormat="false" ht="12.75" hidden="false" customHeight="false" outlineLevel="0" collapsed="false">
      <c r="A1630" s="1" t="n">
        <v>74</v>
      </c>
      <c r="B1630" s="1" t="n">
        <v>59</v>
      </c>
      <c r="C1630" s="1" t="n">
        <v>133</v>
      </c>
      <c r="D1630" s="1" t="s">
        <v>707</v>
      </c>
      <c r="E1630" s="1" t="n">
        <v>-77937.581</v>
      </c>
      <c r="F1630" s="1" t="n">
        <v>12.497</v>
      </c>
      <c r="G1630" s="1" t="n">
        <f aca="false">IF(ISNUMBER(E1630),E1630,VALUE(SUBSTITUTE(E1630,"#",".01")))</f>
        <v>-77937.581</v>
      </c>
    </row>
    <row r="1631" customFormat="false" ht="12.75" hidden="false" customHeight="false" outlineLevel="0" collapsed="false">
      <c r="A1631" s="1" t="n">
        <v>73</v>
      </c>
      <c r="B1631" s="1" t="n">
        <v>60</v>
      </c>
      <c r="C1631" s="1" t="n">
        <v>133</v>
      </c>
      <c r="D1631" s="1" t="s">
        <v>724</v>
      </c>
      <c r="E1631" s="1" t="n">
        <v>-72332.372</v>
      </c>
      <c r="F1631" s="1" t="n">
        <v>46.575</v>
      </c>
      <c r="G1631" s="1" t="n">
        <f aca="false">IF(ISNUMBER(E1631),E1631,VALUE(SUBSTITUTE(E1631,"#",".01")))</f>
        <v>-72332.372</v>
      </c>
    </row>
    <row r="1632" customFormat="false" ht="12.75" hidden="false" customHeight="false" outlineLevel="0" collapsed="false">
      <c r="A1632" s="1" t="n">
        <v>72</v>
      </c>
      <c r="B1632" s="1" t="n">
        <v>61</v>
      </c>
      <c r="C1632" s="1" t="n">
        <v>133</v>
      </c>
      <c r="D1632" s="1" t="s">
        <v>736</v>
      </c>
      <c r="E1632" s="1" t="n">
        <v>-65407.646</v>
      </c>
      <c r="F1632" s="1" t="n">
        <v>50.301</v>
      </c>
      <c r="G1632" s="1" t="n">
        <f aca="false">IF(ISNUMBER(E1632),E1632,VALUE(SUBSTITUTE(E1632,"#",".01")))</f>
        <v>-65407.646</v>
      </c>
    </row>
    <row r="1633" customFormat="false" ht="12.75" hidden="false" customHeight="false" outlineLevel="0" collapsed="false">
      <c r="A1633" s="1" t="n">
        <v>71</v>
      </c>
      <c r="B1633" s="1" t="n">
        <v>62</v>
      </c>
      <c r="C1633" s="1" t="n">
        <v>133</v>
      </c>
      <c r="D1633" s="1" t="s">
        <v>747</v>
      </c>
      <c r="E1633" s="1" t="s">
        <v>769</v>
      </c>
      <c r="F1633" s="1" t="s">
        <v>360</v>
      </c>
      <c r="G1633" s="1" t="n">
        <f aca="false">IF(ISNUMBER(E1633),E1633,VALUE(SUBSTITUTE(E1633,"#",".01")))</f>
        <v>-57231.01</v>
      </c>
    </row>
    <row r="1634" customFormat="false" ht="12.75" hidden="false" customHeight="false" outlineLevel="0" collapsed="false">
      <c r="A1634" s="1" t="n">
        <v>70</v>
      </c>
      <c r="B1634" s="1" t="n">
        <v>63</v>
      </c>
      <c r="C1634" s="1" t="n">
        <v>133</v>
      </c>
      <c r="D1634" s="1" t="s">
        <v>757</v>
      </c>
      <c r="E1634" s="1" t="s">
        <v>770</v>
      </c>
      <c r="F1634" s="1" t="s">
        <v>360</v>
      </c>
      <c r="G1634" s="1" t="n">
        <f aca="false">IF(ISNUMBER(E1634),E1634,VALUE(SUBSTITUTE(E1634,"#",".01")))</f>
        <v>-47236.01</v>
      </c>
    </row>
    <row r="1635" customFormat="false" ht="12.75" hidden="false" customHeight="false" outlineLevel="0" collapsed="false">
      <c r="A1635" s="1" t="n">
        <v>69</v>
      </c>
      <c r="B1635" s="1" t="n">
        <v>64</v>
      </c>
      <c r="C1635" s="1" t="n">
        <v>133</v>
      </c>
      <c r="D1635" s="1" t="s">
        <v>771</v>
      </c>
      <c r="E1635" s="1" t="s">
        <v>772</v>
      </c>
      <c r="F1635" s="1" t="s">
        <v>337</v>
      </c>
      <c r="G1635" s="1" t="n">
        <f aca="false">IF(ISNUMBER(E1635),E1635,VALUE(SUBSTITUTE(E1635,"#",".01")))</f>
        <v>-35860.01</v>
      </c>
    </row>
    <row r="1636" customFormat="false" ht="12.75" hidden="false" customHeight="false" outlineLevel="0" collapsed="false">
      <c r="A1636" s="1" t="n">
        <v>86</v>
      </c>
      <c r="B1636" s="1" t="n">
        <v>48</v>
      </c>
      <c r="C1636" s="1" t="n">
        <v>134</v>
      </c>
      <c r="D1636" s="1" t="s">
        <v>615</v>
      </c>
      <c r="E1636" s="1" t="s">
        <v>773</v>
      </c>
      <c r="F1636" s="1" t="s">
        <v>378</v>
      </c>
      <c r="G1636" s="1" t="n">
        <f aca="false">IF(ISNUMBER(E1636),E1636,VALUE(SUBSTITUTE(E1636,"#",".01")))</f>
        <v>-38920.01</v>
      </c>
    </row>
    <row r="1637" customFormat="false" ht="12.75" hidden="false" customHeight="false" outlineLevel="0" collapsed="false">
      <c r="A1637" s="1" t="n">
        <v>85</v>
      </c>
      <c r="B1637" s="1" t="n">
        <v>49</v>
      </c>
      <c r="C1637" s="1" t="n">
        <v>134</v>
      </c>
      <c r="D1637" s="1" t="s">
        <v>623</v>
      </c>
      <c r="E1637" s="1" t="s">
        <v>774</v>
      </c>
      <c r="F1637" s="1" t="s">
        <v>360</v>
      </c>
      <c r="G1637" s="1" t="n">
        <f aca="false">IF(ISNUMBER(E1637),E1637,VALUE(SUBSTITUTE(E1637,"#",".01")))</f>
        <v>-51661.01</v>
      </c>
    </row>
    <row r="1638" customFormat="false" ht="12.75" hidden="false" customHeight="false" outlineLevel="0" collapsed="false">
      <c r="A1638" s="1" t="n">
        <v>84</v>
      </c>
      <c r="B1638" s="1" t="n">
        <v>50</v>
      </c>
      <c r="C1638" s="1" t="n">
        <v>134</v>
      </c>
      <c r="D1638" s="1" t="s">
        <v>633</v>
      </c>
      <c r="E1638" s="1" t="n">
        <v>-66433.748</v>
      </c>
      <c r="F1638" s="1" t="n">
        <v>3.167</v>
      </c>
      <c r="G1638" s="1" t="n">
        <f aca="false">IF(ISNUMBER(E1638),E1638,VALUE(SUBSTITUTE(E1638,"#",".01")))</f>
        <v>-66433.748</v>
      </c>
    </row>
    <row r="1639" customFormat="false" ht="12.75" hidden="false" customHeight="false" outlineLevel="0" collapsed="false">
      <c r="A1639" s="1" t="n">
        <v>83</v>
      </c>
      <c r="B1639" s="1" t="n">
        <v>51</v>
      </c>
      <c r="C1639" s="1" t="n">
        <v>134</v>
      </c>
      <c r="D1639" s="1" t="s">
        <v>642</v>
      </c>
      <c r="E1639" s="1" t="n">
        <v>-74020.542</v>
      </c>
      <c r="F1639" s="1" t="n">
        <v>1.705</v>
      </c>
      <c r="G1639" s="1" t="n">
        <f aca="false">IF(ISNUMBER(E1639),E1639,VALUE(SUBSTITUTE(E1639,"#",".01")))</f>
        <v>-74020.542</v>
      </c>
    </row>
    <row r="1640" customFormat="false" ht="12.75" hidden="false" customHeight="false" outlineLevel="0" collapsed="false">
      <c r="A1640" s="1" t="n">
        <v>82</v>
      </c>
      <c r="B1640" s="1" t="n">
        <v>52</v>
      </c>
      <c r="C1640" s="1" t="n">
        <v>134</v>
      </c>
      <c r="D1640" s="1" t="s">
        <v>647</v>
      </c>
      <c r="E1640" s="1" t="n">
        <v>-82533.741</v>
      </c>
      <c r="F1640" s="1" t="n">
        <v>2.746</v>
      </c>
      <c r="G1640" s="1" t="n">
        <f aca="false">IF(ISNUMBER(E1640),E1640,VALUE(SUBSTITUTE(E1640,"#",".01")))</f>
        <v>-82533.741</v>
      </c>
    </row>
    <row r="1641" customFormat="false" ht="12.75" hidden="false" customHeight="false" outlineLevel="0" collapsed="false">
      <c r="A1641" s="1" t="n">
        <v>81</v>
      </c>
      <c r="B1641" s="1" t="n">
        <v>53</v>
      </c>
      <c r="C1641" s="1" t="n">
        <v>134</v>
      </c>
      <c r="D1641" s="1" t="s">
        <v>652</v>
      </c>
      <c r="E1641" s="1" t="n">
        <v>-84043.429</v>
      </c>
      <c r="F1641" s="1" t="n">
        <v>4.857</v>
      </c>
      <c r="G1641" s="1" t="n">
        <f aca="false">IF(ISNUMBER(E1641),E1641,VALUE(SUBSTITUTE(E1641,"#",".01")))</f>
        <v>-84043.429</v>
      </c>
    </row>
    <row r="1642" customFormat="false" ht="12.75" hidden="false" customHeight="false" outlineLevel="0" collapsed="false">
      <c r="A1642" s="1" t="n">
        <v>80</v>
      </c>
      <c r="B1642" s="1" t="n">
        <v>54</v>
      </c>
      <c r="C1642" s="1" t="n">
        <v>134</v>
      </c>
      <c r="D1642" s="1" t="s">
        <v>658</v>
      </c>
      <c r="E1642" s="1" t="n">
        <v>-88125.822</v>
      </c>
      <c r="F1642" s="1" t="n">
        <v>0.009</v>
      </c>
      <c r="G1642" s="1" t="n">
        <f aca="false">IF(ISNUMBER(E1642),E1642,VALUE(SUBSTITUTE(E1642,"#",".01")))</f>
        <v>-88125.822</v>
      </c>
    </row>
    <row r="1643" customFormat="false" ht="12.75" hidden="false" customHeight="false" outlineLevel="0" collapsed="false">
      <c r="A1643" s="1" t="n">
        <v>79</v>
      </c>
      <c r="B1643" s="1" t="n">
        <v>55</v>
      </c>
      <c r="C1643" s="1" t="n">
        <v>134</v>
      </c>
      <c r="D1643" s="1" t="s">
        <v>662</v>
      </c>
      <c r="E1643" s="1" t="n">
        <v>-86891.154</v>
      </c>
      <c r="F1643" s="1" t="n">
        <v>0.016</v>
      </c>
      <c r="G1643" s="1" t="n">
        <f aca="false">IF(ISNUMBER(E1643),E1643,VALUE(SUBSTITUTE(E1643,"#",".01")))</f>
        <v>-86891.154</v>
      </c>
    </row>
    <row r="1644" customFormat="false" ht="12.75" hidden="false" customHeight="false" outlineLevel="0" collapsed="false">
      <c r="A1644" s="1" t="n">
        <v>78</v>
      </c>
      <c r="B1644" s="1" t="n">
        <v>56</v>
      </c>
      <c r="C1644" s="1" t="n">
        <v>134</v>
      </c>
      <c r="D1644" s="1" t="s">
        <v>669</v>
      </c>
      <c r="E1644" s="1" t="n">
        <v>-88949.853</v>
      </c>
      <c r="F1644" s="1" t="n">
        <v>0.304</v>
      </c>
      <c r="G1644" s="1" t="n">
        <f aca="false">IF(ISNUMBER(E1644),E1644,VALUE(SUBSTITUTE(E1644,"#",".01")))</f>
        <v>-88949.853</v>
      </c>
    </row>
    <row r="1645" customFormat="false" ht="12.75" hidden="false" customHeight="false" outlineLevel="0" collapsed="false">
      <c r="A1645" s="1" t="n">
        <v>77</v>
      </c>
      <c r="B1645" s="1" t="n">
        <v>57</v>
      </c>
      <c r="C1645" s="1" t="n">
        <v>134</v>
      </c>
      <c r="D1645" s="1" t="s">
        <v>682</v>
      </c>
      <c r="E1645" s="1" t="n">
        <v>-85218.65</v>
      </c>
      <c r="F1645" s="1" t="n">
        <v>19.93</v>
      </c>
      <c r="G1645" s="1" t="n">
        <f aca="false">IF(ISNUMBER(E1645),E1645,VALUE(SUBSTITUTE(E1645,"#",".01")))</f>
        <v>-85218.65</v>
      </c>
    </row>
    <row r="1646" customFormat="false" ht="12.75" hidden="false" customHeight="false" outlineLevel="0" collapsed="false">
      <c r="A1646" s="1" t="n">
        <v>76</v>
      </c>
      <c r="B1646" s="1" t="n">
        <v>58</v>
      </c>
      <c r="C1646" s="1" t="n">
        <v>134</v>
      </c>
      <c r="D1646" s="1" t="s">
        <v>696</v>
      </c>
      <c r="E1646" s="1" t="n">
        <v>-84832.889</v>
      </c>
      <c r="F1646" s="1" t="n">
        <v>20.387</v>
      </c>
      <c r="G1646" s="1" t="n">
        <f aca="false">IF(ISNUMBER(E1646),E1646,VALUE(SUBSTITUTE(E1646,"#",".01")))</f>
        <v>-84832.889</v>
      </c>
    </row>
    <row r="1647" customFormat="false" ht="12.75" hidden="false" customHeight="false" outlineLevel="0" collapsed="false">
      <c r="A1647" s="1" t="n">
        <v>75</v>
      </c>
      <c r="B1647" s="1" t="n">
        <v>59</v>
      </c>
      <c r="C1647" s="1" t="n">
        <v>134</v>
      </c>
      <c r="D1647" s="1" t="s">
        <v>707</v>
      </c>
      <c r="E1647" s="1" t="n">
        <v>-78527.991</v>
      </c>
      <c r="F1647" s="1" t="n">
        <v>20.316</v>
      </c>
      <c r="G1647" s="1" t="n">
        <f aca="false">IF(ISNUMBER(E1647),E1647,VALUE(SUBSTITUTE(E1647,"#",".01")))</f>
        <v>-78527.991</v>
      </c>
    </row>
    <row r="1648" customFormat="false" ht="12.75" hidden="false" customHeight="false" outlineLevel="0" collapsed="false">
      <c r="A1648" s="1" t="n">
        <v>74</v>
      </c>
      <c r="B1648" s="1" t="n">
        <v>60</v>
      </c>
      <c r="C1648" s="1" t="n">
        <v>134</v>
      </c>
      <c r="D1648" s="1" t="s">
        <v>724</v>
      </c>
      <c r="E1648" s="1" t="n">
        <v>-75646.432</v>
      </c>
      <c r="F1648" s="1" t="n">
        <v>11.817</v>
      </c>
      <c r="G1648" s="1" t="n">
        <f aca="false">IF(ISNUMBER(E1648),E1648,VALUE(SUBSTITUTE(E1648,"#",".01")))</f>
        <v>-75646.432</v>
      </c>
    </row>
    <row r="1649" customFormat="false" ht="12.75" hidden="false" customHeight="false" outlineLevel="0" collapsed="false">
      <c r="A1649" s="1" t="n">
        <v>73</v>
      </c>
      <c r="B1649" s="1" t="n">
        <v>61</v>
      </c>
      <c r="C1649" s="1" t="n">
        <v>134</v>
      </c>
      <c r="D1649" s="1" t="s">
        <v>736</v>
      </c>
      <c r="E1649" s="1" t="n">
        <v>-66738.751</v>
      </c>
      <c r="F1649" s="1" t="n">
        <v>57.753</v>
      </c>
      <c r="G1649" s="1" t="n">
        <f aca="false">IF(ISNUMBER(E1649),E1649,VALUE(SUBSTITUTE(E1649,"#",".01")))</f>
        <v>-66738.751</v>
      </c>
    </row>
    <row r="1650" customFormat="false" ht="12.75" hidden="false" customHeight="false" outlineLevel="0" collapsed="false">
      <c r="A1650" s="1" t="n">
        <v>72</v>
      </c>
      <c r="B1650" s="1" t="n">
        <v>62</v>
      </c>
      <c r="C1650" s="1" t="n">
        <v>134</v>
      </c>
      <c r="D1650" s="1" t="s">
        <v>747</v>
      </c>
      <c r="E1650" s="1" t="s">
        <v>632</v>
      </c>
      <c r="F1650" s="1" t="s">
        <v>333</v>
      </c>
      <c r="G1650" s="1" t="n">
        <f aca="false">IF(ISNUMBER(E1650),E1650,VALUE(SUBSTITUTE(E1650,"#",".01")))</f>
        <v>-61376.01</v>
      </c>
    </row>
    <row r="1651" customFormat="false" ht="12.75" hidden="false" customHeight="false" outlineLevel="0" collapsed="false">
      <c r="A1651" s="1" t="n">
        <v>71</v>
      </c>
      <c r="B1651" s="1" t="n">
        <v>63</v>
      </c>
      <c r="C1651" s="1" t="n">
        <v>134</v>
      </c>
      <c r="D1651" s="1" t="s">
        <v>757</v>
      </c>
      <c r="E1651" s="1" t="s">
        <v>775</v>
      </c>
      <c r="F1651" s="1" t="s">
        <v>360</v>
      </c>
      <c r="G1651" s="1" t="n">
        <f aca="false">IF(ISNUMBER(E1651),E1651,VALUE(SUBSTITUTE(E1651,"#",".01")))</f>
        <v>-49928.01</v>
      </c>
    </row>
    <row r="1652" customFormat="false" ht="12.75" hidden="false" customHeight="false" outlineLevel="0" collapsed="false">
      <c r="A1652" s="1" t="n">
        <v>70</v>
      </c>
      <c r="B1652" s="1" t="n">
        <v>64</v>
      </c>
      <c r="C1652" s="1" t="n">
        <v>134</v>
      </c>
      <c r="D1652" s="1" t="s">
        <v>771</v>
      </c>
      <c r="E1652" s="1" t="s">
        <v>776</v>
      </c>
      <c r="F1652" s="1" t="s">
        <v>320</v>
      </c>
      <c r="G1652" s="1" t="n">
        <f aca="false">IF(ISNUMBER(E1652),E1652,VALUE(SUBSTITUTE(E1652,"#",".01")))</f>
        <v>-41302.01</v>
      </c>
    </row>
    <row r="1653" customFormat="false" ht="12.75" hidden="false" customHeight="false" outlineLevel="0" collapsed="false">
      <c r="A1653" s="1" t="n">
        <v>86</v>
      </c>
      <c r="B1653" s="1" t="n">
        <v>49</v>
      </c>
      <c r="C1653" s="1" t="n">
        <v>135</v>
      </c>
      <c r="D1653" s="1" t="s">
        <v>623</v>
      </c>
      <c r="E1653" s="1" t="s">
        <v>777</v>
      </c>
      <c r="F1653" s="1" t="s">
        <v>320</v>
      </c>
      <c r="G1653" s="1" t="n">
        <f aca="false">IF(ISNUMBER(E1653),E1653,VALUE(SUBSTITUTE(E1653,"#",".01")))</f>
        <v>-46528.01</v>
      </c>
    </row>
    <row r="1654" customFormat="false" ht="12.75" hidden="false" customHeight="false" outlineLevel="0" collapsed="false">
      <c r="A1654" s="1" t="n">
        <v>85</v>
      </c>
      <c r="B1654" s="1" t="n">
        <v>50</v>
      </c>
      <c r="C1654" s="1" t="n">
        <v>135</v>
      </c>
      <c r="D1654" s="1" t="s">
        <v>633</v>
      </c>
      <c r="E1654" s="1" t="n">
        <v>-60632.244</v>
      </c>
      <c r="F1654" s="1" t="n">
        <v>3.074</v>
      </c>
      <c r="G1654" s="1" t="n">
        <f aca="false">IF(ISNUMBER(E1654),E1654,VALUE(SUBSTITUTE(E1654,"#",".01")))</f>
        <v>-60632.244</v>
      </c>
    </row>
    <row r="1655" customFormat="false" ht="12.75" hidden="false" customHeight="false" outlineLevel="0" collapsed="false">
      <c r="A1655" s="1" t="n">
        <v>84</v>
      </c>
      <c r="B1655" s="1" t="n">
        <v>51</v>
      </c>
      <c r="C1655" s="1" t="n">
        <v>135</v>
      </c>
      <c r="D1655" s="1" t="s">
        <v>642</v>
      </c>
      <c r="E1655" s="1" t="n">
        <v>-69690.323</v>
      </c>
      <c r="F1655" s="1" t="n">
        <v>2.64</v>
      </c>
      <c r="G1655" s="1" t="n">
        <f aca="false">IF(ISNUMBER(E1655),E1655,VALUE(SUBSTITUTE(E1655,"#",".01")))</f>
        <v>-69690.323</v>
      </c>
    </row>
    <row r="1656" customFormat="false" ht="12.75" hidden="false" customHeight="false" outlineLevel="0" collapsed="false">
      <c r="A1656" s="1" t="n">
        <v>83</v>
      </c>
      <c r="B1656" s="1" t="n">
        <v>52</v>
      </c>
      <c r="C1656" s="1" t="n">
        <v>135</v>
      </c>
      <c r="D1656" s="1" t="s">
        <v>647</v>
      </c>
      <c r="E1656" s="1" t="n">
        <v>-77728.78</v>
      </c>
      <c r="F1656" s="1" t="n">
        <v>1.722</v>
      </c>
      <c r="G1656" s="1" t="n">
        <f aca="false">IF(ISNUMBER(E1656),E1656,VALUE(SUBSTITUTE(E1656,"#",".01")))</f>
        <v>-77728.78</v>
      </c>
    </row>
    <row r="1657" customFormat="false" ht="12.75" hidden="false" customHeight="false" outlineLevel="0" collapsed="false">
      <c r="A1657" s="1" t="n">
        <v>82</v>
      </c>
      <c r="B1657" s="1" t="n">
        <v>53</v>
      </c>
      <c r="C1657" s="1" t="n">
        <v>135</v>
      </c>
      <c r="D1657" s="1" t="s">
        <v>652</v>
      </c>
      <c r="E1657" s="1" t="n">
        <v>-83779.145</v>
      </c>
      <c r="F1657" s="1" t="n">
        <v>2.061</v>
      </c>
      <c r="G1657" s="1" t="n">
        <f aca="false">IF(ISNUMBER(E1657),E1657,VALUE(SUBSTITUTE(E1657,"#",".01")))</f>
        <v>-83779.145</v>
      </c>
    </row>
    <row r="1658" customFormat="false" ht="12.75" hidden="false" customHeight="false" outlineLevel="0" collapsed="false">
      <c r="A1658" s="1" t="n">
        <v>81</v>
      </c>
      <c r="B1658" s="1" t="n">
        <v>54</v>
      </c>
      <c r="C1658" s="1" t="n">
        <v>135</v>
      </c>
      <c r="D1658" s="1" t="s">
        <v>658</v>
      </c>
      <c r="E1658" s="1" t="n">
        <v>-86413.151</v>
      </c>
      <c r="F1658" s="1" t="n">
        <v>3.72</v>
      </c>
      <c r="G1658" s="1" t="n">
        <f aca="false">IF(ISNUMBER(E1658),E1658,VALUE(SUBSTITUTE(E1658,"#",".01")))</f>
        <v>-86413.151</v>
      </c>
    </row>
    <row r="1659" customFormat="false" ht="12.75" hidden="false" customHeight="false" outlineLevel="0" collapsed="false">
      <c r="A1659" s="1" t="n">
        <v>80</v>
      </c>
      <c r="B1659" s="1" t="n">
        <v>55</v>
      </c>
      <c r="C1659" s="1" t="n">
        <v>135</v>
      </c>
      <c r="D1659" s="1" t="s">
        <v>662</v>
      </c>
      <c r="E1659" s="1" t="n">
        <v>-87581.643</v>
      </c>
      <c r="F1659" s="1" t="n">
        <v>0.992</v>
      </c>
      <c r="G1659" s="1" t="n">
        <f aca="false">IF(ISNUMBER(E1659),E1659,VALUE(SUBSTITUTE(E1659,"#",".01")))</f>
        <v>-87581.643</v>
      </c>
    </row>
    <row r="1660" customFormat="false" ht="12.75" hidden="false" customHeight="false" outlineLevel="0" collapsed="false">
      <c r="A1660" s="1" t="n">
        <v>79</v>
      </c>
      <c r="B1660" s="1" t="n">
        <v>56</v>
      </c>
      <c r="C1660" s="1" t="n">
        <v>135</v>
      </c>
      <c r="D1660" s="1" t="s">
        <v>669</v>
      </c>
      <c r="E1660" s="1" t="n">
        <v>-87850.498</v>
      </c>
      <c r="F1660" s="1" t="n">
        <v>0.306</v>
      </c>
      <c r="G1660" s="1" t="n">
        <f aca="false">IF(ISNUMBER(E1660),E1660,VALUE(SUBSTITUTE(E1660,"#",".01")))</f>
        <v>-87850.498</v>
      </c>
    </row>
    <row r="1661" customFormat="false" ht="12.75" hidden="false" customHeight="false" outlineLevel="0" collapsed="false">
      <c r="A1661" s="1" t="n">
        <v>78</v>
      </c>
      <c r="B1661" s="1" t="n">
        <v>57</v>
      </c>
      <c r="C1661" s="1" t="n">
        <v>135</v>
      </c>
      <c r="D1661" s="1" t="s">
        <v>682</v>
      </c>
      <c r="E1661" s="1" t="n">
        <v>-86643.317</v>
      </c>
      <c r="F1661" s="1" t="n">
        <v>9.434</v>
      </c>
      <c r="G1661" s="1" t="n">
        <f aca="false">IF(ISNUMBER(E1661),E1661,VALUE(SUBSTITUTE(E1661,"#",".01")))</f>
        <v>-86643.317</v>
      </c>
    </row>
    <row r="1662" customFormat="false" ht="12.75" hidden="false" customHeight="false" outlineLevel="0" collapsed="false">
      <c r="A1662" s="1" t="n">
        <v>77</v>
      </c>
      <c r="B1662" s="1" t="n">
        <v>58</v>
      </c>
      <c r="C1662" s="1" t="n">
        <v>135</v>
      </c>
      <c r="D1662" s="1" t="s">
        <v>696</v>
      </c>
      <c r="E1662" s="1" t="n">
        <v>-84616.171</v>
      </c>
      <c r="F1662" s="1" t="n">
        <v>10.267</v>
      </c>
      <c r="G1662" s="1" t="n">
        <f aca="false">IF(ISNUMBER(E1662),E1662,VALUE(SUBSTITUTE(E1662,"#",".01")))</f>
        <v>-84616.171</v>
      </c>
    </row>
    <row r="1663" customFormat="false" ht="12.75" hidden="false" customHeight="false" outlineLevel="0" collapsed="false">
      <c r="A1663" s="1" t="n">
        <v>76</v>
      </c>
      <c r="B1663" s="1" t="n">
        <v>59</v>
      </c>
      <c r="C1663" s="1" t="n">
        <v>135</v>
      </c>
      <c r="D1663" s="1" t="s">
        <v>707</v>
      </c>
      <c r="E1663" s="1" t="n">
        <v>-80935.861</v>
      </c>
      <c r="F1663" s="1" t="n">
        <v>11.817</v>
      </c>
      <c r="G1663" s="1" t="n">
        <f aca="false">IF(ISNUMBER(E1663),E1663,VALUE(SUBSTITUTE(E1663,"#",".01")))</f>
        <v>-80935.861</v>
      </c>
    </row>
    <row r="1664" customFormat="false" ht="12.75" hidden="false" customHeight="false" outlineLevel="0" collapsed="false">
      <c r="A1664" s="1" t="n">
        <v>75</v>
      </c>
      <c r="B1664" s="1" t="n">
        <v>60</v>
      </c>
      <c r="C1664" s="1" t="n">
        <v>135</v>
      </c>
      <c r="D1664" s="1" t="s">
        <v>724</v>
      </c>
      <c r="E1664" s="1" t="n">
        <v>-76213.609</v>
      </c>
      <c r="F1664" s="1" t="n">
        <v>19.128</v>
      </c>
      <c r="G1664" s="1" t="n">
        <f aca="false">IF(ISNUMBER(E1664),E1664,VALUE(SUBSTITUTE(E1664,"#",".01")))</f>
        <v>-76213.609</v>
      </c>
    </row>
    <row r="1665" customFormat="false" ht="12.75" hidden="false" customHeight="false" outlineLevel="0" collapsed="false">
      <c r="A1665" s="1" t="n">
        <v>74</v>
      </c>
      <c r="B1665" s="1" t="n">
        <v>61</v>
      </c>
      <c r="C1665" s="1" t="n">
        <v>135</v>
      </c>
      <c r="D1665" s="1" t="s">
        <v>736</v>
      </c>
      <c r="E1665" s="1" t="n">
        <v>-70052.075</v>
      </c>
      <c r="F1665" s="1" t="n">
        <v>75.451</v>
      </c>
      <c r="G1665" s="1" t="n">
        <f aca="false">IF(ISNUMBER(E1665),E1665,VALUE(SUBSTITUTE(E1665,"#",".01")))</f>
        <v>-70052.075</v>
      </c>
    </row>
    <row r="1666" customFormat="false" ht="12.75" hidden="false" customHeight="false" outlineLevel="0" collapsed="false">
      <c r="A1666" s="1" t="n">
        <v>73</v>
      </c>
      <c r="B1666" s="1" t="n">
        <v>62</v>
      </c>
      <c r="C1666" s="1" t="n">
        <v>135</v>
      </c>
      <c r="D1666" s="1" t="s">
        <v>747</v>
      </c>
      <c r="E1666" s="1" t="n">
        <v>-62857.215</v>
      </c>
      <c r="F1666" s="1" t="n">
        <v>154.628</v>
      </c>
      <c r="G1666" s="1" t="n">
        <f aca="false">IF(ISNUMBER(E1666),E1666,VALUE(SUBSTITUTE(E1666,"#",".01")))</f>
        <v>-62857.215</v>
      </c>
    </row>
    <row r="1667" customFormat="false" ht="12.75" hidden="false" customHeight="false" outlineLevel="0" collapsed="false">
      <c r="A1667" s="1" t="n">
        <v>72</v>
      </c>
      <c r="B1667" s="1" t="n">
        <v>63</v>
      </c>
      <c r="C1667" s="1" t="n">
        <v>135</v>
      </c>
      <c r="D1667" s="1" t="s">
        <v>757</v>
      </c>
      <c r="E1667" s="1" t="s">
        <v>778</v>
      </c>
      <c r="F1667" s="1" t="s">
        <v>333</v>
      </c>
      <c r="G1667" s="1" t="n">
        <f aca="false">IF(ISNUMBER(E1667),E1667,VALUE(SUBSTITUTE(E1667,"#",".01")))</f>
        <v>-54148.01</v>
      </c>
    </row>
    <row r="1668" customFormat="false" ht="12.75" hidden="false" customHeight="false" outlineLevel="0" collapsed="false">
      <c r="A1668" s="1" t="n">
        <v>71</v>
      </c>
      <c r="B1668" s="1" t="n">
        <v>64</v>
      </c>
      <c r="C1668" s="1" t="n">
        <v>135</v>
      </c>
      <c r="D1668" s="1" t="s">
        <v>771</v>
      </c>
      <c r="E1668" s="1" t="s">
        <v>779</v>
      </c>
      <c r="F1668" s="1" t="s">
        <v>378</v>
      </c>
      <c r="G1668" s="1" t="n">
        <f aca="false">IF(ISNUMBER(E1668),E1668,VALUE(SUBSTITUTE(E1668,"#",".01")))</f>
        <v>-44390.01</v>
      </c>
    </row>
    <row r="1669" customFormat="false" ht="12.75" hidden="false" customHeight="false" outlineLevel="0" collapsed="false">
      <c r="A1669" s="1" t="n">
        <v>70</v>
      </c>
      <c r="B1669" s="1" t="n">
        <v>65</v>
      </c>
      <c r="C1669" s="1" t="n">
        <v>135</v>
      </c>
      <c r="D1669" s="1" t="s">
        <v>780</v>
      </c>
      <c r="E1669" s="1" t="s">
        <v>781</v>
      </c>
      <c r="F1669" s="1" t="s">
        <v>320</v>
      </c>
      <c r="G1669" s="1" t="n">
        <f aca="false">IF(ISNUMBER(E1669),E1669,VALUE(SUBSTITUTE(E1669,"#",".01")))</f>
        <v>-32825.01</v>
      </c>
    </row>
    <row r="1670" customFormat="false" ht="12.75" hidden="false" customHeight="false" outlineLevel="0" collapsed="false">
      <c r="A1670" s="1" t="n">
        <v>87</v>
      </c>
      <c r="B1670" s="1" t="n">
        <v>49</v>
      </c>
      <c r="C1670" s="1" t="n">
        <v>136</v>
      </c>
      <c r="D1670" s="1" t="s">
        <v>623</v>
      </c>
      <c r="E1670" s="1" t="s">
        <v>782</v>
      </c>
      <c r="F1670" s="1" t="s">
        <v>378</v>
      </c>
      <c r="G1670" s="1" t="n">
        <f aca="false">IF(ISNUMBER(E1670),E1670,VALUE(SUBSTITUTE(E1670,"#",".01")))</f>
        <v>-40510.01</v>
      </c>
    </row>
    <row r="1671" customFormat="false" ht="12.75" hidden="false" customHeight="false" outlineLevel="0" collapsed="false">
      <c r="A1671" s="1" t="n">
        <v>86</v>
      </c>
      <c r="B1671" s="1" t="n">
        <v>50</v>
      </c>
      <c r="C1671" s="1" t="n">
        <v>136</v>
      </c>
      <c r="D1671" s="1" t="s">
        <v>633</v>
      </c>
      <c r="E1671" s="1" t="s">
        <v>783</v>
      </c>
      <c r="F1671" s="1" t="s">
        <v>360</v>
      </c>
      <c r="G1671" s="1" t="n">
        <f aca="false">IF(ISNUMBER(E1671),E1671,VALUE(SUBSTITUTE(E1671,"#",".01")))</f>
        <v>-55899.01</v>
      </c>
    </row>
    <row r="1672" customFormat="false" ht="12.75" hidden="false" customHeight="false" outlineLevel="0" collapsed="false">
      <c r="A1672" s="1" t="n">
        <v>85</v>
      </c>
      <c r="B1672" s="1" t="n">
        <v>51</v>
      </c>
      <c r="C1672" s="1" t="n">
        <v>136</v>
      </c>
      <c r="D1672" s="1" t="s">
        <v>642</v>
      </c>
      <c r="E1672" s="1" t="n">
        <v>-64506.88</v>
      </c>
      <c r="F1672" s="1" t="n">
        <v>5.83</v>
      </c>
      <c r="G1672" s="1" t="n">
        <f aca="false">IF(ISNUMBER(E1672),E1672,VALUE(SUBSTITUTE(E1672,"#",".01")))</f>
        <v>-64506.88</v>
      </c>
    </row>
    <row r="1673" customFormat="false" ht="12.75" hidden="false" customHeight="false" outlineLevel="0" collapsed="false">
      <c r="A1673" s="1" t="n">
        <v>84</v>
      </c>
      <c r="B1673" s="1" t="n">
        <v>52</v>
      </c>
      <c r="C1673" s="1" t="n">
        <v>136</v>
      </c>
      <c r="D1673" s="1" t="s">
        <v>647</v>
      </c>
      <c r="E1673" s="1" t="n">
        <v>-74425.269</v>
      </c>
      <c r="F1673" s="1" t="n">
        <v>2.281</v>
      </c>
      <c r="G1673" s="1" t="n">
        <f aca="false">IF(ISNUMBER(E1673),E1673,VALUE(SUBSTITUTE(E1673,"#",".01")))</f>
        <v>-74425.269</v>
      </c>
    </row>
    <row r="1674" customFormat="false" ht="12.75" hidden="false" customHeight="false" outlineLevel="0" collapsed="false">
      <c r="A1674" s="1" t="n">
        <v>83</v>
      </c>
      <c r="B1674" s="1" t="n">
        <v>53</v>
      </c>
      <c r="C1674" s="1" t="n">
        <v>136</v>
      </c>
      <c r="D1674" s="1" t="s">
        <v>652</v>
      </c>
      <c r="E1674" s="1" t="n">
        <v>-79545.214</v>
      </c>
      <c r="F1674" s="1" t="n">
        <v>14.188</v>
      </c>
      <c r="G1674" s="1" t="n">
        <f aca="false">IF(ISNUMBER(E1674),E1674,VALUE(SUBSTITUTE(E1674,"#",".01")))</f>
        <v>-79545.214</v>
      </c>
    </row>
    <row r="1675" customFormat="false" ht="12.75" hidden="false" customHeight="false" outlineLevel="0" collapsed="false">
      <c r="A1675" s="1" t="n">
        <v>82</v>
      </c>
      <c r="B1675" s="1" t="n">
        <v>54</v>
      </c>
      <c r="C1675" s="1" t="n">
        <v>136</v>
      </c>
      <c r="D1675" s="1" t="s">
        <v>658</v>
      </c>
      <c r="E1675" s="1" t="n">
        <v>-86429.159</v>
      </c>
      <c r="F1675" s="1" t="n">
        <v>0.007</v>
      </c>
      <c r="G1675" s="1" t="n">
        <f aca="false">IF(ISNUMBER(E1675),E1675,VALUE(SUBSTITUTE(E1675,"#",".01")))</f>
        <v>-86429.159</v>
      </c>
    </row>
    <row r="1676" customFormat="false" ht="12.75" hidden="false" customHeight="false" outlineLevel="0" collapsed="false">
      <c r="A1676" s="1" t="n">
        <v>81</v>
      </c>
      <c r="B1676" s="1" t="n">
        <v>55</v>
      </c>
      <c r="C1676" s="1" t="n">
        <v>136</v>
      </c>
      <c r="D1676" s="1" t="s">
        <v>662</v>
      </c>
      <c r="E1676" s="1" t="n">
        <v>-86338.697</v>
      </c>
      <c r="F1676" s="1" t="n">
        <v>1.882</v>
      </c>
      <c r="G1676" s="1" t="n">
        <f aca="false">IF(ISNUMBER(E1676),E1676,VALUE(SUBSTITUTE(E1676,"#",".01")))</f>
        <v>-86338.697</v>
      </c>
    </row>
    <row r="1677" customFormat="false" ht="12.75" hidden="false" customHeight="false" outlineLevel="0" collapsed="false">
      <c r="A1677" s="1" t="n">
        <v>80</v>
      </c>
      <c r="B1677" s="1" t="n">
        <v>56</v>
      </c>
      <c r="C1677" s="1" t="n">
        <v>136</v>
      </c>
      <c r="D1677" s="1" t="s">
        <v>669</v>
      </c>
      <c r="E1677" s="1" t="n">
        <v>-88886.921</v>
      </c>
      <c r="F1677" s="1" t="n">
        <v>0.306</v>
      </c>
      <c r="G1677" s="1" t="n">
        <f aca="false">IF(ISNUMBER(E1677),E1677,VALUE(SUBSTITUTE(E1677,"#",".01")))</f>
        <v>-88886.921</v>
      </c>
    </row>
    <row r="1678" customFormat="false" ht="12.75" hidden="false" customHeight="false" outlineLevel="0" collapsed="false">
      <c r="A1678" s="1" t="n">
        <v>79</v>
      </c>
      <c r="B1678" s="1" t="n">
        <v>57</v>
      </c>
      <c r="C1678" s="1" t="n">
        <v>136</v>
      </c>
      <c r="D1678" s="1" t="s">
        <v>682</v>
      </c>
      <c r="E1678" s="1" t="n">
        <v>-86037.479</v>
      </c>
      <c r="F1678" s="1" t="n">
        <v>53.171</v>
      </c>
      <c r="G1678" s="1" t="n">
        <f aca="false">IF(ISNUMBER(E1678),E1678,VALUE(SUBSTITUTE(E1678,"#",".01")))</f>
        <v>-86037.479</v>
      </c>
    </row>
    <row r="1679" customFormat="false" ht="12.75" hidden="false" customHeight="false" outlineLevel="0" collapsed="false">
      <c r="A1679" s="1" t="n">
        <v>78</v>
      </c>
      <c r="B1679" s="1" t="n">
        <v>58</v>
      </c>
      <c r="C1679" s="1" t="n">
        <v>136</v>
      </c>
      <c r="D1679" s="1" t="s">
        <v>696</v>
      </c>
      <c r="E1679" s="1" t="n">
        <v>-86508.372</v>
      </c>
      <c r="F1679" s="1" t="n">
        <v>0.408</v>
      </c>
      <c r="G1679" s="1" t="n">
        <f aca="false">IF(ISNUMBER(E1679),E1679,VALUE(SUBSTITUTE(E1679,"#",".01")))</f>
        <v>-86508.372</v>
      </c>
    </row>
    <row r="1680" customFormat="false" ht="12.75" hidden="false" customHeight="false" outlineLevel="0" collapsed="false">
      <c r="A1680" s="1" t="n">
        <v>77</v>
      </c>
      <c r="B1680" s="1" t="n">
        <v>59</v>
      </c>
      <c r="C1680" s="1" t="n">
        <v>136</v>
      </c>
      <c r="D1680" s="1" t="s">
        <v>707</v>
      </c>
      <c r="E1680" s="1" t="n">
        <v>-81340.355</v>
      </c>
      <c r="F1680" s="1" t="n">
        <v>11.455</v>
      </c>
      <c r="G1680" s="1" t="n">
        <f aca="false">IF(ISNUMBER(E1680),E1680,VALUE(SUBSTITUTE(E1680,"#",".01")))</f>
        <v>-81340.355</v>
      </c>
    </row>
    <row r="1681" customFormat="false" ht="12.75" hidden="false" customHeight="false" outlineLevel="0" collapsed="false">
      <c r="A1681" s="1" t="n">
        <v>76</v>
      </c>
      <c r="B1681" s="1" t="n">
        <v>60</v>
      </c>
      <c r="C1681" s="1" t="n">
        <v>136</v>
      </c>
      <c r="D1681" s="1" t="s">
        <v>724</v>
      </c>
      <c r="E1681" s="1" t="n">
        <v>-79199.287</v>
      </c>
      <c r="F1681" s="1" t="n">
        <v>11.817</v>
      </c>
      <c r="G1681" s="1" t="n">
        <f aca="false">IF(ISNUMBER(E1681),E1681,VALUE(SUBSTITUTE(E1681,"#",".01")))</f>
        <v>-79199.287</v>
      </c>
    </row>
    <row r="1682" customFormat="false" ht="12.75" hidden="false" customHeight="false" outlineLevel="0" collapsed="false">
      <c r="A1682" s="1" t="n">
        <v>75</v>
      </c>
      <c r="B1682" s="1" t="n">
        <v>61</v>
      </c>
      <c r="C1682" s="1" t="n">
        <v>136</v>
      </c>
      <c r="D1682" s="1" t="s">
        <v>736</v>
      </c>
      <c r="E1682" s="1" t="n">
        <v>-71169.915</v>
      </c>
      <c r="F1682" s="1" t="n">
        <v>69.073</v>
      </c>
      <c r="G1682" s="1" t="n">
        <f aca="false">IF(ISNUMBER(E1682),E1682,VALUE(SUBSTITUTE(E1682,"#",".01")))</f>
        <v>-71169.915</v>
      </c>
    </row>
    <row r="1683" customFormat="false" ht="12.75" hidden="false" customHeight="false" outlineLevel="0" collapsed="false">
      <c r="A1683" s="1" t="n">
        <v>74</v>
      </c>
      <c r="B1683" s="1" t="n">
        <v>62</v>
      </c>
      <c r="C1683" s="1" t="n">
        <v>136</v>
      </c>
      <c r="D1683" s="1" t="s">
        <v>747</v>
      </c>
      <c r="E1683" s="1" t="n">
        <v>-66810.89</v>
      </c>
      <c r="F1683" s="1" t="n">
        <v>12.497</v>
      </c>
      <c r="G1683" s="1" t="n">
        <f aca="false">IF(ISNUMBER(E1683),E1683,VALUE(SUBSTITUTE(E1683,"#",".01")))</f>
        <v>-66810.89</v>
      </c>
    </row>
    <row r="1684" customFormat="false" ht="12.75" hidden="false" customHeight="false" outlineLevel="0" collapsed="false">
      <c r="A1684" s="1" t="n">
        <v>73</v>
      </c>
      <c r="B1684" s="1" t="n">
        <v>63</v>
      </c>
      <c r="C1684" s="1" t="n">
        <v>136</v>
      </c>
      <c r="D1684" s="1" t="s">
        <v>757</v>
      </c>
      <c r="E1684" s="1" t="s">
        <v>784</v>
      </c>
      <c r="F1684" s="1" t="s">
        <v>333</v>
      </c>
      <c r="G1684" s="1" t="n">
        <f aca="false">IF(ISNUMBER(E1684),E1684,VALUE(SUBSTITUTE(E1684,"#",".01")))</f>
        <v>-56244.01</v>
      </c>
    </row>
    <row r="1685" customFormat="false" ht="12.75" hidden="false" customHeight="false" outlineLevel="0" collapsed="false">
      <c r="A1685" s="1" t="n">
        <v>72</v>
      </c>
      <c r="B1685" s="1" t="n">
        <v>64</v>
      </c>
      <c r="C1685" s="1" t="n">
        <v>136</v>
      </c>
      <c r="D1685" s="1" t="s">
        <v>771</v>
      </c>
      <c r="E1685" s="1" t="s">
        <v>785</v>
      </c>
      <c r="F1685" s="1" t="s">
        <v>360</v>
      </c>
      <c r="G1685" s="1" t="n">
        <f aca="false">IF(ISNUMBER(E1685),E1685,VALUE(SUBSTITUTE(E1685,"#",".01")))</f>
        <v>-49090.01</v>
      </c>
    </row>
    <row r="1686" customFormat="false" ht="12.75" hidden="false" customHeight="false" outlineLevel="0" collapsed="false">
      <c r="A1686" s="1" t="n">
        <v>71</v>
      </c>
      <c r="B1686" s="1" t="n">
        <v>65</v>
      </c>
      <c r="C1686" s="1" t="n">
        <v>136</v>
      </c>
      <c r="D1686" s="1" t="s">
        <v>780</v>
      </c>
      <c r="E1686" s="1" t="s">
        <v>786</v>
      </c>
      <c r="F1686" s="1" t="s">
        <v>337</v>
      </c>
      <c r="G1686" s="1" t="n">
        <f aca="false">IF(ISNUMBER(E1686),E1686,VALUE(SUBSTITUTE(E1686,"#",".01")))</f>
        <v>-36130.01</v>
      </c>
    </row>
    <row r="1687" customFormat="false" ht="12.75" hidden="false" customHeight="false" outlineLevel="0" collapsed="false">
      <c r="A1687" s="1" t="n">
        <v>88</v>
      </c>
      <c r="B1687" s="1" t="n">
        <v>49</v>
      </c>
      <c r="C1687" s="1" t="n">
        <v>137</v>
      </c>
      <c r="D1687" s="1" t="s">
        <v>623</v>
      </c>
      <c r="E1687" s="1" t="s">
        <v>787</v>
      </c>
      <c r="F1687" s="1" t="s">
        <v>337</v>
      </c>
      <c r="G1687" s="1" t="n">
        <f aca="false">IF(ISNUMBER(E1687),E1687,VALUE(SUBSTITUTE(E1687,"#",".01")))</f>
        <v>-35040.01</v>
      </c>
    </row>
    <row r="1688" customFormat="false" ht="12.75" hidden="false" customHeight="false" outlineLevel="0" collapsed="false">
      <c r="A1688" s="1" t="n">
        <v>87</v>
      </c>
      <c r="B1688" s="1" t="n">
        <v>50</v>
      </c>
      <c r="C1688" s="1" t="n">
        <v>137</v>
      </c>
      <c r="D1688" s="1" t="s">
        <v>633</v>
      </c>
      <c r="E1688" s="1" t="s">
        <v>788</v>
      </c>
      <c r="F1688" s="1" t="s">
        <v>320</v>
      </c>
      <c r="G1688" s="1" t="n">
        <f aca="false">IF(ISNUMBER(E1688),E1688,VALUE(SUBSTITUTE(E1688,"#",".01")))</f>
        <v>-49788.01</v>
      </c>
    </row>
    <row r="1689" customFormat="false" ht="12.75" hidden="false" customHeight="false" outlineLevel="0" collapsed="false">
      <c r="A1689" s="1" t="n">
        <v>86</v>
      </c>
      <c r="B1689" s="1" t="n">
        <v>51</v>
      </c>
      <c r="C1689" s="1" t="n">
        <v>137</v>
      </c>
      <c r="D1689" s="1" t="s">
        <v>642</v>
      </c>
      <c r="E1689" s="1" t="n">
        <v>-60060.384</v>
      </c>
      <c r="F1689" s="1" t="n">
        <v>52.164</v>
      </c>
      <c r="G1689" s="1" t="n">
        <f aca="false">IF(ISNUMBER(E1689),E1689,VALUE(SUBSTITUTE(E1689,"#",".01")))</f>
        <v>-60060.384</v>
      </c>
    </row>
    <row r="1690" customFormat="false" ht="12.75" hidden="false" customHeight="false" outlineLevel="0" collapsed="false">
      <c r="A1690" s="1" t="n">
        <v>85</v>
      </c>
      <c r="B1690" s="1" t="n">
        <v>52</v>
      </c>
      <c r="C1690" s="1" t="n">
        <v>137</v>
      </c>
      <c r="D1690" s="1" t="s">
        <v>647</v>
      </c>
      <c r="E1690" s="1" t="n">
        <v>-69303.753</v>
      </c>
      <c r="F1690" s="1" t="n">
        <v>2.1</v>
      </c>
      <c r="G1690" s="1" t="n">
        <f aca="false">IF(ISNUMBER(E1690),E1690,VALUE(SUBSTITUTE(E1690,"#",".01")))</f>
        <v>-69303.753</v>
      </c>
    </row>
    <row r="1691" customFormat="false" ht="12.75" hidden="false" customHeight="false" outlineLevel="0" collapsed="false">
      <c r="A1691" s="1" t="n">
        <v>84</v>
      </c>
      <c r="B1691" s="1" t="n">
        <v>53</v>
      </c>
      <c r="C1691" s="1" t="n">
        <v>137</v>
      </c>
      <c r="D1691" s="1" t="s">
        <v>652</v>
      </c>
      <c r="E1691" s="1" t="n">
        <v>-76356.258</v>
      </c>
      <c r="F1691" s="1" t="n">
        <v>8.383</v>
      </c>
      <c r="G1691" s="1" t="n">
        <f aca="false">IF(ISNUMBER(E1691),E1691,VALUE(SUBSTITUTE(E1691,"#",".01")))</f>
        <v>-76356.258</v>
      </c>
    </row>
    <row r="1692" customFormat="false" ht="12.75" hidden="false" customHeight="false" outlineLevel="0" collapsed="false">
      <c r="A1692" s="1" t="n">
        <v>83</v>
      </c>
      <c r="B1692" s="1" t="n">
        <v>54</v>
      </c>
      <c r="C1692" s="1" t="n">
        <v>137</v>
      </c>
      <c r="D1692" s="1" t="s">
        <v>658</v>
      </c>
      <c r="E1692" s="1" t="n">
        <v>-82383.404</v>
      </c>
      <c r="F1692" s="1" t="n">
        <v>0.103</v>
      </c>
      <c r="G1692" s="1" t="n">
        <f aca="false">IF(ISNUMBER(E1692),E1692,VALUE(SUBSTITUTE(E1692,"#",".01")))</f>
        <v>-82383.404</v>
      </c>
    </row>
    <row r="1693" customFormat="false" ht="12.75" hidden="false" customHeight="false" outlineLevel="0" collapsed="false">
      <c r="A1693" s="1" t="n">
        <v>82</v>
      </c>
      <c r="B1693" s="1" t="n">
        <v>55</v>
      </c>
      <c r="C1693" s="1" t="n">
        <v>137</v>
      </c>
      <c r="D1693" s="1" t="s">
        <v>662</v>
      </c>
      <c r="E1693" s="1" t="n">
        <v>-86545.606</v>
      </c>
      <c r="F1693" s="1" t="n">
        <v>0.358</v>
      </c>
      <c r="G1693" s="1" t="n">
        <f aca="false">IF(ISNUMBER(E1693),E1693,VALUE(SUBSTITUTE(E1693,"#",".01")))</f>
        <v>-86545.606</v>
      </c>
    </row>
    <row r="1694" customFormat="false" ht="12.75" hidden="false" customHeight="false" outlineLevel="0" collapsed="false">
      <c r="A1694" s="1" t="n">
        <v>81</v>
      </c>
      <c r="B1694" s="1" t="n">
        <v>56</v>
      </c>
      <c r="C1694" s="1" t="n">
        <v>137</v>
      </c>
      <c r="D1694" s="1" t="s">
        <v>669</v>
      </c>
      <c r="E1694" s="1" t="n">
        <v>-87721.235</v>
      </c>
      <c r="F1694" s="1" t="n">
        <v>0.314</v>
      </c>
      <c r="G1694" s="1" t="n">
        <f aca="false">IF(ISNUMBER(E1694),E1694,VALUE(SUBSTITUTE(E1694,"#",".01")))</f>
        <v>-87721.235</v>
      </c>
    </row>
    <row r="1695" customFormat="false" ht="12.75" hidden="false" customHeight="false" outlineLevel="0" collapsed="false">
      <c r="A1695" s="1" t="n">
        <v>80</v>
      </c>
      <c r="B1695" s="1" t="n">
        <v>57</v>
      </c>
      <c r="C1695" s="1" t="n">
        <v>137</v>
      </c>
      <c r="D1695" s="1" t="s">
        <v>682</v>
      </c>
      <c r="E1695" s="1" t="n">
        <v>-87140.688</v>
      </c>
      <c r="F1695" s="1" t="n">
        <v>1.659</v>
      </c>
      <c r="G1695" s="1" t="n">
        <f aca="false">IF(ISNUMBER(E1695),E1695,VALUE(SUBSTITUTE(E1695,"#",".01")))</f>
        <v>-87140.688</v>
      </c>
    </row>
    <row r="1696" customFormat="false" ht="12.75" hidden="false" customHeight="false" outlineLevel="0" collapsed="false">
      <c r="A1696" s="1" t="n">
        <v>79</v>
      </c>
      <c r="B1696" s="1" t="n">
        <v>58</v>
      </c>
      <c r="C1696" s="1" t="n">
        <v>137</v>
      </c>
      <c r="D1696" s="1" t="s">
        <v>696</v>
      </c>
      <c r="E1696" s="1" t="n">
        <v>-85918.588</v>
      </c>
      <c r="F1696" s="1" t="n">
        <v>0.437</v>
      </c>
      <c r="G1696" s="1" t="n">
        <f aca="false">IF(ISNUMBER(E1696),E1696,VALUE(SUBSTITUTE(E1696,"#",".01")))</f>
        <v>-85918.588</v>
      </c>
    </row>
    <row r="1697" customFormat="false" ht="12.75" hidden="false" customHeight="false" outlineLevel="0" collapsed="false">
      <c r="A1697" s="1" t="n">
        <v>78</v>
      </c>
      <c r="B1697" s="1" t="n">
        <v>59</v>
      </c>
      <c r="C1697" s="1" t="n">
        <v>137</v>
      </c>
      <c r="D1697" s="1" t="s">
        <v>707</v>
      </c>
      <c r="E1697" s="1" t="n">
        <v>-83201.693</v>
      </c>
      <c r="F1697" s="1" t="n">
        <v>8.137</v>
      </c>
      <c r="G1697" s="1" t="n">
        <f aca="false">IF(ISNUMBER(E1697),E1697,VALUE(SUBSTITUTE(E1697,"#",".01")))</f>
        <v>-83201.693</v>
      </c>
    </row>
    <row r="1698" customFormat="false" ht="12.75" hidden="false" customHeight="false" outlineLevel="0" collapsed="false">
      <c r="A1698" s="1" t="n">
        <v>77</v>
      </c>
      <c r="B1698" s="1" t="n">
        <v>60</v>
      </c>
      <c r="C1698" s="1" t="n">
        <v>137</v>
      </c>
      <c r="D1698" s="1" t="s">
        <v>724</v>
      </c>
      <c r="E1698" s="1" t="n">
        <v>-79584.567</v>
      </c>
      <c r="F1698" s="1" t="n">
        <v>11.737</v>
      </c>
      <c r="G1698" s="1" t="n">
        <f aca="false">IF(ISNUMBER(E1698),E1698,VALUE(SUBSTITUTE(E1698,"#",".01")))</f>
        <v>-79584.567</v>
      </c>
    </row>
    <row r="1699" customFormat="false" ht="12.75" hidden="false" customHeight="false" outlineLevel="0" collapsed="false">
      <c r="A1699" s="1" t="n">
        <v>76</v>
      </c>
      <c r="B1699" s="1" t="n">
        <v>61</v>
      </c>
      <c r="C1699" s="1" t="n">
        <v>137</v>
      </c>
      <c r="D1699" s="1" t="s">
        <v>736</v>
      </c>
      <c r="E1699" s="1" t="n">
        <v>-74072.848</v>
      </c>
      <c r="F1699" s="1" t="n">
        <v>13.041</v>
      </c>
      <c r="G1699" s="1" t="n">
        <f aca="false">IF(ISNUMBER(E1699),E1699,VALUE(SUBSTITUTE(E1699,"#",".01")))</f>
        <v>-74072.848</v>
      </c>
    </row>
    <row r="1700" customFormat="false" ht="12.75" hidden="false" customHeight="false" outlineLevel="0" collapsed="false">
      <c r="A1700" s="1" t="n">
        <v>75</v>
      </c>
      <c r="B1700" s="1" t="n">
        <v>62</v>
      </c>
      <c r="C1700" s="1" t="n">
        <v>137</v>
      </c>
      <c r="D1700" s="1" t="s">
        <v>747</v>
      </c>
      <c r="E1700" s="1" t="n">
        <v>-68026.525</v>
      </c>
      <c r="F1700" s="1" t="n">
        <v>42.395</v>
      </c>
      <c r="G1700" s="1" t="n">
        <f aca="false">IF(ISNUMBER(E1700),E1700,VALUE(SUBSTITUTE(E1700,"#",".01")))</f>
        <v>-68026.525</v>
      </c>
    </row>
    <row r="1701" customFormat="false" ht="12.75" hidden="false" customHeight="false" outlineLevel="0" collapsed="false">
      <c r="A1701" s="1" t="n">
        <v>74</v>
      </c>
      <c r="B1701" s="1" t="n">
        <v>63</v>
      </c>
      <c r="C1701" s="1" t="n">
        <v>137</v>
      </c>
      <c r="D1701" s="1" t="s">
        <v>757</v>
      </c>
      <c r="E1701" s="1" t="n">
        <v>-60145.895</v>
      </c>
      <c r="F1701" s="1" t="n">
        <v>4.378</v>
      </c>
      <c r="G1701" s="1" t="n">
        <f aca="false">IF(ISNUMBER(E1701),E1701,VALUE(SUBSTITUTE(E1701,"#",".01")))</f>
        <v>-60145.895</v>
      </c>
    </row>
    <row r="1702" customFormat="false" ht="12.75" hidden="false" customHeight="false" outlineLevel="0" collapsed="false">
      <c r="A1702" s="1" t="n">
        <v>73</v>
      </c>
      <c r="B1702" s="1" t="n">
        <v>64</v>
      </c>
      <c r="C1702" s="1" t="n">
        <v>137</v>
      </c>
      <c r="D1702" s="1" t="s">
        <v>771</v>
      </c>
      <c r="E1702" s="1" t="s">
        <v>789</v>
      </c>
      <c r="F1702" s="1" t="s">
        <v>360</v>
      </c>
      <c r="G1702" s="1" t="n">
        <f aca="false">IF(ISNUMBER(E1702),E1702,VALUE(SUBSTITUTE(E1702,"#",".01")))</f>
        <v>-51214.01</v>
      </c>
    </row>
    <row r="1703" customFormat="false" ht="12.75" hidden="false" customHeight="false" outlineLevel="0" collapsed="false">
      <c r="A1703" s="1" t="n">
        <v>72</v>
      </c>
      <c r="B1703" s="1" t="n">
        <v>65</v>
      </c>
      <c r="C1703" s="1" t="n">
        <v>137</v>
      </c>
      <c r="D1703" s="1" t="s">
        <v>780</v>
      </c>
      <c r="E1703" s="1" t="s">
        <v>790</v>
      </c>
      <c r="F1703" s="1" t="s">
        <v>320</v>
      </c>
      <c r="G1703" s="1" t="n">
        <f aca="false">IF(ISNUMBER(E1703),E1703,VALUE(SUBSTITUTE(E1703,"#",".01")))</f>
        <v>-40967.01</v>
      </c>
    </row>
    <row r="1704" customFormat="false" ht="12.75" hidden="false" customHeight="false" outlineLevel="0" collapsed="false">
      <c r="A1704" s="1" t="n">
        <v>88</v>
      </c>
      <c r="B1704" s="1" t="n">
        <v>50</v>
      </c>
      <c r="C1704" s="1" t="n">
        <v>138</v>
      </c>
      <c r="D1704" s="1" t="s">
        <v>633</v>
      </c>
      <c r="E1704" s="1" t="s">
        <v>791</v>
      </c>
      <c r="F1704" s="1" t="s">
        <v>323</v>
      </c>
      <c r="G1704" s="1" t="n">
        <f aca="false">IF(ISNUMBER(E1704),E1704,VALUE(SUBSTITUTE(E1704,"#",".01")))</f>
        <v>-44861.01</v>
      </c>
    </row>
    <row r="1705" customFormat="false" ht="12.75" hidden="false" customHeight="false" outlineLevel="0" collapsed="false">
      <c r="A1705" s="1" t="n">
        <v>87</v>
      </c>
      <c r="B1705" s="1" t="n">
        <v>51</v>
      </c>
      <c r="C1705" s="1" t="n">
        <v>138</v>
      </c>
      <c r="D1705" s="1" t="s">
        <v>642</v>
      </c>
      <c r="E1705" s="1" t="n">
        <v>-54220.403</v>
      </c>
      <c r="F1705" s="1" t="n">
        <v>1064.232</v>
      </c>
      <c r="G1705" s="1" t="n">
        <f aca="false">IF(ISNUMBER(E1705),E1705,VALUE(SUBSTITUTE(E1705,"#",".01")))</f>
        <v>-54220.403</v>
      </c>
    </row>
    <row r="1706" customFormat="false" ht="12.75" hidden="false" customHeight="false" outlineLevel="0" collapsed="false">
      <c r="A1706" s="1" t="n">
        <v>86</v>
      </c>
      <c r="B1706" s="1" t="n">
        <v>52</v>
      </c>
      <c r="C1706" s="1" t="n">
        <v>138</v>
      </c>
      <c r="D1706" s="1" t="s">
        <v>647</v>
      </c>
      <c r="E1706" s="1" t="n">
        <v>-65695.985</v>
      </c>
      <c r="F1706" s="1" t="n">
        <v>3.787</v>
      </c>
      <c r="G1706" s="1" t="n">
        <f aca="false">IF(ISNUMBER(E1706),E1706,VALUE(SUBSTITUTE(E1706,"#",".01")))</f>
        <v>-65695.985</v>
      </c>
    </row>
    <row r="1707" customFormat="false" ht="12.75" hidden="false" customHeight="false" outlineLevel="0" collapsed="false">
      <c r="A1707" s="1" t="n">
        <v>85</v>
      </c>
      <c r="B1707" s="1" t="n">
        <v>53</v>
      </c>
      <c r="C1707" s="1" t="n">
        <v>138</v>
      </c>
      <c r="D1707" s="1" t="s">
        <v>652</v>
      </c>
      <c r="E1707" s="1" t="n">
        <v>-71979.9</v>
      </c>
      <c r="F1707" s="1" t="n">
        <v>5.962</v>
      </c>
      <c r="G1707" s="1" t="n">
        <f aca="false">IF(ISNUMBER(E1707),E1707,VALUE(SUBSTITUTE(E1707,"#",".01")))</f>
        <v>-71979.9</v>
      </c>
    </row>
    <row r="1708" customFormat="false" ht="12.75" hidden="false" customHeight="false" outlineLevel="0" collapsed="false">
      <c r="A1708" s="1" t="n">
        <v>84</v>
      </c>
      <c r="B1708" s="1" t="n">
        <v>54</v>
      </c>
      <c r="C1708" s="1" t="n">
        <v>138</v>
      </c>
      <c r="D1708" s="1" t="s">
        <v>658</v>
      </c>
      <c r="E1708" s="1" t="n">
        <v>-79972.233</v>
      </c>
      <c r="F1708" s="1" t="n">
        <v>2.804</v>
      </c>
      <c r="G1708" s="1" t="n">
        <f aca="false">IF(ISNUMBER(E1708),E1708,VALUE(SUBSTITUTE(E1708,"#",".01")))</f>
        <v>-79972.233</v>
      </c>
    </row>
    <row r="1709" customFormat="false" ht="12.75" hidden="false" customHeight="false" outlineLevel="0" collapsed="false">
      <c r="A1709" s="1" t="n">
        <v>83</v>
      </c>
      <c r="B1709" s="1" t="n">
        <v>55</v>
      </c>
      <c r="C1709" s="1" t="n">
        <v>138</v>
      </c>
      <c r="D1709" s="1" t="s">
        <v>662</v>
      </c>
      <c r="E1709" s="1" t="n">
        <v>-82886.937</v>
      </c>
      <c r="F1709" s="1" t="n">
        <v>9.159</v>
      </c>
      <c r="G1709" s="1" t="n">
        <f aca="false">IF(ISNUMBER(E1709),E1709,VALUE(SUBSTITUTE(E1709,"#",".01")))</f>
        <v>-82886.937</v>
      </c>
    </row>
    <row r="1710" customFormat="false" ht="12.75" hidden="false" customHeight="false" outlineLevel="0" collapsed="false">
      <c r="A1710" s="1" t="n">
        <v>82</v>
      </c>
      <c r="B1710" s="1" t="n">
        <v>56</v>
      </c>
      <c r="C1710" s="1" t="n">
        <v>138</v>
      </c>
      <c r="D1710" s="1" t="s">
        <v>669</v>
      </c>
      <c r="E1710" s="1" t="n">
        <v>-88261.638</v>
      </c>
      <c r="F1710" s="1" t="n">
        <v>0.317</v>
      </c>
      <c r="G1710" s="1" t="n">
        <f aca="false">IF(ISNUMBER(E1710),E1710,VALUE(SUBSTITUTE(E1710,"#",".01")))</f>
        <v>-88261.638</v>
      </c>
    </row>
    <row r="1711" customFormat="false" ht="12.75" hidden="false" customHeight="false" outlineLevel="0" collapsed="false">
      <c r="A1711" s="1" t="n">
        <v>81</v>
      </c>
      <c r="B1711" s="1" t="n">
        <v>57</v>
      </c>
      <c r="C1711" s="1" t="n">
        <v>138</v>
      </c>
      <c r="D1711" s="1" t="s">
        <v>682</v>
      </c>
      <c r="E1711" s="1" t="n">
        <v>-86519.18</v>
      </c>
      <c r="F1711" s="1" t="n">
        <v>3.188</v>
      </c>
      <c r="G1711" s="1" t="n">
        <f aca="false">IF(ISNUMBER(E1711),E1711,VALUE(SUBSTITUTE(E1711,"#",".01")))</f>
        <v>-86519.18</v>
      </c>
    </row>
    <row r="1712" customFormat="false" ht="12.75" hidden="false" customHeight="false" outlineLevel="0" collapsed="false">
      <c r="A1712" s="1" t="n">
        <v>80</v>
      </c>
      <c r="B1712" s="1" t="n">
        <v>58</v>
      </c>
      <c r="C1712" s="1" t="n">
        <v>138</v>
      </c>
      <c r="D1712" s="1" t="s">
        <v>696</v>
      </c>
      <c r="E1712" s="1" t="n">
        <v>-87570.922</v>
      </c>
      <c r="F1712" s="1" t="n">
        <v>4.931</v>
      </c>
      <c r="G1712" s="1" t="n">
        <f aca="false">IF(ISNUMBER(E1712),E1712,VALUE(SUBSTITUTE(E1712,"#",".01")))</f>
        <v>-87570.922</v>
      </c>
    </row>
    <row r="1713" customFormat="false" ht="12.75" hidden="false" customHeight="false" outlineLevel="0" collapsed="false">
      <c r="A1713" s="1" t="n">
        <v>79</v>
      </c>
      <c r="B1713" s="1" t="n">
        <v>59</v>
      </c>
      <c r="C1713" s="1" t="n">
        <v>138</v>
      </c>
      <c r="D1713" s="1" t="s">
        <v>707</v>
      </c>
      <c r="E1713" s="1" t="n">
        <v>-83133.922</v>
      </c>
      <c r="F1713" s="1" t="n">
        <v>11.15</v>
      </c>
      <c r="G1713" s="1" t="n">
        <f aca="false">IF(ISNUMBER(E1713),E1713,VALUE(SUBSTITUTE(E1713,"#",".01")))</f>
        <v>-83133.922</v>
      </c>
    </row>
    <row r="1714" customFormat="false" ht="12.75" hidden="false" customHeight="false" outlineLevel="0" collapsed="false">
      <c r="A1714" s="1" t="n">
        <v>78</v>
      </c>
      <c r="B1714" s="1" t="n">
        <v>60</v>
      </c>
      <c r="C1714" s="1" t="n">
        <v>138</v>
      </c>
      <c r="D1714" s="1" t="s">
        <v>724</v>
      </c>
      <c r="E1714" s="1" t="n">
        <v>-82018.31</v>
      </c>
      <c r="F1714" s="1" t="n">
        <v>11.601</v>
      </c>
      <c r="G1714" s="1" t="n">
        <f aca="false">IF(ISNUMBER(E1714),E1714,VALUE(SUBSTITUTE(E1714,"#",".01")))</f>
        <v>-82018.31</v>
      </c>
    </row>
    <row r="1715" customFormat="false" ht="12.75" hidden="false" customHeight="false" outlineLevel="0" collapsed="false">
      <c r="A1715" s="1" t="n">
        <v>77</v>
      </c>
      <c r="B1715" s="1" t="n">
        <v>61</v>
      </c>
      <c r="C1715" s="1" t="n">
        <v>138</v>
      </c>
      <c r="D1715" s="1" t="s">
        <v>736</v>
      </c>
      <c r="E1715" s="1" t="n">
        <v>-74940.483</v>
      </c>
      <c r="F1715" s="1" t="n">
        <v>27.739</v>
      </c>
      <c r="G1715" s="1" t="n">
        <f aca="false">IF(ISNUMBER(E1715),E1715,VALUE(SUBSTITUTE(E1715,"#",".01")))</f>
        <v>-74940.483</v>
      </c>
    </row>
    <row r="1716" customFormat="false" ht="12.75" hidden="false" customHeight="false" outlineLevel="0" collapsed="false">
      <c r="A1716" s="1" t="n">
        <v>76</v>
      </c>
      <c r="B1716" s="1" t="n">
        <v>62</v>
      </c>
      <c r="C1716" s="1" t="n">
        <v>138</v>
      </c>
      <c r="D1716" s="1" t="s">
        <v>747</v>
      </c>
      <c r="E1716" s="1" t="n">
        <v>-71497.762</v>
      </c>
      <c r="F1716" s="1" t="n">
        <v>11.817</v>
      </c>
      <c r="G1716" s="1" t="n">
        <f aca="false">IF(ISNUMBER(E1716),E1716,VALUE(SUBSTITUTE(E1716,"#",".01")))</f>
        <v>-71497.762</v>
      </c>
    </row>
    <row r="1717" customFormat="false" ht="12.75" hidden="false" customHeight="false" outlineLevel="0" collapsed="false">
      <c r="A1717" s="1" t="n">
        <v>75</v>
      </c>
      <c r="B1717" s="1" t="n">
        <v>63</v>
      </c>
      <c r="C1717" s="1" t="n">
        <v>138</v>
      </c>
      <c r="D1717" s="1" t="s">
        <v>757</v>
      </c>
      <c r="E1717" s="1" t="n">
        <v>-61749.669</v>
      </c>
      <c r="F1717" s="1" t="n">
        <v>27.945</v>
      </c>
      <c r="G1717" s="1" t="n">
        <f aca="false">IF(ISNUMBER(E1717),E1717,VALUE(SUBSTITUTE(E1717,"#",".01")))</f>
        <v>-61749.669</v>
      </c>
    </row>
    <row r="1718" customFormat="false" ht="12.75" hidden="false" customHeight="false" outlineLevel="0" collapsed="false">
      <c r="A1718" s="1" t="n">
        <v>74</v>
      </c>
      <c r="B1718" s="1" t="n">
        <v>64</v>
      </c>
      <c r="C1718" s="1" t="n">
        <v>138</v>
      </c>
      <c r="D1718" s="1" t="s">
        <v>771</v>
      </c>
      <c r="E1718" s="1" t="s">
        <v>792</v>
      </c>
      <c r="F1718" s="1" t="s">
        <v>333</v>
      </c>
      <c r="G1718" s="1" t="n">
        <f aca="false">IF(ISNUMBER(E1718),E1718,VALUE(SUBSTITUTE(E1718,"#",".01")))</f>
        <v>-55800.01</v>
      </c>
    </row>
    <row r="1719" customFormat="false" ht="12.75" hidden="false" customHeight="false" outlineLevel="0" collapsed="false">
      <c r="A1719" s="1" t="n">
        <v>73</v>
      </c>
      <c r="B1719" s="1" t="n">
        <v>65</v>
      </c>
      <c r="C1719" s="1" t="n">
        <v>138</v>
      </c>
      <c r="D1719" s="1" t="s">
        <v>780</v>
      </c>
      <c r="E1719" s="1" t="s">
        <v>793</v>
      </c>
      <c r="F1719" s="1" t="s">
        <v>360</v>
      </c>
      <c r="G1719" s="1" t="n">
        <f aca="false">IF(ISNUMBER(E1719),E1719,VALUE(SUBSTITUTE(E1719,"#",".01")))</f>
        <v>-43668.01</v>
      </c>
    </row>
    <row r="1720" customFormat="false" ht="12.75" hidden="false" customHeight="false" outlineLevel="0" collapsed="false">
      <c r="A1720" s="1" t="n">
        <v>72</v>
      </c>
      <c r="B1720" s="1" t="n">
        <v>66</v>
      </c>
      <c r="C1720" s="1" t="n">
        <v>138</v>
      </c>
      <c r="D1720" s="1" t="s">
        <v>794</v>
      </c>
      <c r="E1720" s="1" t="s">
        <v>795</v>
      </c>
      <c r="F1720" s="1" t="s">
        <v>323</v>
      </c>
      <c r="G1720" s="1" t="n">
        <f aca="false">IF(ISNUMBER(E1720),E1720,VALUE(SUBSTITUTE(E1720,"#",".01")))</f>
        <v>-34931.01</v>
      </c>
    </row>
    <row r="1721" customFormat="false" ht="12.75" hidden="false" customHeight="false" outlineLevel="0" collapsed="false">
      <c r="A1721" s="1" t="n">
        <v>89</v>
      </c>
      <c r="B1721" s="1" t="n">
        <v>50</v>
      </c>
      <c r="C1721" s="1" t="n">
        <v>139</v>
      </c>
      <c r="D1721" s="1" t="s">
        <v>633</v>
      </c>
      <c r="E1721" s="1" t="s">
        <v>796</v>
      </c>
      <c r="F1721" s="1" t="s">
        <v>337</v>
      </c>
      <c r="G1721" s="1" t="n">
        <f aca="false">IF(ISNUMBER(E1721),E1721,VALUE(SUBSTITUTE(E1721,"#",".01")))</f>
        <v>-38440.01</v>
      </c>
    </row>
    <row r="1722" customFormat="false" ht="12.75" hidden="false" customHeight="false" outlineLevel="0" collapsed="false">
      <c r="A1722" s="1" t="n">
        <v>88</v>
      </c>
      <c r="B1722" s="1" t="n">
        <v>51</v>
      </c>
      <c r="C1722" s="1" t="n">
        <v>139</v>
      </c>
      <c r="D1722" s="1" t="s">
        <v>642</v>
      </c>
      <c r="E1722" s="1" t="s">
        <v>788</v>
      </c>
      <c r="F1722" s="1" t="s">
        <v>320</v>
      </c>
      <c r="G1722" s="1" t="n">
        <f aca="false">IF(ISNUMBER(E1722),E1722,VALUE(SUBSTITUTE(E1722,"#",".01")))</f>
        <v>-49788.01</v>
      </c>
    </row>
    <row r="1723" customFormat="false" ht="12.75" hidden="false" customHeight="false" outlineLevel="0" collapsed="false">
      <c r="A1723" s="1" t="n">
        <v>87</v>
      </c>
      <c r="B1723" s="1" t="n">
        <v>52</v>
      </c>
      <c r="C1723" s="1" t="n">
        <v>139</v>
      </c>
      <c r="D1723" s="1" t="s">
        <v>647</v>
      </c>
      <c r="E1723" s="1" t="n">
        <v>-60205.072</v>
      </c>
      <c r="F1723" s="1" t="n">
        <v>3.54</v>
      </c>
      <c r="G1723" s="1" t="n">
        <f aca="false">IF(ISNUMBER(E1723),E1723,VALUE(SUBSTITUTE(E1723,"#",".01")))</f>
        <v>-60205.072</v>
      </c>
    </row>
    <row r="1724" customFormat="false" ht="12.75" hidden="false" customHeight="false" outlineLevel="0" collapsed="false">
      <c r="A1724" s="1" t="n">
        <v>86</v>
      </c>
      <c r="B1724" s="1" t="n">
        <v>53</v>
      </c>
      <c r="C1724" s="1" t="n">
        <v>139</v>
      </c>
      <c r="D1724" s="1" t="s">
        <v>652</v>
      </c>
      <c r="E1724" s="1" t="n">
        <v>-68470.954</v>
      </c>
      <c r="F1724" s="1" t="n">
        <v>4.005</v>
      </c>
      <c r="G1724" s="1" t="n">
        <f aca="false">IF(ISNUMBER(E1724),E1724,VALUE(SUBSTITUTE(E1724,"#",".01")))</f>
        <v>-68470.954</v>
      </c>
    </row>
    <row r="1725" customFormat="false" ht="12.75" hidden="false" customHeight="false" outlineLevel="0" collapsed="false">
      <c r="A1725" s="1" t="n">
        <v>85</v>
      </c>
      <c r="B1725" s="1" t="n">
        <v>54</v>
      </c>
      <c r="C1725" s="1" t="n">
        <v>139</v>
      </c>
      <c r="D1725" s="1" t="s">
        <v>658</v>
      </c>
      <c r="E1725" s="1" t="n">
        <v>-75644.576</v>
      </c>
      <c r="F1725" s="1" t="n">
        <v>2.142</v>
      </c>
      <c r="G1725" s="1" t="n">
        <f aca="false">IF(ISNUMBER(E1725),E1725,VALUE(SUBSTITUTE(E1725,"#",".01")))</f>
        <v>-75644.576</v>
      </c>
    </row>
    <row r="1726" customFormat="false" ht="12.75" hidden="false" customHeight="false" outlineLevel="0" collapsed="false">
      <c r="A1726" s="1" t="n">
        <v>84</v>
      </c>
      <c r="B1726" s="1" t="n">
        <v>55</v>
      </c>
      <c r="C1726" s="1" t="n">
        <v>139</v>
      </c>
      <c r="D1726" s="1" t="s">
        <v>662</v>
      </c>
      <c r="E1726" s="1" t="n">
        <v>-80700.921</v>
      </c>
      <c r="F1726" s="1" t="n">
        <v>3.14</v>
      </c>
      <c r="G1726" s="1" t="n">
        <f aca="false">IF(ISNUMBER(E1726),E1726,VALUE(SUBSTITUTE(E1726,"#",".01")))</f>
        <v>-80700.921</v>
      </c>
    </row>
    <row r="1727" customFormat="false" ht="12.75" hidden="false" customHeight="false" outlineLevel="0" collapsed="false">
      <c r="A1727" s="1" t="n">
        <v>83</v>
      </c>
      <c r="B1727" s="1" t="n">
        <v>56</v>
      </c>
      <c r="C1727" s="1" t="n">
        <v>139</v>
      </c>
      <c r="D1727" s="1" t="s">
        <v>669</v>
      </c>
      <c r="E1727" s="1" t="n">
        <v>-84913.751</v>
      </c>
      <c r="F1727" s="1" t="n">
        <v>0.319</v>
      </c>
      <c r="G1727" s="1" t="n">
        <f aca="false">IF(ISNUMBER(E1727),E1727,VALUE(SUBSTITUTE(E1727,"#",".01")))</f>
        <v>-84913.751</v>
      </c>
    </row>
    <row r="1728" customFormat="false" ht="12.75" hidden="false" customHeight="false" outlineLevel="0" collapsed="false">
      <c r="A1728" s="1" t="n">
        <v>82</v>
      </c>
      <c r="B1728" s="1" t="n">
        <v>57</v>
      </c>
      <c r="C1728" s="1" t="n">
        <v>139</v>
      </c>
      <c r="D1728" s="1" t="s">
        <v>682</v>
      </c>
      <c r="E1728" s="1" t="n">
        <v>-87226.212</v>
      </c>
      <c r="F1728" s="1" t="n">
        <v>2.009</v>
      </c>
      <c r="G1728" s="1" t="n">
        <f aca="false">IF(ISNUMBER(E1728),E1728,VALUE(SUBSTITUTE(E1728,"#",".01")))</f>
        <v>-87226.212</v>
      </c>
    </row>
    <row r="1729" customFormat="false" ht="12.75" hidden="false" customHeight="false" outlineLevel="0" collapsed="false">
      <c r="A1729" s="1" t="n">
        <v>81</v>
      </c>
      <c r="B1729" s="1" t="n">
        <v>58</v>
      </c>
      <c r="C1729" s="1" t="n">
        <v>139</v>
      </c>
      <c r="D1729" s="1" t="s">
        <v>696</v>
      </c>
      <c r="E1729" s="1" t="n">
        <v>-86947.862</v>
      </c>
      <c r="F1729" s="1" t="n">
        <v>7.23</v>
      </c>
      <c r="G1729" s="1" t="n">
        <f aca="false">IF(ISNUMBER(E1729),E1729,VALUE(SUBSTITUTE(E1729,"#",".01")))</f>
        <v>-86947.862</v>
      </c>
    </row>
    <row r="1730" customFormat="false" ht="12.75" hidden="false" customHeight="false" outlineLevel="0" collapsed="false">
      <c r="A1730" s="1" t="n">
        <v>80</v>
      </c>
      <c r="B1730" s="1" t="n">
        <v>59</v>
      </c>
      <c r="C1730" s="1" t="n">
        <v>139</v>
      </c>
      <c r="D1730" s="1" t="s">
        <v>707</v>
      </c>
      <c r="E1730" s="1" t="n">
        <v>-84818.798</v>
      </c>
      <c r="F1730" s="1" t="n">
        <v>7.809</v>
      </c>
      <c r="G1730" s="1" t="n">
        <f aca="false">IF(ISNUMBER(E1730),E1730,VALUE(SUBSTITUTE(E1730,"#",".01")))</f>
        <v>-84818.798</v>
      </c>
    </row>
    <row r="1731" customFormat="false" ht="12.75" hidden="false" customHeight="false" outlineLevel="0" collapsed="false">
      <c r="A1731" s="1" t="n">
        <v>79</v>
      </c>
      <c r="B1731" s="1" t="n">
        <v>60</v>
      </c>
      <c r="C1731" s="1" t="n">
        <v>139</v>
      </c>
      <c r="D1731" s="1" t="s">
        <v>724</v>
      </c>
      <c r="E1731" s="1" t="n">
        <v>-82013.942</v>
      </c>
      <c r="F1731" s="1" t="n">
        <v>27.6</v>
      </c>
      <c r="G1731" s="1" t="n">
        <f aca="false">IF(ISNUMBER(E1731),E1731,VALUE(SUBSTITUTE(E1731,"#",".01")))</f>
        <v>-82013.942</v>
      </c>
    </row>
    <row r="1732" customFormat="false" ht="12.75" hidden="false" customHeight="false" outlineLevel="0" collapsed="false">
      <c r="A1732" s="1" t="n">
        <v>78</v>
      </c>
      <c r="B1732" s="1" t="n">
        <v>61</v>
      </c>
      <c r="C1732" s="1" t="n">
        <v>139</v>
      </c>
      <c r="D1732" s="1" t="s">
        <v>736</v>
      </c>
      <c r="E1732" s="1" t="n">
        <v>-77500.481</v>
      </c>
      <c r="F1732" s="1" t="n">
        <v>13.593</v>
      </c>
      <c r="G1732" s="1" t="n">
        <f aca="false">IF(ISNUMBER(E1732),E1732,VALUE(SUBSTITUTE(E1732,"#",".01")))</f>
        <v>-77500.481</v>
      </c>
    </row>
    <row r="1733" customFormat="false" ht="12.75" hidden="false" customHeight="false" outlineLevel="0" collapsed="false">
      <c r="A1733" s="1" t="n">
        <v>77</v>
      </c>
      <c r="B1733" s="1" t="n">
        <v>62</v>
      </c>
      <c r="C1733" s="1" t="n">
        <v>139</v>
      </c>
      <c r="D1733" s="1" t="s">
        <v>747</v>
      </c>
      <c r="E1733" s="1" t="n">
        <v>-72380.219</v>
      </c>
      <c r="F1733" s="1" t="n">
        <v>10.884</v>
      </c>
      <c r="G1733" s="1" t="n">
        <f aca="false">IF(ISNUMBER(E1733),E1733,VALUE(SUBSTITUTE(E1733,"#",".01")))</f>
        <v>-72380.219</v>
      </c>
    </row>
    <row r="1734" customFormat="false" ht="12.75" hidden="false" customHeight="false" outlineLevel="0" collapsed="false">
      <c r="A1734" s="1" t="n">
        <v>76</v>
      </c>
      <c r="B1734" s="1" t="n">
        <v>63</v>
      </c>
      <c r="C1734" s="1" t="n">
        <v>139</v>
      </c>
      <c r="D1734" s="1" t="s">
        <v>757</v>
      </c>
      <c r="E1734" s="1" t="n">
        <v>-65398.042</v>
      </c>
      <c r="F1734" s="1" t="n">
        <v>13.151</v>
      </c>
      <c r="G1734" s="1" t="n">
        <f aca="false">IF(ISNUMBER(E1734),E1734,VALUE(SUBSTITUTE(E1734,"#",".01")))</f>
        <v>-65398.042</v>
      </c>
    </row>
    <row r="1735" customFormat="false" ht="12.75" hidden="false" customHeight="false" outlineLevel="0" collapsed="false">
      <c r="A1735" s="1" t="n">
        <v>75</v>
      </c>
      <c r="B1735" s="1" t="n">
        <v>64</v>
      </c>
      <c r="C1735" s="1" t="n">
        <v>139</v>
      </c>
      <c r="D1735" s="1" t="s">
        <v>771</v>
      </c>
      <c r="E1735" s="1" t="s">
        <v>797</v>
      </c>
      <c r="F1735" s="1" t="s">
        <v>333</v>
      </c>
      <c r="G1735" s="1" t="n">
        <f aca="false">IF(ISNUMBER(E1735),E1735,VALUE(SUBSTITUTE(E1735,"#",".01")))</f>
        <v>-57632.01</v>
      </c>
    </row>
    <row r="1736" customFormat="false" ht="12.75" hidden="false" customHeight="false" outlineLevel="0" collapsed="false">
      <c r="A1736" s="1" t="n">
        <v>74</v>
      </c>
      <c r="B1736" s="1" t="n">
        <v>65</v>
      </c>
      <c r="C1736" s="1" t="n">
        <v>139</v>
      </c>
      <c r="D1736" s="1" t="s">
        <v>780</v>
      </c>
      <c r="E1736" s="1" t="s">
        <v>798</v>
      </c>
      <c r="F1736" s="1" t="s">
        <v>360</v>
      </c>
      <c r="G1736" s="1" t="n">
        <f aca="false">IF(ISNUMBER(E1736),E1736,VALUE(SUBSTITUTE(E1736,"#",".01")))</f>
        <v>-48130.01</v>
      </c>
    </row>
    <row r="1737" customFormat="false" ht="12.75" hidden="false" customHeight="false" outlineLevel="0" collapsed="false">
      <c r="A1737" s="1" t="n">
        <v>73</v>
      </c>
      <c r="B1737" s="1" t="n">
        <v>66</v>
      </c>
      <c r="C1737" s="1" t="n">
        <v>139</v>
      </c>
      <c r="D1737" s="1" t="s">
        <v>794</v>
      </c>
      <c r="E1737" s="1" t="s">
        <v>799</v>
      </c>
      <c r="F1737" s="1" t="s">
        <v>323</v>
      </c>
      <c r="G1737" s="1" t="n">
        <f aca="false">IF(ISNUMBER(E1737),E1737,VALUE(SUBSTITUTE(E1737,"#",".01")))</f>
        <v>-37642.01</v>
      </c>
    </row>
    <row r="1738" customFormat="false" ht="12.75" hidden="false" customHeight="false" outlineLevel="0" collapsed="false">
      <c r="A1738" s="1" t="n">
        <v>89</v>
      </c>
      <c r="B1738" s="1" t="n">
        <v>51</v>
      </c>
      <c r="C1738" s="1" t="n">
        <v>140</v>
      </c>
      <c r="D1738" s="1" t="s">
        <v>642</v>
      </c>
      <c r="E1738" s="1" t="s">
        <v>800</v>
      </c>
      <c r="F1738" s="1" t="s">
        <v>316</v>
      </c>
      <c r="G1738" s="1" t="n">
        <f aca="false">IF(ISNUMBER(E1738),E1738,VALUE(SUBSTITUTE(E1738,"#",".01")))</f>
        <v>-43939.01</v>
      </c>
    </row>
    <row r="1739" customFormat="false" ht="12.75" hidden="false" customHeight="false" outlineLevel="0" collapsed="false">
      <c r="A1739" s="1" t="n">
        <v>88</v>
      </c>
      <c r="B1739" s="1" t="n">
        <v>52</v>
      </c>
      <c r="C1739" s="1" t="n">
        <v>140</v>
      </c>
      <c r="D1739" s="1" t="s">
        <v>647</v>
      </c>
      <c r="E1739" s="1" t="n">
        <v>-56576.228</v>
      </c>
      <c r="F1739" s="1" t="n">
        <v>62.41</v>
      </c>
      <c r="G1739" s="1" t="n">
        <f aca="false">IF(ISNUMBER(E1739),E1739,VALUE(SUBSTITUTE(E1739,"#",".01")))</f>
        <v>-56576.228</v>
      </c>
    </row>
    <row r="1740" customFormat="false" ht="12.75" hidden="false" customHeight="false" outlineLevel="0" collapsed="false">
      <c r="A1740" s="1" t="n">
        <v>87</v>
      </c>
      <c r="B1740" s="1" t="n">
        <v>53</v>
      </c>
      <c r="C1740" s="1" t="n">
        <v>140</v>
      </c>
      <c r="D1740" s="1" t="s">
        <v>652</v>
      </c>
      <c r="E1740" s="1" t="n">
        <v>-63606.213</v>
      </c>
      <c r="F1740" s="1" t="n">
        <v>12.109</v>
      </c>
      <c r="G1740" s="1" t="n">
        <f aca="false">IF(ISNUMBER(E1740),E1740,VALUE(SUBSTITUTE(E1740,"#",".01")))</f>
        <v>-63606.213</v>
      </c>
    </row>
    <row r="1741" customFormat="false" ht="12.75" hidden="false" customHeight="false" outlineLevel="0" collapsed="false">
      <c r="A1741" s="1" t="n">
        <v>86</v>
      </c>
      <c r="B1741" s="1" t="n">
        <v>54</v>
      </c>
      <c r="C1741" s="1" t="n">
        <v>140</v>
      </c>
      <c r="D1741" s="1" t="s">
        <v>658</v>
      </c>
      <c r="E1741" s="1" t="n">
        <v>-72986.451</v>
      </c>
      <c r="F1741" s="1" t="n">
        <v>2.329</v>
      </c>
      <c r="G1741" s="1" t="n">
        <f aca="false">IF(ISNUMBER(E1741),E1741,VALUE(SUBSTITUTE(E1741,"#",".01")))</f>
        <v>-72986.451</v>
      </c>
    </row>
    <row r="1742" customFormat="false" ht="12.75" hidden="false" customHeight="false" outlineLevel="0" collapsed="false">
      <c r="A1742" s="1" t="n">
        <v>85</v>
      </c>
      <c r="B1742" s="1" t="n">
        <v>55</v>
      </c>
      <c r="C1742" s="1" t="n">
        <v>140</v>
      </c>
      <c r="D1742" s="1" t="s">
        <v>662</v>
      </c>
      <c r="E1742" s="1" t="n">
        <v>-77050.105</v>
      </c>
      <c r="F1742" s="1" t="n">
        <v>8.201</v>
      </c>
      <c r="G1742" s="1" t="n">
        <f aca="false">IF(ISNUMBER(E1742),E1742,VALUE(SUBSTITUTE(E1742,"#",".01")))</f>
        <v>-77050.105</v>
      </c>
    </row>
    <row r="1743" customFormat="false" ht="12.75" hidden="false" customHeight="false" outlineLevel="0" collapsed="false">
      <c r="A1743" s="1" t="n">
        <v>84</v>
      </c>
      <c r="B1743" s="1" t="n">
        <v>56</v>
      </c>
      <c r="C1743" s="1" t="n">
        <v>140</v>
      </c>
      <c r="D1743" s="1" t="s">
        <v>669</v>
      </c>
      <c r="E1743" s="1" t="n">
        <v>-83269.354</v>
      </c>
      <c r="F1743" s="1" t="n">
        <v>7.933</v>
      </c>
      <c r="G1743" s="1" t="n">
        <f aca="false">IF(ISNUMBER(E1743),E1743,VALUE(SUBSTITUTE(E1743,"#",".01")))</f>
        <v>-83269.354</v>
      </c>
    </row>
    <row r="1744" customFormat="false" ht="12.75" hidden="false" customHeight="false" outlineLevel="0" collapsed="false">
      <c r="A1744" s="1" t="n">
        <v>83</v>
      </c>
      <c r="B1744" s="1" t="n">
        <v>57</v>
      </c>
      <c r="C1744" s="1" t="n">
        <v>140</v>
      </c>
      <c r="D1744" s="1" t="s">
        <v>682</v>
      </c>
      <c r="E1744" s="1" t="n">
        <v>-84315.871</v>
      </c>
      <c r="F1744" s="1" t="n">
        <v>2.009</v>
      </c>
      <c r="G1744" s="1" t="n">
        <f aca="false">IF(ISNUMBER(E1744),E1744,VALUE(SUBSTITUTE(E1744,"#",".01")))</f>
        <v>-84315.871</v>
      </c>
    </row>
    <row r="1745" customFormat="false" ht="12.75" hidden="false" customHeight="false" outlineLevel="0" collapsed="false">
      <c r="A1745" s="1" t="n">
        <v>82</v>
      </c>
      <c r="B1745" s="1" t="n">
        <v>58</v>
      </c>
      <c r="C1745" s="1" t="n">
        <v>140</v>
      </c>
      <c r="D1745" s="1" t="s">
        <v>696</v>
      </c>
      <c r="E1745" s="1" t="n">
        <v>-88076.089</v>
      </c>
      <c r="F1745" s="1" t="n">
        <v>1.596</v>
      </c>
      <c r="G1745" s="1" t="n">
        <f aca="false">IF(ISNUMBER(E1745),E1745,VALUE(SUBSTITUTE(E1745,"#",".01")))</f>
        <v>-88076.089</v>
      </c>
    </row>
    <row r="1746" customFormat="false" ht="12.75" hidden="false" customHeight="false" outlineLevel="0" collapsed="false">
      <c r="A1746" s="1" t="n">
        <v>81</v>
      </c>
      <c r="B1746" s="1" t="n">
        <v>59</v>
      </c>
      <c r="C1746" s="1" t="n">
        <v>140</v>
      </c>
      <c r="D1746" s="1" t="s">
        <v>707</v>
      </c>
      <c r="E1746" s="1" t="n">
        <v>-84688.089</v>
      </c>
      <c r="F1746" s="1" t="n">
        <v>6.209</v>
      </c>
      <c r="G1746" s="1" t="n">
        <f aca="false">IF(ISNUMBER(E1746),E1746,VALUE(SUBSTITUTE(E1746,"#",".01")))</f>
        <v>-84688.089</v>
      </c>
    </row>
    <row r="1747" customFormat="false" ht="12.75" hidden="false" customHeight="false" outlineLevel="0" collapsed="false">
      <c r="A1747" s="1" t="n">
        <v>80</v>
      </c>
      <c r="B1747" s="1" t="n">
        <v>60</v>
      </c>
      <c r="C1747" s="1" t="n">
        <v>140</v>
      </c>
      <c r="D1747" s="1" t="s">
        <v>724</v>
      </c>
      <c r="E1747" s="1" t="n">
        <v>-84258.912</v>
      </c>
      <c r="F1747" s="1" t="n">
        <v>3.447</v>
      </c>
      <c r="G1747" s="1" t="n">
        <f aca="false">IF(ISNUMBER(E1747),E1747,VALUE(SUBSTITUTE(E1747,"#",".01")))</f>
        <v>-84258.912</v>
      </c>
    </row>
    <row r="1748" customFormat="false" ht="12.75" hidden="false" customHeight="false" outlineLevel="0" collapsed="false">
      <c r="A1748" s="1" t="n">
        <v>79</v>
      </c>
      <c r="B1748" s="1" t="n">
        <v>61</v>
      </c>
      <c r="C1748" s="1" t="n">
        <v>140</v>
      </c>
      <c r="D1748" s="1" t="s">
        <v>736</v>
      </c>
      <c r="E1748" s="1" t="n">
        <v>-78213.712</v>
      </c>
      <c r="F1748" s="1" t="n">
        <v>24.246</v>
      </c>
      <c r="G1748" s="1" t="n">
        <f aca="false">IF(ISNUMBER(E1748),E1748,VALUE(SUBSTITUTE(E1748,"#",".01")))</f>
        <v>-78213.712</v>
      </c>
    </row>
    <row r="1749" customFormat="false" ht="12.75" hidden="false" customHeight="false" outlineLevel="0" collapsed="false">
      <c r="A1749" s="1" t="n">
        <v>78</v>
      </c>
      <c r="B1749" s="1" t="n">
        <v>62</v>
      </c>
      <c r="C1749" s="1" t="n">
        <v>140</v>
      </c>
      <c r="D1749" s="1" t="s">
        <v>747</v>
      </c>
      <c r="E1749" s="1" t="n">
        <v>-75455.935</v>
      </c>
      <c r="F1749" s="1" t="n">
        <v>12.497</v>
      </c>
      <c r="G1749" s="1" t="n">
        <f aca="false">IF(ISNUMBER(E1749),E1749,VALUE(SUBSTITUTE(E1749,"#",".01")))</f>
        <v>-75455.935</v>
      </c>
    </row>
    <row r="1750" customFormat="false" ht="12.75" hidden="false" customHeight="false" outlineLevel="0" collapsed="false">
      <c r="A1750" s="1" t="n">
        <v>77</v>
      </c>
      <c r="B1750" s="1" t="n">
        <v>63</v>
      </c>
      <c r="C1750" s="1" t="n">
        <v>140</v>
      </c>
      <c r="D1750" s="1" t="s">
        <v>757</v>
      </c>
      <c r="E1750" s="1" t="n">
        <v>-66985.935</v>
      </c>
      <c r="F1750" s="1" t="n">
        <v>51.538</v>
      </c>
      <c r="G1750" s="1" t="n">
        <f aca="false">IF(ISNUMBER(E1750),E1750,VALUE(SUBSTITUTE(E1750,"#",".01")))</f>
        <v>-66985.935</v>
      </c>
    </row>
    <row r="1751" customFormat="false" ht="12.75" hidden="false" customHeight="false" outlineLevel="0" collapsed="false">
      <c r="A1751" s="1" t="n">
        <v>76</v>
      </c>
      <c r="B1751" s="1" t="n">
        <v>64</v>
      </c>
      <c r="C1751" s="1" t="n">
        <v>140</v>
      </c>
      <c r="D1751" s="1" t="s">
        <v>771</v>
      </c>
      <c r="E1751" s="1" t="n">
        <v>-61782.271</v>
      </c>
      <c r="F1751" s="1" t="n">
        <v>27.945</v>
      </c>
      <c r="G1751" s="1" t="n">
        <f aca="false">IF(ISNUMBER(E1751),E1751,VALUE(SUBSTITUTE(E1751,"#",".01")))</f>
        <v>-61782.271</v>
      </c>
    </row>
    <row r="1752" customFormat="false" ht="12.75" hidden="false" customHeight="false" outlineLevel="0" collapsed="false">
      <c r="A1752" s="1" t="n">
        <v>75</v>
      </c>
      <c r="B1752" s="1" t="n">
        <v>65</v>
      </c>
      <c r="C1752" s="1" t="n">
        <v>140</v>
      </c>
      <c r="D1752" s="1" t="s">
        <v>780</v>
      </c>
      <c r="E1752" s="1" t="n">
        <v>-50482.271</v>
      </c>
      <c r="F1752" s="1" t="n">
        <v>800.488</v>
      </c>
      <c r="G1752" s="1" t="n">
        <f aca="false">IF(ISNUMBER(E1752),E1752,VALUE(SUBSTITUTE(E1752,"#",".01")))</f>
        <v>-50482.271</v>
      </c>
    </row>
    <row r="1753" customFormat="false" ht="12.75" hidden="false" customHeight="false" outlineLevel="0" collapsed="false">
      <c r="A1753" s="1" t="n">
        <v>74</v>
      </c>
      <c r="B1753" s="1" t="n">
        <v>66</v>
      </c>
      <c r="C1753" s="1" t="n">
        <v>140</v>
      </c>
      <c r="D1753" s="1" t="s">
        <v>794</v>
      </c>
      <c r="E1753" s="1" t="s">
        <v>801</v>
      </c>
      <c r="F1753" s="1" t="s">
        <v>320</v>
      </c>
      <c r="G1753" s="1" t="n">
        <f aca="false">IF(ISNUMBER(E1753),E1753,VALUE(SUBSTITUTE(E1753,"#",".01")))</f>
        <v>-42830.01</v>
      </c>
    </row>
    <row r="1754" customFormat="false" ht="12.75" hidden="false" customHeight="false" outlineLevel="0" collapsed="false">
      <c r="A1754" s="1" t="n">
        <v>73</v>
      </c>
      <c r="B1754" s="1" t="n">
        <v>67</v>
      </c>
      <c r="C1754" s="1" t="n">
        <v>140</v>
      </c>
      <c r="D1754" s="1" t="s">
        <v>802</v>
      </c>
      <c r="E1754" s="1" t="s">
        <v>803</v>
      </c>
      <c r="F1754" s="1" t="s">
        <v>323</v>
      </c>
      <c r="G1754" s="1" t="n">
        <f aca="false">IF(ISNUMBER(E1754),E1754,VALUE(SUBSTITUTE(E1754,"#",".01")))</f>
        <v>-29259.01</v>
      </c>
    </row>
    <row r="1755" customFormat="false" ht="12.75" hidden="false" customHeight="false" outlineLevel="0" collapsed="false">
      <c r="A1755" s="1" t="n">
        <v>90</v>
      </c>
      <c r="B1755" s="1" t="n">
        <v>51</v>
      </c>
      <c r="C1755" s="1" t="n">
        <v>141</v>
      </c>
      <c r="D1755" s="1" t="s">
        <v>642</v>
      </c>
      <c r="E1755" s="1" t="s">
        <v>804</v>
      </c>
      <c r="F1755" s="1" t="s">
        <v>337</v>
      </c>
      <c r="G1755" s="1" t="n">
        <f aca="false">IF(ISNUMBER(E1755),E1755,VALUE(SUBSTITUTE(E1755,"#",".01")))</f>
        <v>-39110.01</v>
      </c>
    </row>
    <row r="1756" customFormat="false" ht="12.75" hidden="false" customHeight="false" outlineLevel="0" collapsed="false">
      <c r="A1756" s="1" t="n">
        <v>89</v>
      </c>
      <c r="B1756" s="1" t="n">
        <v>52</v>
      </c>
      <c r="C1756" s="1" t="n">
        <v>141</v>
      </c>
      <c r="D1756" s="1" t="s">
        <v>647</v>
      </c>
      <c r="E1756" s="1" t="s">
        <v>805</v>
      </c>
      <c r="F1756" s="1" t="s">
        <v>320</v>
      </c>
      <c r="G1756" s="1" t="n">
        <f aca="false">IF(ISNUMBER(E1756),E1756,VALUE(SUBSTITUTE(E1756,"#",".01")))</f>
        <v>-50487.01</v>
      </c>
    </row>
    <row r="1757" customFormat="false" ht="12.75" hidden="false" customHeight="false" outlineLevel="0" collapsed="false">
      <c r="A1757" s="1" t="n">
        <v>88</v>
      </c>
      <c r="B1757" s="1" t="n">
        <v>53</v>
      </c>
      <c r="C1757" s="1" t="n">
        <v>141</v>
      </c>
      <c r="D1757" s="1" t="s">
        <v>652</v>
      </c>
      <c r="E1757" s="1" t="n">
        <v>-59926.657</v>
      </c>
      <c r="F1757" s="1" t="n">
        <v>15.835</v>
      </c>
      <c r="G1757" s="1" t="n">
        <f aca="false">IF(ISNUMBER(E1757),E1757,VALUE(SUBSTITUTE(E1757,"#",".01")))</f>
        <v>-59926.657</v>
      </c>
    </row>
    <row r="1758" customFormat="false" ht="12.75" hidden="false" customHeight="false" outlineLevel="0" collapsed="false">
      <c r="A1758" s="1" t="n">
        <v>87</v>
      </c>
      <c r="B1758" s="1" t="n">
        <v>54</v>
      </c>
      <c r="C1758" s="1" t="n">
        <v>141</v>
      </c>
      <c r="D1758" s="1" t="s">
        <v>658</v>
      </c>
      <c r="E1758" s="1" t="n">
        <v>-68197.299</v>
      </c>
      <c r="F1758" s="1" t="n">
        <v>2.888</v>
      </c>
      <c r="G1758" s="1" t="n">
        <f aca="false">IF(ISNUMBER(E1758),E1758,VALUE(SUBSTITUTE(E1758,"#",".01")))</f>
        <v>-68197.299</v>
      </c>
    </row>
    <row r="1759" customFormat="false" ht="12.75" hidden="false" customHeight="false" outlineLevel="0" collapsed="false">
      <c r="A1759" s="1" t="n">
        <v>86</v>
      </c>
      <c r="B1759" s="1" t="n">
        <v>55</v>
      </c>
      <c r="C1759" s="1" t="n">
        <v>141</v>
      </c>
      <c r="D1759" s="1" t="s">
        <v>662</v>
      </c>
      <c r="E1759" s="1" t="n">
        <v>-74477.523</v>
      </c>
      <c r="F1759" s="1" t="n">
        <v>9.195</v>
      </c>
      <c r="G1759" s="1" t="n">
        <f aca="false">IF(ISNUMBER(E1759),E1759,VALUE(SUBSTITUTE(E1759,"#",".01")))</f>
        <v>-74477.523</v>
      </c>
    </row>
    <row r="1760" customFormat="false" ht="12.75" hidden="false" customHeight="false" outlineLevel="0" collapsed="false">
      <c r="A1760" s="1" t="n">
        <v>85</v>
      </c>
      <c r="B1760" s="1" t="n">
        <v>56</v>
      </c>
      <c r="C1760" s="1" t="n">
        <v>141</v>
      </c>
      <c r="D1760" s="1" t="s">
        <v>669</v>
      </c>
      <c r="E1760" s="1" t="n">
        <v>-79732.626</v>
      </c>
      <c r="F1760" s="1" t="n">
        <v>5.319</v>
      </c>
      <c r="G1760" s="1" t="n">
        <f aca="false">IF(ISNUMBER(E1760),E1760,VALUE(SUBSTITUTE(E1760,"#",".01")))</f>
        <v>-79732.626</v>
      </c>
    </row>
    <row r="1761" customFormat="false" ht="12.75" hidden="false" customHeight="false" outlineLevel="0" collapsed="false">
      <c r="A1761" s="1" t="n">
        <v>84</v>
      </c>
      <c r="B1761" s="1" t="n">
        <v>57</v>
      </c>
      <c r="C1761" s="1" t="n">
        <v>141</v>
      </c>
      <c r="D1761" s="1" t="s">
        <v>682</v>
      </c>
      <c r="E1761" s="1" t="n">
        <v>-82931.636</v>
      </c>
      <c r="F1761" s="1" t="n">
        <v>4.219</v>
      </c>
      <c r="G1761" s="1" t="n">
        <f aca="false">IF(ISNUMBER(E1761),E1761,VALUE(SUBSTITUTE(E1761,"#",".01")))</f>
        <v>-82931.636</v>
      </c>
    </row>
    <row r="1762" customFormat="false" ht="12.75" hidden="false" customHeight="false" outlineLevel="0" collapsed="false">
      <c r="A1762" s="1" t="n">
        <v>83</v>
      </c>
      <c r="B1762" s="1" t="n">
        <v>58</v>
      </c>
      <c r="C1762" s="1" t="n">
        <v>141</v>
      </c>
      <c r="D1762" s="1" t="s">
        <v>696</v>
      </c>
      <c r="E1762" s="1" t="n">
        <v>-85432.916</v>
      </c>
      <c r="F1762" s="1" t="n">
        <v>1.597</v>
      </c>
      <c r="G1762" s="1" t="n">
        <f aca="false">IF(ISNUMBER(E1762),E1762,VALUE(SUBSTITUTE(E1762,"#",".01")))</f>
        <v>-85432.916</v>
      </c>
    </row>
    <row r="1763" customFormat="false" ht="12.75" hidden="false" customHeight="false" outlineLevel="0" collapsed="false">
      <c r="A1763" s="1" t="n">
        <v>82</v>
      </c>
      <c r="B1763" s="1" t="n">
        <v>59</v>
      </c>
      <c r="C1763" s="1" t="n">
        <v>141</v>
      </c>
      <c r="D1763" s="1" t="s">
        <v>707</v>
      </c>
      <c r="E1763" s="1" t="n">
        <v>-86015.644</v>
      </c>
      <c r="F1763" s="1" t="n">
        <v>1.665</v>
      </c>
      <c r="G1763" s="1" t="n">
        <f aca="false">IF(ISNUMBER(E1763),E1763,VALUE(SUBSTITUTE(E1763,"#",".01")))</f>
        <v>-86015.644</v>
      </c>
    </row>
    <row r="1764" customFormat="false" ht="12.75" hidden="false" customHeight="false" outlineLevel="0" collapsed="false">
      <c r="A1764" s="1" t="n">
        <v>81</v>
      </c>
      <c r="B1764" s="1" t="n">
        <v>60</v>
      </c>
      <c r="C1764" s="1" t="n">
        <v>141</v>
      </c>
      <c r="D1764" s="1" t="s">
        <v>724</v>
      </c>
      <c r="E1764" s="1" t="n">
        <v>-84192.63</v>
      </c>
      <c r="F1764" s="1" t="n">
        <v>3.265</v>
      </c>
      <c r="G1764" s="1" t="n">
        <f aca="false">IF(ISNUMBER(E1764),E1764,VALUE(SUBSTITUTE(E1764,"#",".01")))</f>
        <v>-84192.63</v>
      </c>
    </row>
    <row r="1765" customFormat="false" ht="12.75" hidden="false" customHeight="false" outlineLevel="0" collapsed="false">
      <c r="A1765" s="1" t="n">
        <v>80</v>
      </c>
      <c r="B1765" s="1" t="n">
        <v>61</v>
      </c>
      <c r="C1765" s="1" t="n">
        <v>141</v>
      </c>
      <c r="D1765" s="1" t="s">
        <v>736</v>
      </c>
      <c r="E1765" s="1" t="n">
        <v>-80522.921</v>
      </c>
      <c r="F1765" s="1" t="n">
        <v>13.972</v>
      </c>
      <c r="G1765" s="1" t="n">
        <f aca="false">IF(ISNUMBER(E1765),E1765,VALUE(SUBSTITUTE(E1765,"#",".01")))</f>
        <v>-80522.921</v>
      </c>
    </row>
    <row r="1766" customFormat="false" ht="12.75" hidden="false" customHeight="false" outlineLevel="0" collapsed="false">
      <c r="A1766" s="1" t="n">
        <v>79</v>
      </c>
      <c r="B1766" s="1" t="n">
        <v>62</v>
      </c>
      <c r="C1766" s="1" t="n">
        <v>141</v>
      </c>
      <c r="D1766" s="1" t="s">
        <v>747</v>
      </c>
      <c r="E1766" s="1" t="n">
        <v>-75933.909</v>
      </c>
      <c r="F1766" s="1" t="n">
        <v>8.539</v>
      </c>
      <c r="G1766" s="1" t="n">
        <f aca="false">IF(ISNUMBER(E1766),E1766,VALUE(SUBSTITUTE(E1766,"#",".01")))</f>
        <v>-75933.909</v>
      </c>
    </row>
    <row r="1767" customFormat="false" ht="12.75" hidden="false" customHeight="false" outlineLevel="0" collapsed="false">
      <c r="A1767" s="1" t="n">
        <v>78</v>
      </c>
      <c r="B1767" s="1" t="n">
        <v>63</v>
      </c>
      <c r="C1767" s="1" t="n">
        <v>141</v>
      </c>
      <c r="D1767" s="1" t="s">
        <v>757</v>
      </c>
      <c r="E1767" s="1" t="n">
        <v>-69925.629</v>
      </c>
      <c r="F1767" s="1" t="n">
        <v>12.639</v>
      </c>
      <c r="G1767" s="1" t="n">
        <f aca="false">IF(ISNUMBER(E1767),E1767,VALUE(SUBSTITUTE(E1767,"#",".01")))</f>
        <v>-69925.629</v>
      </c>
    </row>
    <row r="1768" customFormat="false" ht="12.75" hidden="false" customHeight="false" outlineLevel="0" collapsed="false">
      <c r="A1768" s="1" t="n">
        <v>77</v>
      </c>
      <c r="B1768" s="1" t="n">
        <v>64</v>
      </c>
      <c r="C1768" s="1" t="n">
        <v>141</v>
      </c>
      <c r="D1768" s="1" t="s">
        <v>771</v>
      </c>
      <c r="E1768" s="1" t="n">
        <v>-63224.224</v>
      </c>
      <c r="F1768" s="1" t="n">
        <v>19.76</v>
      </c>
      <c r="G1768" s="1" t="n">
        <f aca="false">IF(ISNUMBER(E1768),E1768,VALUE(SUBSTITUTE(E1768,"#",".01")))</f>
        <v>-63224.224</v>
      </c>
    </row>
    <row r="1769" customFormat="false" ht="12.75" hidden="false" customHeight="false" outlineLevel="0" collapsed="false">
      <c r="A1769" s="1" t="n">
        <v>76</v>
      </c>
      <c r="B1769" s="1" t="n">
        <v>65</v>
      </c>
      <c r="C1769" s="1" t="n">
        <v>141</v>
      </c>
      <c r="D1769" s="1" t="s">
        <v>780</v>
      </c>
      <c r="E1769" s="1" t="n">
        <v>-54540.837</v>
      </c>
      <c r="F1769" s="1" t="n">
        <v>105.259</v>
      </c>
      <c r="G1769" s="1" t="n">
        <f aca="false">IF(ISNUMBER(E1769),E1769,VALUE(SUBSTITUTE(E1769,"#",".01")))</f>
        <v>-54540.837</v>
      </c>
    </row>
    <row r="1770" customFormat="false" ht="12.75" hidden="false" customHeight="false" outlineLevel="0" collapsed="false">
      <c r="A1770" s="1" t="n">
        <v>75</v>
      </c>
      <c r="B1770" s="1" t="n">
        <v>66</v>
      </c>
      <c r="C1770" s="1" t="n">
        <v>141</v>
      </c>
      <c r="D1770" s="1" t="s">
        <v>794</v>
      </c>
      <c r="E1770" s="1" t="s">
        <v>806</v>
      </c>
      <c r="F1770" s="1" t="s">
        <v>360</v>
      </c>
      <c r="G1770" s="1" t="n">
        <f aca="false">IF(ISNUMBER(E1770),E1770,VALUE(SUBSTITUTE(E1770,"#",".01")))</f>
        <v>-45382.01</v>
      </c>
    </row>
    <row r="1771" customFormat="false" ht="12.75" hidden="false" customHeight="false" outlineLevel="0" collapsed="false">
      <c r="A1771" s="1" t="n">
        <v>74</v>
      </c>
      <c r="B1771" s="1" t="n">
        <v>67</v>
      </c>
      <c r="C1771" s="1" t="n">
        <v>141</v>
      </c>
      <c r="D1771" s="1" t="s">
        <v>802</v>
      </c>
      <c r="E1771" s="1" t="s">
        <v>807</v>
      </c>
      <c r="F1771" s="1" t="s">
        <v>320</v>
      </c>
      <c r="G1771" s="1" t="n">
        <f aca="false">IF(ISNUMBER(E1771),E1771,VALUE(SUBSTITUTE(E1771,"#",".01")))</f>
        <v>-34364.01</v>
      </c>
    </row>
    <row r="1772" customFormat="false" ht="12.75" hidden="false" customHeight="false" outlineLevel="0" collapsed="false">
      <c r="A1772" s="1" t="n">
        <v>90</v>
      </c>
      <c r="B1772" s="1" t="n">
        <v>52</v>
      </c>
      <c r="C1772" s="1" t="n">
        <v>142</v>
      </c>
      <c r="D1772" s="1" t="s">
        <v>647</v>
      </c>
      <c r="E1772" s="1" t="s">
        <v>808</v>
      </c>
      <c r="F1772" s="1" t="s">
        <v>323</v>
      </c>
      <c r="G1772" s="1" t="n">
        <f aca="false">IF(ISNUMBER(E1772),E1772,VALUE(SUBSTITUTE(E1772,"#",".01")))</f>
        <v>-46370.01</v>
      </c>
    </row>
    <row r="1773" customFormat="false" ht="12.75" hidden="false" customHeight="false" outlineLevel="0" collapsed="false">
      <c r="A1773" s="1" t="n">
        <v>89</v>
      </c>
      <c r="B1773" s="1" t="n">
        <v>53</v>
      </c>
      <c r="C1773" s="1" t="n">
        <v>142</v>
      </c>
      <c r="D1773" s="1" t="s">
        <v>652</v>
      </c>
      <c r="E1773" s="1" t="n">
        <v>-54769.984</v>
      </c>
      <c r="F1773" s="1" t="n">
        <v>374.461</v>
      </c>
      <c r="G1773" s="1" t="n">
        <f aca="false">IF(ISNUMBER(E1773),E1773,VALUE(SUBSTITUTE(E1773,"#",".01")))</f>
        <v>-54769.984</v>
      </c>
    </row>
    <row r="1774" customFormat="false" ht="12.75" hidden="false" customHeight="false" outlineLevel="0" collapsed="false">
      <c r="A1774" s="1" t="n">
        <v>88</v>
      </c>
      <c r="B1774" s="1" t="n">
        <v>54</v>
      </c>
      <c r="C1774" s="1" t="n">
        <v>142</v>
      </c>
      <c r="D1774" s="1" t="s">
        <v>658</v>
      </c>
      <c r="E1774" s="1" t="n">
        <v>-65229.639</v>
      </c>
      <c r="F1774" s="1" t="n">
        <v>2.701</v>
      </c>
      <c r="G1774" s="1" t="n">
        <f aca="false">IF(ISNUMBER(E1774),E1774,VALUE(SUBSTITUTE(E1774,"#",".01")))</f>
        <v>-65229.639</v>
      </c>
    </row>
    <row r="1775" customFormat="false" ht="12.75" hidden="false" customHeight="false" outlineLevel="0" collapsed="false">
      <c r="A1775" s="1" t="n">
        <v>87</v>
      </c>
      <c r="B1775" s="1" t="n">
        <v>55</v>
      </c>
      <c r="C1775" s="1" t="n">
        <v>142</v>
      </c>
      <c r="D1775" s="1" t="s">
        <v>662</v>
      </c>
      <c r="E1775" s="1" t="n">
        <v>-70514.55</v>
      </c>
      <c r="F1775" s="1" t="n">
        <v>7.067</v>
      </c>
      <c r="G1775" s="1" t="n">
        <f aca="false">IF(ISNUMBER(E1775),E1775,VALUE(SUBSTITUTE(E1775,"#",".01")))</f>
        <v>-70514.55</v>
      </c>
    </row>
    <row r="1776" customFormat="false" ht="12.75" hidden="false" customHeight="false" outlineLevel="0" collapsed="false">
      <c r="A1776" s="1" t="n">
        <v>86</v>
      </c>
      <c r="B1776" s="1" t="n">
        <v>56</v>
      </c>
      <c r="C1776" s="1" t="n">
        <v>142</v>
      </c>
      <c r="D1776" s="1" t="s">
        <v>669</v>
      </c>
      <c r="E1776" s="1" t="n">
        <v>-77842.264</v>
      </c>
      <c r="F1776" s="1" t="n">
        <v>5.92</v>
      </c>
      <c r="G1776" s="1" t="n">
        <f aca="false">IF(ISNUMBER(E1776),E1776,VALUE(SUBSTITUTE(E1776,"#",".01")))</f>
        <v>-77842.264</v>
      </c>
    </row>
    <row r="1777" customFormat="false" ht="12.75" hidden="false" customHeight="false" outlineLevel="0" collapsed="false">
      <c r="A1777" s="1" t="n">
        <v>85</v>
      </c>
      <c r="B1777" s="1" t="n">
        <v>57</v>
      </c>
      <c r="C1777" s="1" t="n">
        <v>142</v>
      </c>
      <c r="D1777" s="1" t="s">
        <v>682</v>
      </c>
      <c r="E1777" s="1" t="n">
        <v>-80024.227</v>
      </c>
      <c r="F1777" s="1" t="n">
        <v>6.309</v>
      </c>
      <c r="G1777" s="1" t="n">
        <f aca="false">IF(ISNUMBER(E1777),E1777,VALUE(SUBSTITUTE(E1777,"#",".01")))</f>
        <v>-80024.227</v>
      </c>
    </row>
    <row r="1778" customFormat="false" ht="12.75" hidden="false" customHeight="false" outlineLevel="0" collapsed="false">
      <c r="A1778" s="1" t="n">
        <v>84</v>
      </c>
      <c r="B1778" s="1" t="n">
        <v>58</v>
      </c>
      <c r="C1778" s="1" t="n">
        <v>142</v>
      </c>
      <c r="D1778" s="1" t="s">
        <v>696</v>
      </c>
      <c r="E1778" s="1" t="n">
        <v>-84533.188</v>
      </c>
      <c r="F1778" s="1" t="n">
        <v>2.509</v>
      </c>
      <c r="G1778" s="1" t="n">
        <f aca="false">IF(ISNUMBER(E1778),E1778,VALUE(SUBSTITUTE(E1778,"#",".01")))</f>
        <v>-84533.188</v>
      </c>
    </row>
    <row r="1779" customFormat="false" ht="12.75" hidden="false" customHeight="false" outlineLevel="0" collapsed="false">
      <c r="A1779" s="1" t="n">
        <v>83</v>
      </c>
      <c r="B1779" s="1" t="n">
        <v>59</v>
      </c>
      <c r="C1779" s="1" t="n">
        <v>142</v>
      </c>
      <c r="D1779" s="1" t="s">
        <v>707</v>
      </c>
      <c r="E1779" s="1" t="n">
        <v>-83787.476</v>
      </c>
      <c r="F1779" s="1" t="n">
        <v>1.665</v>
      </c>
      <c r="G1779" s="1" t="n">
        <f aca="false">IF(ISNUMBER(E1779),E1779,VALUE(SUBSTITUTE(E1779,"#",".01")))</f>
        <v>-83787.476</v>
      </c>
    </row>
    <row r="1780" customFormat="false" ht="12.75" hidden="false" customHeight="false" outlineLevel="0" collapsed="false">
      <c r="A1780" s="1" t="n">
        <v>82</v>
      </c>
      <c r="B1780" s="1" t="n">
        <v>60</v>
      </c>
      <c r="C1780" s="1" t="n">
        <v>142</v>
      </c>
      <c r="D1780" s="1" t="s">
        <v>724</v>
      </c>
      <c r="E1780" s="1" t="n">
        <v>-85949.98</v>
      </c>
      <c r="F1780" s="1" t="n">
        <v>1.368</v>
      </c>
      <c r="G1780" s="1" t="n">
        <f aca="false">IF(ISNUMBER(E1780),E1780,VALUE(SUBSTITUTE(E1780,"#",".01")))</f>
        <v>-85949.98</v>
      </c>
    </row>
    <row r="1781" customFormat="false" ht="12.75" hidden="false" customHeight="false" outlineLevel="0" collapsed="false">
      <c r="A1781" s="1" t="n">
        <v>81</v>
      </c>
      <c r="B1781" s="1" t="n">
        <v>61</v>
      </c>
      <c r="C1781" s="1" t="n">
        <v>142</v>
      </c>
      <c r="D1781" s="1" t="s">
        <v>736</v>
      </c>
      <c r="E1781" s="1" t="n">
        <v>-81142.044</v>
      </c>
      <c r="F1781" s="1" t="n">
        <v>23.597</v>
      </c>
      <c r="G1781" s="1" t="n">
        <f aca="false">IF(ISNUMBER(E1781),E1781,VALUE(SUBSTITUTE(E1781,"#",".01")))</f>
        <v>-81142.044</v>
      </c>
    </row>
    <row r="1782" customFormat="false" ht="12.75" hidden="false" customHeight="false" outlineLevel="0" collapsed="false">
      <c r="A1782" s="1" t="n">
        <v>80</v>
      </c>
      <c r="B1782" s="1" t="n">
        <v>62</v>
      </c>
      <c r="C1782" s="1" t="n">
        <v>142</v>
      </c>
      <c r="D1782" s="1" t="s">
        <v>747</v>
      </c>
      <c r="E1782" s="1" t="n">
        <v>-78986.47</v>
      </c>
      <c r="F1782" s="1" t="n">
        <v>3.079</v>
      </c>
      <c r="G1782" s="1" t="n">
        <f aca="false">IF(ISNUMBER(E1782),E1782,VALUE(SUBSTITUTE(E1782,"#",".01")))</f>
        <v>-78986.47</v>
      </c>
    </row>
    <row r="1783" customFormat="false" ht="12.75" hidden="false" customHeight="false" outlineLevel="0" collapsed="false">
      <c r="A1783" s="1" t="n">
        <v>79</v>
      </c>
      <c r="B1783" s="1" t="n">
        <v>63</v>
      </c>
      <c r="C1783" s="1" t="n">
        <v>142</v>
      </c>
      <c r="D1783" s="1" t="s">
        <v>757</v>
      </c>
      <c r="E1783" s="1" t="n">
        <v>-71313.47</v>
      </c>
      <c r="F1783" s="1" t="n">
        <v>30.158</v>
      </c>
      <c r="G1783" s="1" t="n">
        <f aca="false">IF(ISNUMBER(E1783),E1783,VALUE(SUBSTITUTE(E1783,"#",".01")))</f>
        <v>-71313.47</v>
      </c>
    </row>
    <row r="1784" customFormat="false" ht="12.75" hidden="false" customHeight="false" outlineLevel="0" collapsed="false">
      <c r="A1784" s="1" t="n">
        <v>78</v>
      </c>
      <c r="B1784" s="1" t="n">
        <v>64</v>
      </c>
      <c r="C1784" s="1" t="n">
        <v>142</v>
      </c>
      <c r="D1784" s="1" t="s">
        <v>771</v>
      </c>
      <c r="E1784" s="1" t="n">
        <v>-66959.515</v>
      </c>
      <c r="F1784" s="1" t="n">
        <v>27.945</v>
      </c>
      <c r="G1784" s="1" t="n">
        <f aca="false">IF(ISNUMBER(E1784),E1784,VALUE(SUBSTITUTE(E1784,"#",".01")))</f>
        <v>-66959.515</v>
      </c>
    </row>
    <row r="1785" customFormat="false" ht="12.75" hidden="false" customHeight="false" outlineLevel="0" collapsed="false">
      <c r="A1785" s="1" t="n">
        <v>77</v>
      </c>
      <c r="B1785" s="1" t="n">
        <v>65</v>
      </c>
      <c r="C1785" s="1" t="n">
        <v>142</v>
      </c>
      <c r="D1785" s="1" t="s">
        <v>780</v>
      </c>
      <c r="E1785" s="1" t="n">
        <v>-56559.515</v>
      </c>
      <c r="F1785" s="1" t="n">
        <v>700.558</v>
      </c>
      <c r="G1785" s="1" t="n">
        <f aca="false">IF(ISNUMBER(E1785),E1785,VALUE(SUBSTITUTE(E1785,"#",".01")))</f>
        <v>-56559.515</v>
      </c>
    </row>
    <row r="1786" customFormat="false" ht="12.75" hidden="false" customHeight="false" outlineLevel="0" collapsed="false">
      <c r="A1786" s="1" t="n">
        <v>76</v>
      </c>
      <c r="B1786" s="1" t="n">
        <v>66</v>
      </c>
      <c r="C1786" s="1" t="n">
        <v>142</v>
      </c>
      <c r="D1786" s="1" t="s">
        <v>794</v>
      </c>
      <c r="E1786" s="1" t="s">
        <v>809</v>
      </c>
      <c r="F1786" s="1" t="s">
        <v>810</v>
      </c>
      <c r="G1786" s="1" t="n">
        <f aca="false">IF(ISNUMBER(E1786),E1786,VALUE(SUBSTITUTE(E1786,"#",".01")))</f>
        <v>-50120.01</v>
      </c>
    </row>
    <row r="1787" customFormat="false" ht="12.75" hidden="false" customHeight="false" outlineLevel="0" collapsed="false">
      <c r="A1787" s="1" t="n">
        <v>75</v>
      </c>
      <c r="B1787" s="1" t="n">
        <v>67</v>
      </c>
      <c r="C1787" s="1" t="n">
        <v>142</v>
      </c>
      <c r="D1787" s="1" t="s">
        <v>802</v>
      </c>
      <c r="E1787" s="1" t="s">
        <v>811</v>
      </c>
      <c r="F1787" s="1" t="s">
        <v>320</v>
      </c>
      <c r="G1787" s="1" t="n">
        <f aca="false">IF(ISNUMBER(E1787),E1787,VALUE(SUBSTITUTE(E1787,"#",".01")))</f>
        <v>-37250.01</v>
      </c>
    </row>
    <row r="1788" customFormat="false" ht="12.75" hidden="false" customHeight="false" outlineLevel="0" collapsed="false">
      <c r="A1788" s="1" t="n">
        <v>74</v>
      </c>
      <c r="B1788" s="1" t="n">
        <v>68</v>
      </c>
      <c r="C1788" s="1" t="n">
        <v>142</v>
      </c>
      <c r="D1788" s="1" t="s">
        <v>17</v>
      </c>
      <c r="E1788" s="1" t="s">
        <v>812</v>
      </c>
      <c r="F1788" s="1" t="s">
        <v>337</v>
      </c>
      <c r="G1788" s="1" t="n">
        <f aca="false">IF(ISNUMBER(E1788),E1788,VALUE(SUBSTITUTE(E1788,"#",".01")))</f>
        <v>-28030.01</v>
      </c>
    </row>
    <row r="1789" customFormat="false" ht="12.75" hidden="false" customHeight="false" outlineLevel="0" collapsed="false">
      <c r="A1789" s="1" t="n">
        <v>91</v>
      </c>
      <c r="B1789" s="1" t="n">
        <v>52</v>
      </c>
      <c r="C1789" s="1" t="n">
        <v>143</v>
      </c>
      <c r="D1789" s="1" t="s">
        <v>647</v>
      </c>
      <c r="E1789" s="1" t="s">
        <v>813</v>
      </c>
      <c r="F1789" s="1" t="s">
        <v>323</v>
      </c>
      <c r="G1789" s="1" t="n">
        <f aca="false">IF(ISNUMBER(E1789),E1789,VALUE(SUBSTITUTE(E1789,"#",".01")))</f>
        <v>-40278.01</v>
      </c>
    </row>
    <row r="1790" customFormat="false" ht="12.75" hidden="false" customHeight="false" outlineLevel="0" collapsed="false">
      <c r="A1790" s="1" t="n">
        <v>90</v>
      </c>
      <c r="B1790" s="1" t="n">
        <v>53</v>
      </c>
      <c r="C1790" s="1" t="n">
        <v>143</v>
      </c>
      <c r="D1790" s="1" t="s">
        <v>652</v>
      </c>
      <c r="E1790" s="1" t="s">
        <v>814</v>
      </c>
      <c r="F1790" s="1" t="s">
        <v>349</v>
      </c>
      <c r="G1790" s="1" t="n">
        <f aca="false">IF(ISNUMBER(E1790),E1790,VALUE(SUBSTITUTE(E1790,"#",".01")))</f>
        <v>-50630.01</v>
      </c>
    </row>
    <row r="1791" customFormat="false" ht="12.75" hidden="false" customHeight="false" outlineLevel="0" collapsed="false">
      <c r="A1791" s="1" t="n">
        <v>89</v>
      </c>
      <c r="B1791" s="1" t="n">
        <v>54</v>
      </c>
      <c r="C1791" s="1" t="n">
        <v>143</v>
      </c>
      <c r="D1791" s="1" t="s">
        <v>658</v>
      </c>
      <c r="E1791" s="1" t="n">
        <v>-60202.873</v>
      </c>
      <c r="F1791" s="1" t="n">
        <v>4.657</v>
      </c>
      <c r="G1791" s="1" t="n">
        <f aca="false">IF(ISNUMBER(E1791),E1791,VALUE(SUBSTITUTE(E1791,"#",".01")))</f>
        <v>-60202.873</v>
      </c>
    </row>
    <row r="1792" customFormat="false" ht="12.75" hidden="false" customHeight="false" outlineLevel="0" collapsed="false">
      <c r="A1792" s="1" t="n">
        <v>88</v>
      </c>
      <c r="B1792" s="1" t="n">
        <v>55</v>
      </c>
      <c r="C1792" s="1" t="n">
        <v>143</v>
      </c>
      <c r="D1792" s="1" t="s">
        <v>662</v>
      </c>
      <c r="E1792" s="1" t="n">
        <v>-67675.509</v>
      </c>
      <c r="F1792" s="1" t="n">
        <v>7.573</v>
      </c>
      <c r="G1792" s="1" t="n">
        <f aca="false">IF(ISNUMBER(E1792),E1792,VALUE(SUBSTITUTE(E1792,"#",".01")))</f>
        <v>-67675.509</v>
      </c>
    </row>
    <row r="1793" customFormat="false" ht="12.75" hidden="false" customHeight="false" outlineLevel="0" collapsed="false">
      <c r="A1793" s="1" t="n">
        <v>87</v>
      </c>
      <c r="B1793" s="1" t="n">
        <v>56</v>
      </c>
      <c r="C1793" s="1" t="n">
        <v>143</v>
      </c>
      <c r="D1793" s="1" t="s">
        <v>669</v>
      </c>
      <c r="E1793" s="1" t="n">
        <v>-73937.197</v>
      </c>
      <c r="F1793" s="1" t="n">
        <v>6.756</v>
      </c>
      <c r="G1793" s="1" t="n">
        <f aca="false">IF(ISNUMBER(E1793),E1793,VALUE(SUBSTITUTE(E1793,"#",".01")))</f>
        <v>-73937.197</v>
      </c>
    </row>
    <row r="1794" customFormat="false" ht="12.75" hidden="false" customHeight="false" outlineLevel="0" collapsed="false">
      <c r="A1794" s="1" t="n">
        <v>86</v>
      </c>
      <c r="B1794" s="1" t="n">
        <v>57</v>
      </c>
      <c r="C1794" s="1" t="n">
        <v>143</v>
      </c>
      <c r="D1794" s="1" t="s">
        <v>682</v>
      </c>
      <c r="E1794" s="1" t="n">
        <v>-78171.515</v>
      </c>
      <c r="F1794" s="1" t="n">
        <v>7.33</v>
      </c>
      <c r="G1794" s="1" t="n">
        <f aca="false">IF(ISNUMBER(E1794),E1794,VALUE(SUBSTITUTE(E1794,"#",".01")))</f>
        <v>-78171.515</v>
      </c>
    </row>
    <row r="1795" customFormat="false" ht="12.75" hidden="false" customHeight="false" outlineLevel="0" collapsed="false">
      <c r="A1795" s="1" t="n">
        <v>85</v>
      </c>
      <c r="B1795" s="1" t="n">
        <v>58</v>
      </c>
      <c r="C1795" s="1" t="n">
        <v>143</v>
      </c>
      <c r="D1795" s="1" t="s">
        <v>696</v>
      </c>
      <c r="E1795" s="1" t="n">
        <v>-81606.671</v>
      </c>
      <c r="F1795" s="1" t="n">
        <v>2.508</v>
      </c>
      <c r="G1795" s="1" t="n">
        <f aca="false">IF(ISNUMBER(E1795),E1795,VALUE(SUBSTITUTE(E1795,"#",".01")))</f>
        <v>-81606.671</v>
      </c>
    </row>
    <row r="1796" customFormat="false" ht="12.75" hidden="false" customHeight="false" outlineLevel="0" collapsed="false">
      <c r="A1796" s="1" t="n">
        <v>84</v>
      </c>
      <c r="B1796" s="1" t="n">
        <v>59</v>
      </c>
      <c r="C1796" s="1" t="n">
        <v>143</v>
      </c>
      <c r="D1796" s="1" t="s">
        <v>707</v>
      </c>
      <c r="E1796" s="1" t="n">
        <v>-83068.246</v>
      </c>
      <c r="F1796" s="1" t="n">
        <v>1.897</v>
      </c>
      <c r="G1796" s="1" t="n">
        <f aca="false">IF(ISNUMBER(E1796),E1796,VALUE(SUBSTITUTE(E1796,"#",".01")))</f>
        <v>-83068.246</v>
      </c>
    </row>
    <row r="1797" customFormat="false" ht="12.75" hidden="false" customHeight="false" outlineLevel="0" collapsed="false">
      <c r="A1797" s="1" t="n">
        <v>83</v>
      </c>
      <c r="B1797" s="1" t="n">
        <v>60</v>
      </c>
      <c r="C1797" s="1" t="n">
        <v>143</v>
      </c>
      <c r="D1797" s="1" t="s">
        <v>724</v>
      </c>
      <c r="E1797" s="1" t="n">
        <v>-84002.234</v>
      </c>
      <c r="F1797" s="1" t="n">
        <v>1.367</v>
      </c>
      <c r="G1797" s="1" t="n">
        <f aca="false">IF(ISNUMBER(E1797),E1797,VALUE(SUBSTITUTE(E1797,"#",".01")))</f>
        <v>-84002.234</v>
      </c>
    </row>
    <row r="1798" customFormat="false" ht="12.75" hidden="false" customHeight="false" outlineLevel="0" collapsed="false">
      <c r="A1798" s="1" t="n">
        <v>82</v>
      </c>
      <c r="B1798" s="1" t="n">
        <v>61</v>
      </c>
      <c r="C1798" s="1" t="n">
        <v>143</v>
      </c>
      <c r="D1798" s="1" t="s">
        <v>736</v>
      </c>
      <c r="E1798" s="1" t="n">
        <v>-82960.651</v>
      </c>
      <c r="F1798" s="1" t="n">
        <v>2.996</v>
      </c>
      <c r="G1798" s="1" t="n">
        <f aca="false">IF(ISNUMBER(E1798),E1798,VALUE(SUBSTITUTE(E1798,"#",".01")))</f>
        <v>-82960.651</v>
      </c>
    </row>
    <row r="1799" customFormat="false" ht="12.75" hidden="false" customHeight="false" outlineLevel="0" collapsed="false">
      <c r="A1799" s="1" t="n">
        <v>81</v>
      </c>
      <c r="B1799" s="1" t="n">
        <v>62</v>
      </c>
      <c r="C1799" s="1" t="n">
        <v>143</v>
      </c>
      <c r="D1799" s="1" t="s">
        <v>747</v>
      </c>
      <c r="E1799" s="1" t="n">
        <v>-79517.152</v>
      </c>
      <c r="F1799" s="1" t="n">
        <v>2.804</v>
      </c>
      <c r="G1799" s="1" t="n">
        <f aca="false">IF(ISNUMBER(E1799),E1799,VALUE(SUBSTITUTE(E1799,"#",".01")))</f>
        <v>-79517.152</v>
      </c>
    </row>
    <row r="1800" customFormat="false" ht="12.75" hidden="false" customHeight="false" outlineLevel="0" collapsed="false">
      <c r="A1800" s="1" t="n">
        <v>80</v>
      </c>
      <c r="B1800" s="1" t="n">
        <v>63</v>
      </c>
      <c r="C1800" s="1" t="n">
        <v>143</v>
      </c>
      <c r="D1800" s="1" t="s">
        <v>757</v>
      </c>
      <c r="E1800" s="1" t="n">
        <v>-74241.3</v>
      </c>
      <c r="F1800" s="1" t="n">
        <v>10.986</v>
      </c>
      <c r="G1800" s="1" t="n">
        <f aca="false">IF(ISNUMBER(E1800),E1800,VALUE(SUBSTITUTE(E1800,"#",".01")))</f>
        <v>-74241.3</v>
      </c>
    </row>
    <row r="1801" customFormat="false" ht="12.75" hidden="false" customHeight="false" outlineLevel="0" collapsed="false">
      <c r="A1801" s="1" t="n">
        <v>79</v>
      </c>
      <c r="B1801" s="1" t="n">
        <v>64</v>
      </c>
      <c r="C1801" s="1" t="n">
        <v>143</v>
      </c>
      <c r="D1801" s="1" t="s">
        <v>771</v>
      </c>
      <c r="E1801" s="1" t="n">
        <v>-68231.3</v>
      </c>
      <c r="F1801" s="1" t="n">
        <v>200.301</v>
      </c>
      <c r="G1801" s="1" t="n">
        <f aca="false">IF(ISNUMBER(E1801),E1801,VALUE(SUBSTITUTE(E1801,"#",".01")))</f>
        <v>-68231.3</v>
      </c>
    </row>
    <row r="1802" customFormat="false" ht="12.75" hidden="false" customHeight="false" outlineLevel="0" collapsed="false">
      <c r="A1802" s="1" t="n">
        <v>78</v>
      </c>
      <c r="B1802" s="1" t="n">
        <v>65</v>
      </c>
      <c r="C1802" s="1" t="n">
        <v>143</v>
      </c>
      <c r="D1802" s="1" t="s">
        <v>780</v>
      </c>
      <c r="E1802" s="1" t="n">
        <v>-60419.183</v>
      </c>
      <c r="F1802" s="1" t="n">
        <v>51.232</v>
      </c>
      <c r="G1802" s="1" t="n">
        <f aca="false">IF(ISNUMBER(E1802),E1802,VALUE(SUBSTITUTE(E1802,"#",".01")))</f>
        <v>-60419.183</v>
      </c>
    </row>
    <row r="1803" customFormat="false" ht="12.75" hidden="false" customHeight="false" outlineLevel="0" collapsed="false">
      <c r="A1803" s="1" t="n">
        <v>77</v>
      </c>
      <c r="B1803" s="1" t="n">
        <v>66</v>
      </c>
      <c r="C1803" s="1" t="n">
        <v>143</v>
      </c>
      <c r="D1803" s="1" t="s">
        <v>794</v>
      </c>
      <c r="E1803" s="1" t="n">
        <v>-52168.941</v>
      </c>
      <c r="F1803" s="1" t="n">
        <v>13.041</v>
      </c>
      <c r="G1803" s="1" t="n">
        <f aca="false">IF(ISNUMBER(E1803),E1803,VALUE(SUBSTITUTE(E1803,"#",".01")))</f>
        <v>-52168.941</v>
      </c>
    </row>
    <row r="1804" customFormat="false" ht="12.75" hidden="false" customHeight="false" outlineLevel="0" collapsed="false">
      <c r="A1804" s="1" t="n">
        <v>76</v>
      </c>
      <c r="B1804" s="1" t="n">
        <v>67</v>
      </c>
      <c r="C1804" s="1" t="n">
        <v>143</v>
      </c>
      <c r="D1804" s="1" t="s">
        <v>802</v>
      </c>
      <c r="E1804" s="1" t="s">
        <v>815</v>
      </c>
      <c r="F1804" s="1" t="s">
        <v>360</v>
      </c>
      <c r="G1804" s="1" t="n">
        <f aca="false">IF(ISNUMBER(E1804),E1804,VALUE(SUBSTITUTE(E1804,"#",".01")))</f>
        <v>-42048.01</v>
      </c>
    </row>
    <row r="1805" customFormat="false" ht="12.75" hidden="false" customHeight="false" outlineLevel="0" collapsed="false">
      <c r="A1805" s="1" t="n">
        <v>75</v>
      </c>
      <c r="B1805" s="1" t="n">
        <v>68</v>
      </c>
      <c r="C1805" s="1" t="n">
        <v>143</v>
      </c>
      <c r="D1805" s="1" t="s">
        <v>17</v>
      </c>
      <c r="E1805" s="1" t="s">
        <v>816</v>
      </c>
      <c r="F1805" s="1" t="s">
        <v>378</v>
      </c>
      <c r="G1805" s="1" t="n">
        <f aca="false">IF(ISNUMBER(E1805),E1805,VALUE(SUBSTITUTE(E1805,"#",".01")))</f>
        <v>-31260.01</v>
      </c>
    </row>
    <row r="1806" customFormat="false" ht="12.75" hidden="false" customHeight="false" outlineLevel="0" collapsed="false">
      <c r="A1806" s="1" t="n">
        <v>91</v>
      </c>
      <c r="B1806" s="1" t="n">
        <v>53</v>
      </c>
      <c r="C1806" s="1" t="n">
        <v>144</v>
      </c>
      <c r="D1806" s="1" t="s">
        <v>652</v>
      </c>
      <c r="E1806" s="1" t="s">
        <v>817</v>
      </c>
      <c r="F1806" s="1" t="s">
        <v>320</v>
      </c>
      <c r="G1806" s="1" t="n">
        <f aca="false">IF(ISNUMBER(E1806),E1806,VALUE(SUBSTITUTE(E1806,"#",".01")))</f>
        <v>-45280.01</v>
      </c>
    </row>
    <row r="1807" customFormat="false" ht="12.75" hidden="false" customHeight="false" outlineLevel="0" collapsed="false">
      <c r="A1807" s="1" t="n">
        <v>90</v>
      </c>
      <c r="B1807" s="1" t="n">
        <v>54</v>
      </c>
      <c r="C1807" s="1" t="n">
        <v>144</v>
      </c>
      <c r="D1807" s="1" t="s">
        <v>658</v>
      </c>
      <c r="E1807" s="1" t="n">
        <v>-56872.293</v>
      </c>
      <c r="F1807" s="1" t="n">
        <v>5.31</v>
      </c>
      <c r="G1807" s="1" t="n">
        <f aca="false">IF(ISNUMBER(E1807),E1807,VALUE(SUBSTITUTE(E1807,"#",".01")))</f>
        <v>-56872.293</v>
      </c>
    </row>
    <row r="1808" customFormat="false" ht="12.75" hidden="false" customHeight="false" outlineLevel="0" collapsed="false">
      <c r="A1808" s="1" t="n">
        <v>89</v>
      </c>
      <c r="B1808" s="1" t="n">
        <v>55</v>
      </c>
      <c r="C1808" s="1" t="n">
        <v>144</v>
      </c>
      <c r="D1808" s="1" t="s">
        <v>662</v>
      </c>
      <c r="E1808" s="1" t="n">
        <v>-63271.353</v>
      </c>
      <c r="F1808" s="1" t="n">
        <v>20.132</v>
      </c>
      <c r="G1808" s="1" t="n">
        <f aca="false">IF(ISNUMBER(E1808),E1808,VALUE(SUBSTITUTE(E1808,"#",".01")))</f>
        <v>-63271.353</v>
      </c>
    </row>
    <row r="1809" customFormat="false" ht="12.75" hidden="false" customHeight="false" outlineLevel="0" collapsed="false">
      <c r="A1809" s="1" t="n">
        <v>88</v>
      </c>
      <c r="B1809" s="1" t="n">
        <v>56</v>
      </c>
      <c r="C1809" s="1" t="n">
        <v>144</v>
      </c>
      <c r="D1809" s="1" t="s">
        <v>669</v>
      </c>
      <c r="E1809" s="1" t="n">
        <v>-71767.121</v>
      </c>
      <c r="F1809" s="1" t="n">
        <v>7.136</v>
      </c>
      <c r="G1809" s="1" t="n">
        <f aca="false">IF(ISNUMBER(E1809),E1809,VALUE(SUBSTITUTE(E1809,"#",".01")))</f>
        <v>-71767.121</v>
      </c>
    </row>
    <row r="1810" customFormat="false" ht="12.75" hidden="false" customHeight="false" outlineLevel="0" collapsed="false">
      <c r="A1810" s="1" t="n">
        <v>87</v>
      </c>
      <c r="B1810" s="1" t="n">
        <v>57</v>
      </c>
      <c r="C1810" s="1" t="n">
        <v>144</v>
      </c>
      <c r="D1810" s="1" t="s">
        <v>682</v>
      </c>
      <c r="E1810" s="1" t="n">
        <v>-74849.652</v>
      </c>
      <c r="F1810" s="1" t="n">
        <v>12.937</v>
      </c>
      <c r="G1810" s="1" t="n">
        <f aca="false">IF(ISNUMBER(E1810),E1810,VALUE(SUBSTITUTE(E1810,"#",".01")))</f>
        <v>-74849.652</v>
      </c>
    </row>
    <row r="1811" customFormat="false" ht="12.75" hidden="false" customHeight="false" outlineLevel="0" collapsed="false">
      <c r="A1811" s="1" t="n">
        <v>86</v>
      </c>
      <c r="B1811" s="1" t="n">
        <v>58</v>
      </c>
      <c r="C1811" s="1" t="n">
        <v>144</v>
      </c>
      <c r="D1811" s="1" t="s">
        <v>696</v>
      </c>
      <c r="E1811" s="1" t="n">
        <v>-80431.87</v>
      </c>
      <c r="F1811" s="1" t="n">
        <v>2.885</v>
      </c>
      <c r="G1811" s="1" t="n">
        <f aca="false">IF(ISNUMBER(E1811),E1811,VALUE(SUBSTITUTE(E1811,"#",".01")))</f>
        <v>-80431.87</v>
      </c>
    </row>
    <row r="1812" customFormat="false" ht="12.75" hidden="false" customHeight="false" outlineLevel="0" collapsed="false">
      <c r="A1812" s="1" t="n">
        <v>85</v>
      </c>
      <c r="B1812" s="1" t="n">
        <v>59</v>
      </c>
      <c r="C1812" s="1" t="n">
        <v>144</v>
      </c>
      <c r="D1812" s="1" t="s">
        <v>707</v>
      </c>
      <c r="E1812" s="1" t="n">
        <v>-80750.517</v>
      </c>
      <c r="F1812" s="1" t="n">
        <v>2.762</v>
      </c>
      <c r="G1812" s="1" t="n">
        <f aca="false">IF(ISNUMBER(E1812),E1812,VALUE(SUBSTITUTE(E1812,"#",".01")))</f>
        <v>-80750.517</v>
      </c>
    </row>
    <row r="1813" customFormat="false" ht="12.75" hidden="false" customHeight="false" outlineLevel="0" collapsed="false">
      <c r="A1813" s="1" t="n">
        <v>84</v>
      </c>
      <c r="B1813" s="1" t="n">
        <v>60</v>
      </c>
      <c r="C1813" s="1" t="n">
        <v>144</v>
      </c>
      <c r="D1813" s="1" t="s">
        <v>724</v>
      </c>
      <c r="E1813" s="1" t="n">
        <v>-83747.957</v>
      </c>
      <c r="F1813" s="1" t="n">
        <v>1.367</v>
      </c>
      <c r="G1813" s="1" t="n">
        <f aca="false">IF(ISNUMBER(E1813),E1813,VALUE(SUBSTITUTE(E1813,"#",".01")))</f>
        <v>-83747.957</v>
      </c>
    </row>
    <row r="1814" customFormat="false" ht="12.75" hidden="false" customHeight="false" outlineLevel="0" collapsed="false">
      <c r="A1814" s="1" t="n">
        <v>83</v>
      </c>
      <c r="B1814" s="1" t="n">
        <v>61</v>
      </c>
      <c r="C1814" s="1" t="n">
        <v>144</v>
      </c>
      <c r="D1814" s="1" t="s">
        <v>736</v>
      </c>
      <c r="E1814" s="1" t="n">
        <v>-81416.093</v>
      </c>
      <c r="F1814" s="1" t="n">
        <v>2.964</v>
      </c>
      <c r="G1814" s="1" t="n">
        <f aca="false">IF(ISNUMBER(E1814),E1814,VALUE(SUBSTITUTE(E1814,"#",".01")))</f>
        <v>-81416.093</v>
      </c>
    </row>
    <row r="1815" customFormat="false" ht="12.75" hidden="false" customHeight="false" outlineLevel="0" collapsed="false">
      <c r="A1815" s="1" t="n">
        <v>82</v>
      </c>
      <c r="B1815" s="1" t="n">
        <v>62</v>
      </c>
      <c r="C1815" s="1" t="n">
        <v>144</v>
      </c>
      <c r="D1815" s="1" t="s">
        <v>747</v>
      </c>
      <c r="E1815" s="1" t="n">
        <v>-81965.535</v>
      </c>
      <c r="F1815" s="1" t="n">
        <v>1.554</v>
      </c>
      <c r="G1815" s="1" t="n">
        <f aca="false">IF(ISNUMBER(E1815),E1815,VALUE(SUBSTITUTE(E1815,"#",".01")))</f>
        <v>-81965.535</v>
      </c>
    </row>
    <row r="1816" customFormat="false" ht="12.75" hidden="false" customHeight="false" outlineLevel="0" collapsed="false">
      <c r="A1816" s="1" t="n">
        <v>81</v>
      </c>
      <c r="B1816" s="1" t="n">
        <v>63</v>
      </c>
      <c r="C1816" s="1" t="n">
        <v>144</v>
      </c>
      <c r="D1816" s="1" t="s">
        <v>757</v>
      </c>
      <c r="E1816" s="1" t="n">
        <v>-75619.133</v>
      </c>
      <c r="F1816" s="1" t="n">
        <v>10.789</v>
      </c>
      <c r="G1816" s="1" t="n">
        <f aca="false">IF(ISNUMBER(E1816),E1816,VALUE(SUBSTITUTE(E1816,"#",".01")))</f>
        <v>-75619.133</v>
      </c>
    </row>
    <row r="1817" customFormat="false" ht="12.75" hidden="false" customHeight="false" outlineLevel="0" collapsed="false">
      <c r="A1817" s="1" t="n">
        <v>80</v>
      </c>
      <c r="B1817" s="1" t="n">
        <v>64</v>
      </c>
      <c r="C1817" s="1" t="n">
        <v>144</v>
      </c>
      <c r="D1817" s="1" t="s">
        <v>771</v>
      </c>
      <c r="E1817" s="1" t="n">
        <v>-71759.504</v>
      </c>
      <c r="F1817" s="1" t="n">
        <v>27.945</v>
      </c>
      <c r="G1817" s="1" t="n">
        <f aca="false">IF(ISNUMBER(E1817),E1817,VALUE(SUBSTITUTE(E1817,"#",".01")))</f>
        <v>-71759.504</v>
      </c>
    </row>
    <row r="1818" customFormat="false" ht="12.75" hidden="false" customHeight="false" outlineLevel="0" collapsed="false">
      <c r="A1818" s="1" t="n">
        <v>79</v>
      </c>
      <c r="B1818" s="1" t="n">
        <v>65</v>
      </c>
      <c r="C1818" s="1" t="n">
        <v>144</v>
      </c>
      <c r="D1818" s="1" t="s">
        <v>780</v>
      </c>
      <c r="E1818" s="1" t="n">
        <v>-62368.181</v>
      </c>
      <c r="F1818" s="1" t="n">
        <v>27.945</v>
      </c>
      <c r="G1818" s="1" t="n">
        <f aca="false">IF(ISNUMBER(E1818),E1818,VALUE(SUBSTITUTE(E1818,"#",".01")))</f>
        <v>-62368.181</v>
      </c>
    </row>
    <row r="1819" customFormat="false" ht="12.75" hidden="false" customHeight="false" outlineLevel="0" collapsed="false">
      <c r="A1819" s="1" t="n">
        <v>78</v>
      </c>
      <c r="B1819" s="1" t="n">
        <v>66</v>
      </c>
      <c r="C1819" s="1" t="n">
        <v>144</v>
      </c>
      <c r="D1819" s="1" t="s">
        <v>794</v>
      </c>
      <c r="E1819" s="1" t="n">
        <v>-56570.083</v>
      </c>
      <c r="F1819" s="1" t="n">
        <v>7.173</v>
      </c>
      <c r="G1819" s="1" t="n">
        <f aca="false">IF(ISNUMBER(E1819),E1819,VALUE(SUBSTITUTE(E1819,"#",".01")))</f>
        <v>-56570.083</v>
      </c>
    </row>
    <row r="1820" customFormat="false" ht="12.75" hidden="false" customHeight="false" outlineLevel="0" collapsed="false">
      <c r="A1820" s="1" t="n">
        <v>77</v>
      </c>
      <c r="B1820" s="1" t="n">
        <v>67</v>
      </c>
      <c r="C1820" s="1" t="n">
        <v>144</v>
      </c>
      <c r="D1820" s="1" t="s">
        <v>802</v>
      </c>
      <c r="E1820" s="1" t="n">
        <v>-44609.513</v>
      </c>
      <c r="F1820" s="1" t="n">
        <v>8.477</v>
      </c>
      <c r="G1820" s="1" t="n">
        <f aca="false">IF(ISNUMBER(E1820),E1820,VALUE(SUBSTITUTE(E1820,"#",".01")))</f>
        <v>-44609.513</v>
      </c>
    </row>
    <row r="1821" customFormat="false" ht="12.75" hidden="false" customHeight="false" outlineLevel="0" collapsed="false">
      <c r="A1821" s="1" t="n">
        <v>76</v>
      </c>
      <c r="B1821" s="1" t="n">
        <v>68</v>
      </c>
      <c r="C1821" s="1" t="n">
        <v>144</v>
      </c>
      <c r="D1821" s="1" t="s">
        <v>17</v>
      </c>
      <c r="E1821" s="1" t="s">
        <v>818</v>
      </c>
      <c r="F1821" s="1" t="s">
        <v>333</v>
      </c>
      <c r="G1821" s="1" t="n">
        <f aca="false">IF(ISNUMBER(E1821),E1821,VALUE(SUBSTITUTE(E1821,"#",".01")))</f>
        <v>-36608.01</v>
      </c>
    </row>
    <row r="1822" customFormat="false" ht="12.75" hidden="false" customHeight="false" outlineLevel="0" collapsed="false">
      <c r="A1822" s="1" t="n">
        <v>75</v>
      </c>
      <c r="B1822" s="1" t="n">
        <v>69</v>
      </c>
      <c r="C1822" s="1" t="n">
        <v>144</v>
      </c>
      <c r="D1822" s="1" t="s">
        <v>819</v>
      </c>
      <c r="E1822" s="1" t="s">
        <v>820</v>
      </c>
      <c r="F1822" s="1" t="s">
        <v>378</v>
      </c>
      <c r="G1822" s="1" t="n">
        <f aca="false">IF(ISNUMBER(E1822),E1822,VALUE(SUBSTITUTE(E1822,"#",".01")))</f>
        <v>-22259.01</v>
      </c>
    </row>
    <row r="1823" customFormat="false" ht="12.75" hidden="false" customHeight="false" outlineLevel="0" collapsed="false">
      <c r="A1823" s="1" t="n">
        <v>92</v>
      </c>
      <c r="B1823" s="1" t="n">
        <v>53</v>
      </c>
      <c r="C1823" s="1" t="n">
        <v>145</v>
      </c>
      <c r="D1823" s="1" t="s">
        <v>652</v>
      </c>
      <c r="E1823" s="1" t="s">
        <v>821</v>
      </c>
      <c r="F1823" s="1" t="s">
        <v>323</v>
      </c>
      <c r="G1823" s="1" t="n">
        <f aca="false">IF(ISNUMBER(E1823),E1823,VALUE(SUBSTITUTE(E1823,"#",".01")))</f>
        <v>-40939.01</v>
      </c>
    </row>
    <row r="1824" customFormat="false" ht="12.75" hidden="false" customHeight="false" outlineLevel="0" collapsed="false">
      <c r="A1824" s="1" t="n">
        <v>91</v>
      </c>
      <c r="B1824" s="1" t="n">
        <v>54</v>
      </c>
      <c r="C1824" s="1" t="n">
        <v>145</v>
      </c>
      <c r="D1824" s="1" t="s">
        <v>658</v>
      </c>
      <c r="E1824" s="1" t="n">
        <v>-51493.329</v>
      </c>
      <c r="F1824" s="1" t="n">
        <v>11.178</v>
      </c>
      <c r="G1824" s="1" t="n">
        <f aca="false">IF(ISNUMBER(E1824),E1824,VALUE(SUBSTITUTE(E1824,"#",".01")))</f>
        <v>-51493.329</v>
      </c>
    </row>
    <row r="1825" customFormat="false" ht="12.75" hidden="false" customHeight="false" outlineLevel="0" collapsed="false">
      <c r="A1825" s="1" t="n">
        <v>90</v>
      </c>
      <c r="B1825" s="1" t="n">
        <v>55</v>
      </c>
      <c r="C1825" s="1" t="n">
        <v>145</v>
      </c>
      <c r="D1825" s="1" t="s">
        <v>662</v>
      </c>
      <c r="E1825" s="1" t="n">
        <v>-60054.415</v>
      </c>
      <c r="F1825" s="1" t="n">
        <v>9.067</v>
      </c>
      <c r="G1825" s="1" t="n">
        <f aca="false">IF(ISNUMBER(E1825),E1825,VALUE(SUBSTITUTE(E1825,"#",".01")))</f>
        <v>-60054.415</v>
      </c>
    </row>
    <row r="1826" customFormat="false" ht="12.75" hidden="false" customHeight="false" outlineLevel="0" collapsed="false">
      <c r="A1826" s="1" t="n">
        <v>89</v>
      </c>
      <c r="B1826" s="1" t="n">
        <v>56</v>
      </c>
      <c r="C1826" s="1" t="n">
        <v>145</v>
      </c>
      <c r="D1826" s="1" t="s">
        <v>669</v>
      </c>
      <c r="E1826" s="1" t="n">
        <v>-67516.176</v>
      </c>
      <c r="F1826" s="1" t="n">
        <v>8.477</v>
      </c>
      <c r="G1826" s="1" t="n">
        <f aca="false">IF(ISNUMBER(E1826),E1826,VALUE(SUBSTITUTE(E1826,"#",".01")))</f>
        <v>-67516.176</v>
      </c>
    </row>
    <row r="1827" customFormat="false" ht="12.75" hidden="false" customHeight="false" outlineLevel="0" collapsed="false">
      <c r="A1827" s="1" t="n">
        <v>88</v>
      </c>
      <c r="B1827" s="1" t="n">
        <v>57</v>
      </c>
      <c r="C1827" s="1" t="n">
        <v>145</v>
      </c>
      <c r="D1827" s="1" t="s">
        <v>682</v>
      </c>
      <c r="E1827" s="1" t="n">
        <v>-72835.317</v>
      </c>
      <c r="F1827" s="1" t="n">
        <v>12.269</v>
      </c>
      <c r="G1827" s="1" t="n">
        <f aca="false">IF(ISNUMBER(E1827),E1827,VALUE(SUBSTITUTE(E1827,"#",".01")))</f>
        <v>-72835.317</v>
      </c>
    </row>
    <row r="1828" customFormat="false" ht="12.75" hidden="false" customHeight="false" outlineLevel="0" collapsed="false">
      <c r="A1828" s="1" t="n">
        <v>87</v>
      </c>
      <c r="B1828" s="1" t="n">
        <v>58</v>
      </c>
      <c r="C1828" s="1" t="n">
        <v>145</v>
      </c>
      <c r="D1828" s="1" t="s">
        <v>696</v>
      </c>
      <c r="E1828" s="1" t="n">
        <v>-77067.022</v>
      </c>
      <c r="F1828" s="1" t="n">
        <v>33.902</v>
      </c>
      <c r="G1828" s="1" t="n">
        <f aca="false">IF(ISNUMBER(E1828),E1828,VALUE(SUBSTITUTE(E1828,"#",".01")))</f>
        <v>-77067.022</v>
      </c>
    </row>
    <row r="1829" customFormat="false" ht="12.75" hidden="false" customHeight="false" outlineLevel="0" collapsed="false">
      <c r="A1829" s="1" t="n">
        <v>86</v>
      </c>
      <c r="B1829" s="1" t="n">
        <v>59</v>
      </c>
      <c r="C1829" s="1" t="n">
        <v>145</v>
      </c>
      <c r="D1829" s="1" t="s">
        <v>707</v>
      </c>
      <c r="E1829" s="1" t="n">
        <v>-79625.94</v>
      </c>
      <c r="F1829" s="1" t="n">
        <v>7.169</v>
      </c>
      <c r="G1829" s="1" t="n">
        <f aca="false">IF(ISNUMBER(E1829),E1829,VALUE(SUBSTITUTE(E1829,"#",".01")))</f>
        <v>-79625.94</v>
      </c>
    </row>
    <row r="1830" customFormat="false" ht="12.75" hidden="false" customHeight="false" outlineLevel="0" collapsed="false">
      <c r="A1830" s="1" t="n">
        <v>85</v>
      </c>
      <c r="B1830" s="1" t="n">
        <v>60</v>
      </c>
      <c r="C1830" s="1" t="n">
        <v>145</v>
      </c>
      <c r="D1830" s="1" t="s">
        <v>724</v>
      </c>
      <c r="E1830" s="1" t="n">
        <v>-81431.951</v>
      </c>
      <c r="F1830" s="1" t="n">
        <v>1.384</v>
      </c>
      <c r="G1830" s="1" t="n">
        <f aca="false">IF(ISNUMBER(E1830),E1830,VALUE(SUBSTITUTE(E1830,"#",".01")))</f>
        <v>-81431.951</v>
      </c>
    </row>
    <row r="1831" customFormat="false" ht="12.75" hidden="false" customHeight="false" outlineLevel="0" collapsed="false">
      <c r="A1831" s="1" t="n">
        <v>84</v>
      </c>
      <c r="B1831" s="1" t="n">
        <v>61</v>
      </c>
      <c r="C1831" s="1" t="n">
        <v>145</v>
      </c>
      <c r="D1831" s="1" t="s">
        <v>736</v>
      </c>
      <c r="E1831" s="1" t="n">
        <v>-81267.474</v>
      </c>
      <c r="F1831" s="1" t="n">
        <v>2.859</v>
      </c>
      <c r="G1831" s="1" t="n">
        <f aca="false">IF(ISNUMBER(E1831),E1831,VALUE(SUBSTITUTE(E1831,"#",".01")))</f>
        <v>-81267.474</v>
      </c>
    </row>
    <row r="1832" customFormat="false" ht="12.75" hidden="false" customHeight="false" outlineLevel="0" collapsed="false">
      <c r="A1832" s="1" t="n">
        <v>83</v>
      </c>
      <c r="B1832" s="1" t="n">
        <v>62</v>
      </c>
      <c r="C1832" s="1" t="n">
        <v>145</v>
      </c>
      <c r="D1832" s="1" t="s">
        <v>747</v>
      </c>
      <c r="E1832" s="1" t="n">
        <v>-80651.318</v>
      </c>
      <c r="F1832" s="1" t="n">
        <v>1.578</v>
      </c>
      <c r="G1832" s="1" t="n">
        <f aca="false">IF(ISNUMBER(E1832),E1832,VALUE(SUBSTITUTE(E1832,"#",".01")))</f>
        <v>-80651.318</v>
      </c>
    </row>
    <row r="1833" customFormat="false" ht="12.75" hidden="false" customHeight="false" outlineLevel="0" collapsed="false">
      <c r="A1833" s="1" t="n">
        <v>82</v>
      </c>
      <c r="B1833" s="1" t="n">
        <v>63</v>
      </c>
      <c r="C1833" s="1" t="n">
        <v>145</v>
      </c>
      <c r="D1833" s="1" t="s">
        <v>757</v>
      </c>
      <c r="E1833" s="1" t="n">
        <v>-77991.507</v>
      </c>
      <c r="F1833" s="1" t="n">
        <v>3.106</v>
      </c>
      <c r="G1833" s="1" t="n">
        <f aca="false">IF(ISNUMBER(E1833),E1833,VALUE(SUBSTITUTE(E1833,"#",".01")))</f>
        <v>-77991.507</v>
      </c>
    </row>
    <row r="1834" customFormat="false" ht="12.75" hidden="false" customHeight="false" outlineLevel="0" collapsed="false">
      <c r="A1834" s="1" t="n">
        <v>81</v>
      </c>
      <c r="B1834" s="1" t="n">
        <v>64</v>
      </c>
      <c r="C1834" s="1" t="n">
        <v>145</v>
      </c>
      <c r="D1834" s="1" t="s">
        <v>771</v>
      </c>
      <c r="E1834" s="1" t="n">
        <v>-72926.32</v>
      </c>
      <c r="F1834" s="1" t="n">
        <v>19.709</v>
      </c>
      <c r="G1834" s="1" t="n">
        <f aca="false">IF(ISNUMBER(E1834),E1834,VALUE(SUBSTITUTE(E1834,"#",".01")))</f>
        <v>-72926.32</v>
      </c>
    </row>
    <row r="1835" customFormat="false" ht="12.75" hidden="false" customHeight="false" outlineLevel="0" collapsed="false">
      <c r="A1835" s="1" t="n">
        <v>80</v>
      </c>
      <c r="B1835" s="1" t="n">
        <v>65</v>
      </c>
      <c r="C1835" s="1" t="n">
        <v>145</v>
      </c>
      <c r="D1835" s="1" t="s">
        <v>780</v>
      </c>
      <c r="E1835" s="1" t="n">
        <v>-66388.411</v>
      </c>
      <c r="F1835" s="1" t="n">
        <v>109.174</v>
      </c>
      <c r="G1835" s="1" t="n">
        <f aca="false">IF(ISNUMBER(E1835),E1835,VALUE(SUBSTITUTE(E1835,"#",".01")))</f>
        <v>-66388.411</v>
      </c>
    </row>
    <row r="1836" customFormat="false" ht="12.75" hidden="false" customHeight="false" outlineLevel="0" collapsed="false">
      <c r="A1836" s="1" t="n">
        <v>79</v>
      </c>
      <c r="B1836" s="1" t="n">
        <v>66</v>
      </c>
      <c r="C1836" s="1" t="n">
        <v>145</v>
      </c>
      <c r="D1836" s="1" t="s">
        <v>794</v>
      </c>
      <c r="E1836" s="1" t="n">
        <v>-58242.599</v>
      </c>
      <c r="F1836" s="1" t="n">
        <v>6.52</v>
      </c>
      <c r="G1836" s="1" t="n">
        <f aca="false">IF(ISNUMBER(E1836),E1836,VALUE(SUBSTITUTE(E1836,"#",".01")))</f>
        <v>-58242.599</v>
      </c>
    </row>
    <row r="1837" customFormat="false" ht="12.75" hidden="false" customHeight="false" outlineLevel="0" collapsed="false">
      <c r="A1837" s="1" t="n">
        <v>78</v>
      </c>
      <c r="B1837" s="1" t="n">
        <v>67</v>
      </c>
      <c r="C1837" s="1" t="n">
        <v>145</v>
      </c>
      <c r="D1837" s="1" t="s">
        <v>802</v>
      </c>
      <c r="E1837" s="1" t="n">
        <v>-49120.105</v>
      </c>
      <c r="F1837" s="1" t="n">
        <v>7.452</v>
      </c>
      <c r="G1837" s="1" t="n">
        <f aca="false">IF(ISNUMBER(E1837),E1837,VALUE(SUBSTITUTE(E1837,"#",".01")))</f>
        <v>-49120.105</v>
      </c>
    </row>
    <row r="1838" customFormat="false" ht="12.75" hidden="false" customHeight="false" outlineLevel="0" collapsed="false">
      <c r="A1838" s="1" t="n">
        <v>77</v>
      </c>
      <c r="B1838" s="1" t="n">
        <v>68</v>
      </c>
      <c r="C1838" s="1" t="n">
        <v>145</v>
      </c>
      <c r="D1838" s="1" t="s">
        <v>17</v>
      </c>
      <c r="E1838" s="1" t="s">
        <v>822</v>
      </c>
      <c r="F1838" s="1" t="s">
        <v>349</v>
      </c>
      <c r="G1838" s="1" t="n">
        <f aca="false">IF(ISNUMBER(E1838),E1838,VALUE(SUBSTITUTE(E1838,"#",".01")))</f>
        <v>-39240.01</v>
      </c>
    </row>
    <row r="1839" customFormat="false" ht="12.75" hidden="false" customHeight="false" outlineLevel="0" collapsed="false">
      <c r="A1839" s="1" t="n">
        <v>76</v>
      </c>
      <c r="B1839" s="1" t="n">
        <v>69</v>
      </c>
      <c r="C1839" s="1" t="n">
        <v>145</v>
      </c>
      <c r="D1839" s="1" t="s">
        <v>819</v>
      </c>
      <c r="E1839" s="1" t="s">
        <v>823</v>
      </c>
      <c r="F1839" s="1" t="s">
        <v>333</v>
      </c>
      <c r="G1839" s="1" t="n">
        <f aca="false">IF(ISNUMBER(E1839),E1839,VALUE(SUBSTITUTE(E1839,"#",".01")))</f>
        <v>-27583.01</v>
      </c>
    </row>
    <row r="1840" customFormat="false" ht="12.75" hidden="false" customHeight="false" outlineLevel="0" collapsed="false">
      <c r="A1840" s="1" t="n">
        <v>92</v>
      </c>
      <c r="B1840" s="1" t="n">
        <v>54</v>
      </c>
      <c r="C1840" s="1" t="n">
        <v>146</v>
      </c>
      <c r="D1840" s="1" t="s">
        <v>658</v>
      </c>
      <c r="E1840" s="1" t="n">
        <v>-47954.943</v>
      </c>
      <c r="F1840" s="1" t="n">
        <v>24.219</v>
      </c>
      <c r="G1840" s="1" t="n">
        <f aca="false">IF(ISNUMBER(E1840),E1840,VALUE(SUBSTITUTE(E1840,"#",".01")))</f>
        <v>-47954.943</v>
      </c>
    </row>
    <row r="1841" customFormat="false" ht="12.75" hidden="false" customHeight="false" outlineLevel="0" collapsed="false">
      <c r="A1841" s="1" t="n">
        <v>91</v>
      </c>
      <c r="B1841" s="1" t="n">
        <v>55</v>
      </c>
      <c r="C1841" s="1" t="n">
        <v>146</v>
      </c>
      <c r="D1841" s="1" t="s">
        <v>662</v>
      </c>
      <c r="E1841" s="1" t="n">
        <v>-55310.372</v>
      </c>
      <c r="F1841" s="1" t="n">
        <v>2.893</v>
      </c>
      <c r="G1841" s="1" t="n">
        <f aca="false">IF(ISNUMBER(E1841),E1841,VALUE(SUBSTITUTE(E1841,"#",".01")))</f>
        <v>-55310.372</v>
      </c>
    </row>
    <row r="1842" customFormat="false" ht="12.75" hidden="false" customHeight="false" outlineLevel="0" collapsed="false">
      <c r="A1842" s="1" t="n">
        <v>90</v>
      </c>
      <c r="B1842" s="1" t="n">
        <v>56</v>
      </c>
      <c r="C1842" s="1" t="n">
        <v>146</v>
      </c>
      <c r="D1842" s="1" t="s">
        <v>669</v>
      </c>
      <c r="E1842" s="1" t="n">
        <v>-64947.086</v>
      </c>
      <c r="F1842" s="1" t="n">
        <v>20.863</v>
      </c>
      <c r="G1842" s="1" t="n">
        <f aca="false">IF(ISNUMBER(E1842),E1842,VALUE(SUBSTITUTE(E1842,"#",".01")))</f>
        <v>-64947.086</v>
      </c>
    </row>
    <row r="1843" customFormat="false" ht="12.75" hidden="false" customHeight="false" outlineLevel="0" collapsed="false">
      <c r="A1843" s="1" t="n">
        <v>89</v>
      </c>
      <c r="B1843" s="1" t="n">
        <v>57</v>
      </c>
      <c r="C1843" s="1" t="n">
        <v>146</v>
      </c>
      <c r="D1843" s="1" t="s">
        <v>682</v>
      </c>
      <c r="E1843" s="1" t="n">
        <v>-69050.283</v>
      </c>
      <c r="F1843" s="1" t="n">
        <v>33.616</v>
      </c>
      <c r="G1843" s="1" t="n">
        <f aca="false">IF(ISNUMBER(E1843),E1843,VALUE(SUBSTITUTE(E1843,"#",".01")))</f>
        <v>-69050.283</v>
      </c>
    </row>
    <row r="1844" customFormat="false" ht="12.75" hidden="false" customHeight="false" outlineLevel="0" collapsed="false">
      <c r="A1844" s="1" t="n">
        <v>88</v>
      </c>
      <c r="B1844" s="1" t="n">
        <v>58</v>
      </c>
      <c r="C1844" s="1" t="n">
        <v>146</v>
      </c>
      <c r="D1844" s="1" t="s">
        <v>696</v>
      </c>
      <c r="E1844" s="1" t="n">
        <v>-75635.389</v>
      </c>
      <c r="F1844" s="1" t="n">
        <v>16.306</v>
      </c>
      <c r="G1844" s="1" t="n">
        <f aca="false">IF(ISNUMBER(E1844),E1844,VALUE(SUBSTITUTE(E1844,"#",".01")))</f>
        <v>-75635.389</v>
      </c>
    </row>
    <row r="1845" customFormat="false" ht="12.75" hidden="false" customHeight="false" outlineLevel="0" collapsed="false">
      <c r="A1845" s="1" t="n">
        <v>87</v>
      </c>
      <c r="B1845" s="1" t="n">
        <v>59</v>
      </c>
      <c r="C1845" s="1" t="n">
        <v>146</v>
      </c>
      <c r="D1845" s="1" t="s">
        <v>707</v>
      </c>
      <c r="E1845" s="1" t="n">
        <v>-76681.006</v>
      </c>
      <c r="F1845" s="1" t="n">
        <v>34.816</v>
      </c>
      <c r="G1845" s="1" t="n">
        <f aca="false">IF(ISNUMBER(E1845),E1845,VALUE(SUBSTITUTE(E1845,"#",".01")))</f>
        <v>-76681.006</v>
      </c>
    </row>
    <row r="1846" customFormat="false" ht="12.75" hidden="false" customHeight="false" outlineLevel="0" collapsed="false">
      <c r="A1846" s="1" t="n">
        <v>86</v>
      </c>
      <c r="B1846" s="1" t="n">
        <v>60</v>
      </c>
      <c r="C1846" s="1" t="n">
        <v>146</v>
      </c>
      <c r="D1846" s="1" t="s">
        <v>724</v>
      </c>
      <c r="E1846" s="1" t="n">
        <v>-80925.867</v>
      </c>
      <c r="F1846" s="1" t="n">
        <v>1.386</v>
      </c>
      <c r="G1846" s="1" t="n">
        <f aca="false">IF(ISNUMBER(E1846),E1846,VALUE(SUBSTITUTE(E1846,"#",".01")))</f>
        <v>-80925.867</v>
      </c>
    </row>
    <row r="1847" customFormat="false" ht="12.75" hidden="false" customHeight="false" outlineLevel="0" collapsed="false">
      <c r="A1847" s="1" t="n">
        <v>85</v>
      </c>
      <c r="B1847" s="1" t="n">
        <v>61</v>
      </c>
      <c r="C1847" s="1" t="n">
        <v>146</v>
      </c>
      <c r="D1847" s="1" t="s">
        <v>736</v>
      </c>
      <c r="E1847" s="1" t="n">
        <v>-79454.309</v>
      </c>
      <c r="F1847" s="1" t="n">
        <v>4.308</v>
      </c>
      <c r="G1847" s="1" t="n">
        <f aca="false">IF(ISNUMBER(E1847),E1847,VALUE(SUBSTITUTE(E1847,"#",".01")))</f>
        <v>-79454.309</v>
      </c>
    </row>
    <row r="1848" customFormat="false" ht="12.75" hidden="false" customHeight="false" outlineLevel="0" collapsed="false">
      <c r="A1848" s="1" t="n">
        <v>84</v>
      </c>
      <c r="B1848" s="1" t="n">
        <v>62</v>
      </c>
      <c r="C1848" s="1" t="n">
        <v>146</v>
      </c>
      <c r="D1848" s="1" t="s">
        <v>747</v>
      </c>
      <c r="E1848" s="1" t="n">
        <v>-80996.309</v>
      </c>
      <c r="F1848" s="1" t="n">
        <v>3.092</v>
      </c>
      <c r="G1848" s="1" t="n">
        <f aca="false">IF(ISNUMBER(E1848),E1848,VALUE(SUBSTITUTE(E1848,"#",".01")))</f>
        <v>-80996.309</v>
      </c>
    </row>
    <row r="1849" customFormat="false" ht="12.75" hidden="false" customHeight="false" outlineLevel="0" collapsed="false">
      <c r="A1849" s="1" t="n">
        <v>83</v>
      </c>
      <c r="B1849" s="1" t="n">
        <v>63</v>
      </c>
      <c r="C1849" s="1" t="n">
        <v>146</v>
      </c>
      <c r="D1849" s="1" t="s">
        <v>757</v>
      </c>
      <c r="E1849" s="1" t="n">
        <v>-77117.541</v>
      </c>
      <c r="F1849" s="1" t="n">
        <v>6.026</v>
      </c>
      <c r="G1849" s="1" t="n">
        <f aca="false">IF(ISNUMBER(E1849),E1849,VALUE(SUBSTITUTE(E1849,"#",".01")))</f>
        <v>-77117.541</v>
      </c>
    </row>
    <row r="1850" customFormat="false" ht="12.75" hidden="false" customHeight="false" outlineLevel="0" collapsed="false">
      <c r="A1850" s="1" t="n">
        <v>82</v>
      </c>
      <c r="B1850" s="1" t="n">
        <v>64</v>
      </c>
      <c r="C1850" s="1" t="n">
        <v>146</v>
      </c>
      <c r="D1850" s="1" t="s">
        <v>771</v>
      </c>
      <c r="E1850" s="1" t="n">
        <v>-76085.783</v>
      </c>
      <c r="F1850" s="1" t="n">
        <v>4.108</v>
      </c>
      <c r="G1850" s="1" t="n">
        <f aca="false">IF(ISNUMBER(E1850),E1850,VALUE(SUBSTITUTE(E1850,"#",".01")))</f>
        <v>-76085.783</v>
      </c>
    </row>
    <row r="1851" customFormat="false" ht="12.75" hidden="false" customHeight="false" outlineLevel="0" collapsed="false">
      <c r="A1851" s="1" t="n">
        <v>81</v>
      </c>
      <c r="B1851" s="1" t="n">
        <v>65</v>
      </c>
      <c r="C1851" s="1" t="n">
        <v>146</v>
      </c>
      <c r="D1851" s="1" t="s">
        <v>780</v>
      </c>
      <c r="E1851" s="1" t="n">
        <v>-67763.61</v>
      </c>
      <c r="F1851" s="1" t="n">
        <v>44.862</v>
      </c>
      <c r="G1851" s="1" t="n">
        <f aca="false">IF(ISNUMBER(E1851),E1851,VALUE(SUBSTITUTE(E1851,"#",".01")))</f>
        <v>-67763.61</v>
      </c>
    </row>
    <row r="1852" customFormat="false" ht="12.75" hidden="false" customHeight="false" outlineLevel="0" collapsed="false">
      <c r="A1852" s="1" t="n">
        <v>80</v>
      </c>
      <c r="B1852" s="1" t="n">
        <v>66</v>
      </c>
      <c r="C1852" s="1" t="n">
        <v>146</v>
      </c>
      <c r="D1852" s="1" t="s">
        <v>794</v>
      </c>
      <c r="E1852" s="1" t="n">
        <v>-62554.918</v>
      </c>
      <c r="F1852" s="1" t="n">
        <v>6.695</v>
      </c>
      <c r="G1852" s="1" t="n">
        <f aca="false">IF(ISNUMBER(E1852),E1852,VALUE(SUBSTITUTE(E1852,"#",".01")))</f>
        <v>-62554.918</v>
      </c>
    </row>
    <row r="1853" customFormat="false" ht="12.75" hidden="false" customHeight="false" outlineLevel="0" collapsed="false">
      <c r="A1853" s="1" t="n">
        <v>79</v>
      </c>
      <c r="B1853" s="1" t="n">
        <v>67</v>
      </c>
      <c r="C1853" s="1" t="n">
        <v>146</v>
      </c>
      <c r="D1853" s="1" t="s">
        <v>802</v>
      </c>
      <c r="E1853" s="1" t="n">
        <v>-51238.219</v>
      </c>
      <c r="F1853" s="1" t="n">
        <v>6.587</v>
      </c>
      <c r="G1853" s="1" t="n">
        <f aca="false">IF(ISNUMBER(E1853),E1853,VALUE(SUBSTITUTE(E1853,"#",".01")))</f>
        <v>-51238.219</v>
      </c>
    </row>
    <row r="1854" customFormat="false" ht="12.75" hidden="false" customHeight="false" outlineLevel="0" collapsed="false">
      <c r="A1854" s="1" t="n">
        <v>78</v>
      </c>
      <c r="B1854" s="1" t="n">
        <v>68</v>
      </c>
      <c r="C1854" s="1" t="n">
        <v>146</v>
      </c>
      <c r="D1854" s="1" t="s">
        <v>17</v>
      </c>
      <c r="E1854" s="1" t="n">
        <v>-44322.012</v>
      </c>
      <c r="F1854" s="1" t="n">
        <v>6.705</v>
      </c>
      <c r="G1854" s="1" t="n">
        <f aca="false">IF(ISNUMBER(E1854),E1854,VALUE(SUBSTITUTE(E1854,"#",".01")))</f>
        <v>-44322.012</v>
      </c>
    </row>
    <row r="1855" customFormat="false" ht="12.75" hidden="false" customHeight="false" outlineLevel="0" collapsed="false">
      <c r="A1855" s="1" t="n">
        <v>77</v>
      </c>
      <c r="B1855" s="1" t="n">
        <v>69</v>
      </c>
      <c r="C1855" s="1" t="n">
        <v>146</v>
      </c>
      <c r="D1855" s="1" t="s">
        <v>819</v>
      </c>
      <c r="E1855" s="1" t="s">
        <v>824</v>
      </c>
      <c r="F1855" s="1" t="s">
        <v>349</v>
      </c>
      <c r="G1855" s="1" t="n">
        <f aca="false">IF(ISNUMBER(E1855),E1855,VALUE(SUBSTITUTE(E1855,"#",".01")))</f>
        <v>-31055.01</v>
      </c>
    </row>
    <row r="1856" customFormat="false" ht="12.75" hidden="false" customHeight="false" outlineLevel="0" collapsed="false">
      <c r="A1856" s="1" t="n">
        <v>93</v>
      </c>
      <c r="B1856" s="1" t="n">
        <v>54</v>
      </c>
      <c r="C1856" s="1" t="n">
        <v>147</v>
      </c>
      <c r="D1856" s="1" t="s">
        <v>658</v>
      </c>
      <c r="E1856" s="1" t="s">
        <v>825</v>
      </c>
      <c r="F1856" s="1" t="s">
        <v>349</v>
      </c>
      <c r="G1856" s="1" t="n">
        <f aca="false">IF(ISNUMBER(E1856),E1856,VALUE(SUBSTITUTE(E1856,"#",".01")))</f>
        <v>-42360.01</v>
      </c>
    </row>
    <row r="1857" customFormat="false" ht="12.75" hidden="false" customHeight="false" outlineLevel="0" collapsed="false">
      <c r="A1857" s="1" t="n">
        <v>92</v>
      </c>
      <c r="B1857" s="1" t="n">
        <v>55</v>
      </c>
      <c r="C1857" s="1" t="n">
        <v>147</v>
      </c>
      <c r="D1857" s="1" t="s">
        <v>662</v>
      </c>
      <c r="E1857" s="1" t="n">
        <v>-51920.064</v>
      </c>
      <c r="F1857" s="1" t="n">
        <v>8.383</v>
      </c>
      <c r="G1857" s="1" t="n">
        <f aca="false">IF(ISNUMBER(E1857),E1857,VALUE(SUBSTITUTE(E1857,"#",".01")))</f>
        <v>-51920.064</v>
      </c>
    </row>
    <row r="1858" customFormat="false" ht="12.75" hidden="false" customHeight="false" outlineLevel="0" collapsed="false">
      <c r="A1858" s="1" t="n">
        <v>91</v>
      </c>
      <c r="B1858" s="1" t="n">
        <v>56</v>
      </c>
      <c r="C1858" s="1" t="n">
        <v>147</v>
      </c>
      <c r="D1858" s="1" t="s">
        <v>669</v>
      </c>
      <c r="E1858" s="1" t="n">
        <v>-60264.029</v>
      </c>
      <c r="F1858" s="1" t="n">
        <v>19.748</v>
      </c>
      <c r="G1858" s="1" t="n">
        <f aca="false">IF(ISNUMBER(E1858),E1858,VALUE(SUBSTITUTE(E1858,"#",".01")))</f>
        <v>-60264.029</v>
      </c>
    </row>
    <row r="1859" customFormat="false" ht="12.75" hidden="false" customHeight="false" outlineLevel="0" collapsed="false">
      <c r="A1859" s="1" t="n">
        <v>90</v>
      </c>
      <c r="B1859" s="1" t="n">
        <v>57</v>
      </c>
      <c r="C1859" s="1" t="n">
        <v>147</v>
      </c>
      <c r="D1859" s="1" t="s">
        <v>682</v>
      </c>
      <c r="E1859" s="1" t="n">
        <v>-66678.39</v>
      </c>
      <c r="F1859" s="1" t="n">
        <v>10.712</v>
      </c>
      <c r="G1859" s="1" t="n">
        <f aca="false">IF(ISNUMBER(E1859),E1859,VALUE(SUBSTITUTE(E1859,"#",".01")))</f>
        <v>-66678.39</v>
      </c>
    </row>
    <row r="1860" customFormat="false" ht="12.75" hidden="false" customHeight="false" outlineLevel="0" collapsed="false">
      <c r="A1860" s="1" t="n">
        <v>89</v>
      </c>
      <c r="B1860" s="1" t="n">
        <v>58</v>
      </c>
      <c r="C1860" s="1" t="n">
        <v>147</v>
      </c>
      <c r="D1860" s="1" t="s">
        <v>696</v>
      </c>
      <c r="E1860" s="1" t="n">
        <v>-72013.891</v>
      </c>
      <c r="F1860" s="1" t="n">
        <v>8.58</v>
      </c>
      <c r="G1860" s="1" t="n">
        <f aca="false">IF(ISNUMBER(E1860),E1860,VALUE(SUBSTITUTE(E1860,"#",".01")))</f>
        <v>-72013.891</v>
      </c>
    </row>
    <row r="1861" customFormat="false" ht="12.75" hidden="false" customHeight="false" outlineLevel="0" collapsed="false">
      <c r="A1861" s="1" t="n">
        <v>88</v>
      </c>
      <c r="B1861" s="1" t="n">
        <v>59</v>
      </c>
      <c r="C1861" s="1" t="n">
        <v>147</v>
      </c>
      <c r="D1861" s="1" t="s">
        <v>707</v>
      </c>
      <c r="E1861" s="1" t="n">
        <v>-75444.067</v>
      </c>
      <c r="F1861" s="1" t="n">
        <v>15.857</v>
      </c>
      <c r="G1861" s="1" t="n">
        <f aca="false">IF(ISNUMBER(E1861),E1861,VALUE(SUBSTITUTE(E1861,"#",".01")))</f>
        <v>-75444.067</v>
      </c>
    </row>
    <row r="1862" customFormat="false" ht="12.75" hidden="false" customHeight="false" outlineLevel="0" collapsed="false">
      <c r="A1862" s="1" t="n">
        <v>87</v>
      </c>
      <c r="B1862" s="1" t="n">
        <v>60</v>
      </c>
      <c r="C1862" s="1" t="n">
        <v>147</v>
      </c>
      <c r="D1862" s="1" t="s">
        <v>724</v>
      </c>
      <c r="E1862" s="1" t="n">
        <v>-78146.748</v>
      </c>
      <c r="F1862" s="1" t="n">
        <v>1.388</v>
      </c>
      <c r="G1862" s="1" t="n">
        <f aca="false">IF(ISNUMBER(E1862),E1862,VALUE(SUBSTITUTE(E1862,"#",".01")))</f>
        <v>-78146.748</v>
      </c>
    </row>
    <row r="1863" customFormat="false" ht="12.75" hidden="false" customHeight="false" outlineLevel="0" collapsed="false">
      <c r="A1863" s="1" t="n">
        <v>86</v>
      </c>
      <c r="B1863" s="1" t="n">
        <v>61</v>
      </c>
      <c r="C1863" s="1" t="n">
        <v>147</v>
      </c>
      <c r="D1863" s="1" t="s">
        <v>736</v>
      </c>
      <c r="E1863" s="1" t="n">
        <v>-79042.26</v>
      </c>
      <c r="F1863" s="1" t="n">
        <v>1.399</v>
      </c>
      <c r="G1863" s="1" t="n">
        <f aca="false">IF(ISNUMBER(E1863),E1863,VALUE(SUBSTITUTE(E1863,"#",".01")))</f>
        <v>-79042.26</v>
      </c>
    </row>
    <row r="1864" customFormat="false" ht="12.75" hidden="false" customHeight="false" outlineLevel="0" collapsed="false">
      <c r="A1864" s="1" t="n">
        <v>85</v>
      </c>
      <c r="B1864" s="1" t="n">
        <v>62</v>
      </c>
      <c r="C1864" s="1" t="n">
        <v>147</v>
      </c>
      <c r="D1864" s="1" t="s">
        <v>747</v>
      </c>
      <c r="E1864" s="1" t="n">
        <v>-79266.354</v>
      </c>
      <c r="F1864" s="1" t="n">
        <v>1.372</v>
      </c>
      <c r="G1864" s="1" t="n">
        <f aca="false">IF(ISNUMBER(E1864),E1864,VALUE(SUBSTITUTE(E1864,"#",".01")))</f>
        <v>-79266.354</v>
      </c>
    </row>
    <row r="1865" customFormat="false" ht="12.75" hidden="false" customHeight="false" outlineLevel="0" collapsed="false">
      <c r="A1865" s="1" t="n">
        <v>84</v>
      </c>
      <c r="B1865" s="1" t="n">
        <v>63</v>
      </c>
      <c r="C1865" s="1" t="n">
        <v>147</v>
      </c>
      <c r="D1865" s="1" t="s">
        <v>757</v>
      </c>
      <c r="E1865" s="1" t="n">
        <v>-77544.756</v>
      </c>
      <c r="F1865" s="1" t="n">
        <v>2.63</v>
      </c>
      <c r="G1865" s="1" t="n">
        <f aca="false">IF(ISNUMBER(E1865),E1865,VALUE(SUBSTITUTE(E1865,"#",".01")))</f>
        <v>-77544.756</v>
      </c>
    </row>
    <row r="1866" customFormat="false" ht="12.75" hidden="false" customHeight="false" outlineLevel="0" collapsed="false">
      <c r="A1866" s="1" t="n">
        <v>83</v>
      </c>
      <c r="B1866" s="1" t="n">
        <v>64</v>
      </c>
      <c r="C1866" s="1" t="n">
        <v>147</v>
      </c>
      <c r="D1866" s="1" t="s">
        <v>771</v>
      </c>
      <c r="E1866" s="1" t="n">
        <v>-75356.945</v>
      </c>
      <c r="F1866" s="1" t="n">
        <v>1.965</v>
      </c>
      <c r="G1866" s="1" t="n">
        <f aca="false">IF(ISNUMBER(E1866),E1866,VALUE(SUBSTITUTE(E1866,"#",".01")))</f>
        <v>-75356.945</v>
      </c>
    </row>
    <row r="1867" customFormat="false" ht="12.75" hidden="false" customHeight="false" outlineLevel="0" collapsed="false">
      <c r="A1867" s="1" t="n">
        <v>82</v>
      </c>
      <c r="B1867" s="1" t="n">
        <v>65</v>
      </c>
      <c r="C1867" s="1" t="n">
        <v>147</v>
      </c>
      <c r="D1867" s="1" t="s">
        <v>780</v>
      </c>
      <c r="E1867" s="1" t="n">
        <v>-70742.665</v>
      </c>
      <c r="F1867" s="1" t="n">
        <v>8.1</v>
      </c>
      <c r="G1867" s="1" t="n">
        <f aca="false">IF(ISNUMBER(E1867),E1867,VALUE(SUBSTITUTE(E1867,"#",".01")))</f>
        <v>-70742.665</v>
      </c>
    </row>
    <row r="1868" customFormat="false" ht="12.75" hidden="false" customHeight="false" outlineLevel="0" collapsed="false">
      <c r="A1868" s="1" t="n">
        <v>81</v>
      </c>
      <c r="B1868" s="1" t="n">
        <v>66</v>
      </c>
      <c r="C1868" s="1" t="n">
        <v>147</v>
      </c>
      <c r="D1868" s="1" t="s">
        <v>794</v>
      </c>
      <c r="E1868" s="1" t="n">
        <v>-64196.038</v>
      </c>
      <c r="F1868" s="1" t="n">
        <v>8.849</v>
      </c>
      <c r="G1868" s="1" t="n">
        <f aca="false">IF(ISNUMBER(E1868),E1868,VALUE(SUBSTITUTE(E1868,"#",".01")))</f>
        <v>-64196.038</v>
      </c>
    </row>
    <row r="1869" customFormat="false" ht="12.75" hidden="false" customHeight="false" outlineLevel="0" collapsed="false">
      <c r="A1869" s="1" t="n">
        <v>80</v>
      </c>
      <c r="B1869" s="1" t="n">
        <v>67</v>
      </c>
      <c r="C1869" s="1" t="n">
        <v>147</v>
      </c>
      <c r="D1869" s="1" t="s">
        <v>802</v>
      </c>
      <c r="E1869" s="1" t="n">
        <v>-55757.092</v>
      </c>
      <c r="F1869" s="1" t="n">
        <v>5.001</v>
      </c>
      <c r="G1869" s="1" t="n">
        <f aca="false">IF(ISNUMBER(E1869),E1869,VALUE(SUBSTITUTE(E1869,"#",".01")))</f>
        <v>-55757.092</v>
      </c>
    </row>
    <row r="1870" customFormat="false" ht="12.75" hidden="false" customHeight="false" outlineLevel="0" collapsed="false">
      <c r="A1870" s="1" t="n">
        <v>79</v>
      </c>
      <c r="B1870" s="1" t="n">
        <v>68</v>
      </c>
      <c r="C1870" s="1" t="n">
        <v>147</v>
      </c>
      <c r="D1870" s="1" t="s">
        <v>17</v>
      </c>
      <c r="E1870" s="1" t="n">
        <v>-46607.807</v>
      </c>
      <c r="F1870" s="1" t="n">
        <v>38.191</v>
      </c>
      <c r="G1870" s="1" t="n">
        <f aca="false">IF(ISNUMBER(E1870),E1870,VALUE(SUBSTITUTE(E1870,"#",".01")))</f>
        <v>-46607.807</v>
      </c>
    </row>
    <row r="1871" customFormat="false" ht="12.75" hidden="false" customHeight="false" outlineLevel="0" collapsed="false">
      <c r="A1871" s="1" t="n">
        <v>78</v>
      </c>
      <c r="B1871" s="1" t="n">
        <v>69</v>
      </c>
      <c r="C1871" s="1" t="n">
        <v>147</v>
      </c>
      <c r="D1871" s="1" t="s">
        <v>819</v>
      </c>
      <c r="E1871" s="1" t="n">
        <v>-35974.4</v>
      </c>
      <c r="F1871" s="1" t="n">
        <v>6.839</v>
      </c>
      <c r="G1871" s="1" t="n">
        <f aca="false">IF(ISNUMBER(E1871),E1871,VALUE(SUBSTITUTE(E1871,"#",".01")))</f>
        <v>-35974.4</v>
      </c>
    </row>
    <row r="1872" customFormat="false" ht="12.75" hidden="false" customHeight="false" outlineLevel="0" collapsed="false">
      <c r="A1872" s="1" t="n">
        <v>94</v>
      </c>
      <c r="B1872" s="1" t="n">
        <v>54</v>
      </c>
      <c r="C1872" s="1" t="n">
        <v>148</v>
      </c>
      <c r="D1872" s="1" t="s">
        <v>658</v>
      </c>
      <c r="E1872" s="1" t="s">
        <v>826</v>
      </c>
      <c r="F1872" s="1" t="s">
        <v>371</v>
      </c>
      <c r="G1872" s="1" t="n">
        <f aca="false">IF(ISNUMBER(E1872),E1872,VALUE(SUBSTITUTE(E1872,"#",".01")))</f>
        <v>-38600.01</v>
      </c>
    </row>
    <row r="1873" customFormat="false" ht="12.75" hidden="false" customHeight="false" outlineLevel="0" collapsed="false">
      <c r="A1873" s="1" t="n">
        <v>93</v>
      </c>
      <c r="B1873" s="1" t="n">
        <v>55</v>
      </c>
      <c r="C1873" s="1" t="n">
        <v>148</v>
      </c>
      <c r="D1873" s="1" t="s">
        <v>662</v>
      </c>
      <c r="E1873" s="1" t="n">
        <v>-46910.942</v>
      </c>
      <c r="F1873" s="1" t="n">
        <v>13.041</v>
      </c>
      <c r="G1873" s="1" t="n">
        <f aca="false">IF(ISNUMBER(E1873),E1873,VALUE(SUBSTITUTE(E1873,"#",".01")))</f>
        <v>-46910.942</v>
      </c>
    </row>
    <row r="1874" customFormat="false" ht="12.75" hidden="false" customHeight="false" outlineLevel="0" collapsed="false">
      <c r="A1874" s="1" t="n">
        <v>92</v>
      </c>
      <c r="B1874" s="1" t="n">
        <v>56</v>
      </c>
      <c r="C1874" s="1" t="n">
        <v>148</v>
      </c>
      <c r="D1874" s="1" t="s">
        <v>669</v>
      </c>
      <c r="E1874" s="1" t="n">
        <v>-57593.735</v>
      </c>
      <c r="F1874" s="1" t="n">
        <v>63.079</v>
      </c>
      <c r="G1874" s="1" t="n">
        <f aca="false">IF(ISNUMBER(E1874),E1874,VALUE(SUBSTITUTE(E1874,"#",".01")))</f>
        <v>-57593.735</v>
      </c>
    </row>
    <row r="1875" customFormat="false" ht="12.75" hidden="false" customHeight="false" outlineLevel="0" collapsed="false">
      <c r="A1875" s="1" t="n">
        <v>91</v>
      </c>
      <c r="B1875" s="1" t="n">
        <v>57</v>
      </c>
      <c r="C1875" s="1" t="n">
        <v>148</v>
      </c>
      <c r="D1875" s="1" t="s">
        <v>682</v>
      </c>
      <c r="E1875" s="1" t="n">
        <v>-62708.735</v>
      </c>
      <c r="F1875" s="1" t="n">
        <v>19.468</v>
      </c>
      <c r="G1875" s="1" t="n">
        <f aca="false">IF(ISNUMBER(E1875),E1875,VALUE(SUBSTITUTE(E1875,"#",".01")))</f>
        <v>-62708.735</v>
      </c>
    </row>
    <row r="1876" customFormat="false" ht="12.75" hidden="false" customHeight="false" outlineLevel="0" collapsed="false">
      <c r="A1876" s="1" t="n">
        <v>90</v>
      </c>
      <c r="B1876" s="1" t="n">
        <v>58</v>
      </c>
      <c r="C1876" s="1" t="n">
        <v>148</v>
      </c>
      <c r="D1876" s="1" t="s">
        <v>696</v>
      </c>
      <c r="E1876" s="1" t="n">
        <v>-70398.408</v>
      </c>
      <c r="F1876" s="1" t="n">
        <v>11.195</v>
      </c>
      <c r="G1876" s="1" t="n">
        <f aca="false">IF(ISNUMBER(E1876),E1876,VALUE(SUBSTITUTE(E1876,"#",".01")))</f>
        <v>-70398.408</v>
      </c>
    </row>
    <row r="1877" customFormat="false" ht="12.75" hidden="false" customHeight="false" outlineLevel="0" collapsed="false">
      <c r="A1877" s="1" t="n">
        <v>89</v>
      </c>
      <c r="B1877" s="1" t="n">
        <v>59</v>
      </c>
      <c r="C1877" s="1" t="n">
        <v>148</v>
      </c>
      <c r="D1877" s="1" t="s">
        <v>707</v>
      </c>
      <c r="E1877" s="1" t="n">
        <v>-72535.424</v>
      </c>
      <c r="F1877" s="1" t="n">
        <v>15.043</v>
      </c>
      <c r="G1877" s="1" t="n">
        <f aca="false">IF(ISNUMBER(E1877),E1877,VALUE(SUBSTITUTE(E1877,"#",".01")))</f>
        <v>-72535.424</v>
      </c>
    </row>
    <row r="1878" customFormat="false" ht="12.75" hidden="false" customHeight="false" outlineLevel="0" collapsed="false">
      <c r="A1878" s="1" t="n">
        <v>88</v>
      </c>
      <c r="B1878" s="1" t="n">
        <v>60</v>
      </c>
      <c r="C1878" s="1" t="n">
        <v>148</v>
      </c>
      <c r="D1878" s="1" t="s">
        <v>724</v>
      </c>
      <c r="E1878" s="1" t="n">
        <v>-77407.996</v>
      </c>
      <c r="F1878" s="1" t="n">
        <v>2.127</v>
      </c>
      <c r="G1878" s="1" t="n">
        <f aca="false">IF(ISNUMBER(E1878),E1878,VALUE(SUBSTITUTE(E1878,"#",".01")))</f>
        <v>-77407.996</v>
      </c>
    </row>
    <row r="1879" customFormat="false" ht="12.75" hidden="false" customHeight="false" outlineLevel="0" collapsed="false">
      <c r="A1879" s="1" t="n">
        <v>87</v>
      </c>
      <c r="B1879" s="1" t="n">
        <v>61</v>
      </c>
      <c r="C1879" s="1" t="n">
        <v>148</v>
      </c>
      <c r="D1879" s="1" t="s">
        <v>736</v>
      </c>
      <c r="E1879" s="1" t="n">
        <v>-76865.716</v>
      </c>
      <c r="F1879" s="1" t="n">
        <v>5.723</v>
      </c>
      <c r="G1879" s="1" t="n">
        <f aca="false">IF(ISNUMBER(E1879),E1879,VALUE(SUBSTITUTE(E1879,"#",".01")))</f>
        <v>-76865.716</v>
      </c>
    </row>
    <row r="1880" customFormat="false" ht="12.75" hidden="false" customHeight="false" outlineLevel="0" collapsed="false">
      <c r="A1880" s="1" t="n">
        <v>86</v>
      </c>
      <c r="B1880" s="1" t="n">
        <v>62</v>
      </c>
      <c r="C1880" s="1" t="n">
        <v>148</v>
      </c>
      <c r="D1880" s="1" t="s">
        <v>747</v>
      </c>
      <c r="E1880" s="1" t="n">
        <v>-79336.264</v>
      </c>
      <c r="F1880" s="1" t="n">
        <v>1.367</v>
      </c>
      <c r="G1880" s="1" t="n">
        <f aca="false">IF(ISNUMBER(E1880),E1880,VALUE(SUBSTITUTE(E1880,"#",".01")))</f>
        <v>-79336.264</v>
      </c>
    </row>
    <row r="1881" customFormat="false" ht="12.75" hidden="false" customHeight="false" outlineLevel="0" collapsed="false">
      <c r="A1881" s="1" t="n">
        <v>85</v>
      </c>
      <c r="B1881" s="1" t="n">
        <v>63</v>
      </c>
      <c r="C1881" s="1" t="n">
        <v>148</v>
      </c>
      <c r="D1881" s="1" t="s">
        <v>757</v>
      </c>
      <c r="E1881" s="1" t="n">
        <v>-76299.331</v>
      </c>
      <c r="F1881" s="1" t="n">
        <v>10.013</v>
      </c>
      <c r="G1881" s="1" t="n">
        <f aca="false">IF(ISNUMBER(E1881),E1881,VALUE(SUBSTITUTE(E1881,"#",".01")))</f>
        <v>-76299.331</v>
      </c>
    </row>
    <row r="1882" customFormat="false" ht="12.75" hidden="false" customHeight="false" outlineLevel="0" collapsed="false">
      <c r="A1882" s="1" t="n">
        <v>84</v>
      </c>
      <c r="B1882" s="1" t="n">
        <v>64</v>
      </c>
      <c r="C1882" s="1" t="n">
        <v>148</v>
      </c>
      <c r="D1882" s="1" t="s">
        <v>771</v>
      </c>
      <c r="E1882" s="1" t="n">
        <v>-76269.329</v>
      </c>
      <c r="F1882" s="1" t="n">
        <v>1.554</v>
      </c>
      <c r="G1882" s="1" t="n">
        <f aca="false">IF(ISNUMBER(E1882),E1882,VALUE(SUBSTITUTE(E1882,"#",".01")))</f>
        <v>-76269.329</v>
      </c>
    </row>
    <row r="1883" customFormat="false" ht="12.75" hidden="false" customHeight="false" outlineLevel="0" collapsed="false">
      <c r="A1883" s="1" t="n">
        <v>83</v>
      </c>
      <c r="B1883" s="1" t="n">
        <v>65</v>
      </c>
      <c r="C1883" s="1" t="n">
        <v>148</v>
      </c>
      <c r="D1883" s="1" t="s">
        <v>780</v>
      </c>
      <c r="E1883" s="1" t="n">
        <v>-70537.082</v>
      </c>
      <c r="F1883" s="1" t="n">
        <v>12.464</v>
      </c>
      <c r="G1883" s="1" t="n">
        <f aca="false">IF(ISNUMBER(E1883),E1883,VALUE(SUBSTITUTE(E1883,"#",".01")))</f>
        <v>-70537.082</v>
      </c>
    </row>
    <row r="1884" customFormat="false" ht="12.75" hidden="false" customHeight="false" outlineLevel="0" collapsed="false">
      <c r="A1884" s="1" t="n">
        <v>82</v>
      </c>
      <c r="B1884" s="1" t="n">
        <v>66</v>
      </c>
      <c r="C1884" s="1" t="n">
        <v>148</v>
      </c>
      <c r="D1884" s="1" t="s">
        <v>794</v>
      </c>
      <c r="E1884" s="1" t="n">
        <v>-67859.55</v>
      </c>
      <c r="F1884" s="1" t="n">
        <v>8.724</v>
      </c>
      <c r="G1884" s="1" t="n">
        <f aca="false">IF(ISNUMBER(E1884),E1884,VALUE(SUBSTITUTE(E1884,"#",".01")))</f>
        <v>-67859.55</v>
      </c>
    </row>
    <row r="1885" customFormat="false" ht="12.75" hidden="false" customHeight="false" outlineLevel="0" collapsed="false">
      <c r="A1885" s="1" t="n">
        <v>81</v>
      </c>
      <c r="B1885" s="1" t="n">
        <v>67</v>
      </c>
      <c r="C1885" s="1" t="n">
        <v>148</v>
      </c>
      <c r="D1885" s="1" t="s">
        <v>802</v>
      </c>
      <c r="E1885" s="1" t="n">
        <v>-57991.158</v>
      </c>
      <c r="F1885" s="1" t="n">
        <v>83.834</v>
      </c>
      <c r="G1885" s="1" t="n">
        <f aca="false">IF(ISNUMBER(E1885),E1885,VALUE(SUBSTITUTE(E1885,"#",".01")))</f>
        <v>-57991.158</v>
      </c>
    </row>
    <row r="1886" customFormat="false" ht="12.75" hidden="false" customHeight="false" outlineLevel="0" collapsed="false">
      <c r="A1886" s="1" t="n">
        <v>80</v>
      </c>
      <c r="B1886" s="1" t="n">
        <v>68</v>
      </c>
      <c r="C1886" s="1" t="n">
        <v>148</v>
      </c>
      <c r="D1886" s="1" t="s">
        <v>17</v>
      </c>
      <c r="E1886" s="1" t="n">
        <v>-51478.989</v>
      </c>
      <c r="F1886" s="1" t="n">
        <v>10.246</v>
      </c>
      <c r="G1886" s="1" t="n">
        <f aca="false">IF(ISNUMBER(E1886),E1886,VALUE(SUBSTITUTE(E1886,"#",".01")))</f>
        <v>-51478.989</v>
      </c>
    </row>
    <row r="1887" customFormat="false" ht="12.75" hidden="false" customHeight="false" outlineLevel="0" collapsed="false">
      <c r="A1887" s="1" t="n">
        <v>79</v>
      </c>
      <c r="B1887" s="1" t="n">
        <v>69</v>
      </c>
      <c r="C1887" s="1" t="n">
        <v>148</v>
      </c>
      <c r="D1887" s="1" t="s">
        <v>819</v>
      </c>
      <c r="E1887" s="1" t="n">
        <v>-38765.027</v>
      </c>
      <c r="F1887" s="1" t="n">
        <v>10.246</v>
      </c>
      <c r="G1887" s="1" t="n">
        <f aca="false">IF(ISNUMBER(E1887),E1887,VALUE(SUBSTITUTE(E1887,"#",".01")))</f>
        <v>-38765.027</v>
      </c>
    </row>
    <row r="1888" customFormat="false" ht="12.75" hidden="false" customHeight="false" outlineLevel="0" collapsed="false">
      <c r="A1888" s="1" t="n">
        <v>78</v>
      </c>
      <c r="B1888" s="1" t="n">
        <v>70</v>
      </c>
      <c r="C1888" s="1" t="n">
        <v>148</v>
      </c>
      <c r="D1888" s="1" t="s">
        <v>827</v>
      </c>
      <c r="E1888" s="1" t="s">
        <v>828</v>
      </c>
      <c r="F1888" s="1" t="s">
        <v>378</v>
      </c>
      <c r="G1888" s="1" t="n">
        <f aca="false">IF(ISNUMBER(E1888),E1888,VALUE(SUBSTITUTE(E1888,"#",".01")))</f>
        <v>-30330.01</v>
      </c>
    </row>
    <row r="1889" customFormat="false" ht="12.75" hidden="false" customHeight="false" outlineLevel="0" collapsed="false">
      <c r="A1889" s="1" t="n">
        <v>94</v>
      </c>
      <c r="B1889" s="1" t="n">
        <v>55</v>
      </c>
      <c r="C1889" s="1" t="n">
        <v>149</v>
      </c>
      <c r="D1889" s="1" t="s">
        <v>662</v>
      </c>
      <c r="E1889" s="1" t="s">
        <v>829</v>
      </c>
      <c r="F1889" s="1" t="s">
        <v>378</v>
      </c>
      <c r="G1889" s="1" t="n">
        <f aca="false">IF(ISNUMBER(E1889),E1889,VALUE(SUBSTITUTE(E1889,"#",".01")))</f>
        <v>-43250.01</v>
      </c>
    </row>
    <row r="1890" customFormat="false" ht="12.75" hidden="false" customHeight="false" outlineLevel="0" collapsed="false">
      <c r="A1890" s="1" t="n">
        <v>93</v>
      </c>
      <c r="B1890" s="1" t="n">
        <v>56</v>
      </c>
      <c r="C1890" s="1" t="n">
        <v>149</v>
      </c>
      <c r="D1890" s="1" t="s">
        <v>669</v>
      </c>
      <c r="E1890" s="1" t="n">
        <v>-53120.309</v>
      </c>
      <c r="F1890" s="1" t="n">
        <v>437.802</v>
      </c>
      <c r="G1890" s="1" t="n">
        <f aca="false">IF(ISNUMBER(E1890),E1890,VALUE(SUBSTITUTE(E1890,"#",".01")))</f>
        <v>-53120.309</v>
      </c>
    </row>
    <row r="1891" customFormat="false" ht="12.75" hidden="false" customHeight="false" outlineLevel="0" collapsed="false">
      <c r="A1891" s="1" t="n">
        <v>92</v>
      </c>
      <c r="B1891" s="1" t="n">
        <v>57</v>
      </c>
      <c r="C1891" s="1" t="n">
        <v>149</v>
      </c>
      <c r="D1891" s="1" t="s">
        <v>682</v>
      </c>
      <c r="E1891" s="1" t="n">
        <v>-60219.913</v>
      </c>
      <c r="F1891" s="1" t="n">
        <v>200.262</v>
      </c>
      <c r="G1891" s="1" t="n">
        <f aca="false">IF(ISNUMBER(E1891),E1891,VALUE(SUBSTITUTE(E1891,"#",".01")))</f>
        <v>-60219.913</v>
      </c>
    </row>
    <row r="1892" customFormat="false" ht="12.75" hidden="false" customHeight="false" outlineLevel="0" collapsed="false">
      <c r="A1892" s="1" t="n">
        <v>91</v>
      </c>
      <c r="B1892" s="1" t="n">
        <v>58</v>
      </c>
      <c r="C1892" s="1" t="n">
        <v>149</v>
      </c>
      <c r="D1892" s="1" t="s">
        <v>696</v>
      </c>
      <c r="E1892" s="1" t="n">
        <v>-66669.913</v>
      </c>
      <c r="F1892" s="1" t="n">
        <v>10.246</v>
      </c>
      <c r="G1892" s="1" t="n">
        <f aca="false">IF(ISNUMBER(E1892),E1892,VALUE(SUBSTITUTE(E1892,"#",".01")))</f>
        <v>-66669.913</v>
      </c>
    </row>
    <row r="1893" customFormat="false" ht="12.75" hidden="false" customHeight="false" outlineLevel="0" collapsed="false">
      <c r="A1893" s="1" t="n">
        <v>90</v>
      </c>
      <c r="B1893" s="1" t="n">
        <v>59</v>
      </c>
      <c r="C1893" s="1" t="n">
        <v>149</v>
      </c>
      <c r="D1893" s="1" t="s">
        <v>707</v>
      </c>
      <c r="E1893" s="1" t="n">
        <v>-71039.366</v>
      </c>
      <c r="F1893" s="1" t="n">
        <v>9.874</v>
      </c>
      <c r="G1893" s="1" t="n">
        <f aca="false">IF(ISNUMBER(E1893),E1893,VALUE(SUBSTITUTE(E1893,"#",".01")))</f>
        <v>-71039.366</v>
      </c>
    </row>
    <row r="1894" customFormat="false" ht="12.75" hidden="false" customHeight="false" outlineLevel="0" collapsed="false">
      <c r="A1894" s="1" t="n">
        <v>89</v>
      </c>
      <c r="B1894" s="1" t="n">
        <v>60</v>
      </c>
      <c r="C1894" s="1" t="n">
        <v>149</v>
      </c>
      <c r="D1894" s="1" t="s">
        <v>724</v>
      </c>
      <c r="E1894" s="1" t="n">
        <v>-74375.466</v>
      </c>
      <c r="F1894" s="1" t="n">
        <v>2.128</v>
      </c>
      <c r="G1894" s="1" t="n">
        <f aca="false">IF(ISNUMBER(E1894),E1894,VALUE(SUBSTITUTE(E1894,"#",".01")))</f>
        <v>-74375.466</v>
      </c>
    </row>
    <row r="1895" customFormat="false" ht="12.75" hidden="false" customHeight="false" outlineLevel="0" collapsed="false">
      <c r="A1895" s="1" t="n">
        <v>88</v>
      </c>
      <c r="B1895" s="1" t="n">
        <v>61</v>
      </c>
      <c r="C1895" s="1" t="n">
        <v>149</v>
      </c>
      <c r="D1895" s="1" t="s">
        <v>736</v>
      </c>
      <c r="E1895" s="1" t="n">
        <v>-76064.256</v>
      </c>
      <c r="F1895" s="1" t="n">
        <v>2.267</v>
      </c>
      <c r="G1895" s="1" t="n">
        <f aca="false">IF(ISNUMBER(E1895),E1895,VALUE(SUBSTITUTE(E1895,"#",".01")))</f>
        <v>-76064.256</v>
      </c>
    </row>
    <row r="1896" customFormat="false" ht="12.75" hidden="false" customHeight="false" outlineLevel="0" collapsed="false">
      <c r="A1896" s="1" t="n">
        <v>87</v>
      </c>
      <c r="B1896" s="1" t="n">
        <v>62</v>
      </c>
      <c r="C1896" s="1" t="n">
        <v>149</v>
      </c>
      <c r="D1896" s="1" t="s">
        <v>747</v>
      </c>
      <c r="E1896" s="1" t="n">
        <v>-77135.737</v>
      </c>
      <c r="F1896" s="1" t="n">
        <v>1.311</v>
      </c>
      <c r="G1896" s="1" t="n">
        <f aca="false">IF(ISNUMBER(E1896),E1896,VALUE(SUBSTITUTE(E1896,"#",".01")))</f>
        <v>-77135.737</v>
      </c>
    </row>
    <row r="1897" customFormat="false" ht="12.75" hidden="false" customHeight="false" outlineLevel="0" collapsed="false">
      <c r="A1897" s="1" t="n">
        <v>86</v>
      </c>
      <c r="B1897" s="1" t="n">
        <v>63</v>
      </c>
      <c r="C1897" s="1" t="n">
        <v>149</v>
      </c>
      <c r="D1897" s="1" t="s">
        <v>757</v>
      </c>
      <c r="E1897" s="1" t="n">
        <v>-76441.112</v>
      </c>
      <c r="F1897" s="1" t="n">
        <v>3.951</v>
      </c>
      <c r="G1897" s="1" t="n">
        <f aca="false">IF(ISNUMBER(E1897),E1897,VALUE(SUBSTITUTE(E1897,"#",".01")))</f>
        <v>-76441.112</v>
      </c>
    </row>
    <row r="1898" customFormat="false" ht="12.75" hidden="false" customHeight="false" outlineLevel="0" collapsed="false">
      <c r="A1898" s="1" t="n">
        <v>85</v>
      </c>
      <c r="B1898" s="1" t="n">
        <v>64</v>
      </c>
      <c r="C1898" s="1" t="n">
        <v>149</v>
      </c>
      <c r="D1898" s="1" t="s">
        <v>771</v>
      </c>
      <c r="E1898" s="1" t="n">
        <v>-75127.011</v>
      </c>
      <c r="F1898" s="1" t="n">
        <v>3.36</v>
      </c>
      <c r="G1898" s="1" t="n">
        <f aca="false">IF(ISNUMBER(E1898),E1898,VALUE(SUBSTITUTE(E1898,"#",".01")))</f>
        <v>-75127.011</v>
      </c>
    </row>
    <row r="1899" customFormat="false" ht="12.75" hidden="false" customHeight="false" outlineLevel="0" collapsed="false">
      <c r="A1899" s="1" t="n">
        <v>84</v>
      </c>
      <c r="B1899" s="1" t="n">
        <v>65</v>
      </c>
      <c r="C1899" s="1" t="n">
        <v>149</v>
      </c>
      <c r="D1899" s="1" t="s">
        <v>780</v>
      </c>
      <c r="E1899" s="1" t="n">
        <v>-71488.669</v>
      </c>
      <c r="F1899" s="1" t="n">
        <v>3.667</v>
      </c>
      <c r="G1899" s="1" t="n">
        <f aca="false">IF(ISNUMBER(E1899),E1899,VALUE(SUBSTITUTE(E1899,"#",".01")))</f>
        <v>-71488.669</v>
      </c>
    </row>
    <row r="1900" customFormat="false" ht="12.75" hidden="false" customHeight="false" outlineLevel="0" collapsed="false">
      <c r="A1900" s="1" t="n">
        <v>83</v>
      </c>
      <c r="B1900" s="1" t="n">
        <v>66</v>
      </c>
      <c r="C1900" s="1" t="n">
        <v>149</v>
      </c>
      <c r="D1900" s="1" t="s">
        <v>794</v>
      </c>
      <c r="E1900" s="1" t="n">
        <v>-67695.909</v>
      </c>
      <c r="F1900" s="1" t="n">
        <v>9.221</v>
      </c>
      <c r="G1900" s="1" t="n">
        <f aca="false">IF(ISNUMBER(E1900),E1900,VALUE(SUBSTITUTE(E1900,"#",".01")))</f>
        <v>-67695.909</v>
      </c>
    </row>
    <row r="1901" customFormat="false" ht="12.75" hidden="false" customHeight="false" outlineLevel="0" collapsed="false">
      <c r="A1901" s="1" t="n">
        <v>82</v>
      </c>
      <c r="B1901" s="1" t="n">
        <v>67</v>
      </c>
      <c r="C1901" s="1" t="n">
        <v>149</v>
      </c>
      <c r="D1901" s="1" t="s">
        <v>802</v>
      </c>
      <c r="E1901" s="1" t="n">
        <v>-61646.578</v>
      </c>
      <c r="F1901" s="1" t="n">
        <v>11.99</v>
      </c>
      <c r="G1901" s="1" t="n">
        <f aca="false">IF(ISNUMBER(E1901),E1901,VALUE(SUBSTITUTE(E1901,"#",".01")))</f>
        <v>-61646.578</v>
      </c>
    </row>
    <row r="1902" customFormat="false" ht="12.75" hidden="false" customHeight="false" outlineLevel="0" collapsed="false">
      <c r="A1902" s="1" t="n">
        <v>81</v>
      </c>
      <c r="B1902" s="1" t="n">
        <v>68</v>
      </c>
      <c r="C1902" s="1" t="n">
        <v>149</v>
      </c>
      <c r="D1902" s="1" t="s">
        <v>17</v>
      </c>
      <c r="E1902" s="1" t="n">
        <v>-53741.615</v>
      </c>
      <c r="F1902" s="1" t="n">
        <v>27.945</v>
      </c>
      <c r="G1902" s="1" t="n">
        <f aca="false">IF(ISNUMBER(E1902),E1902,VALUE(SUBSTITUTE(E1902,"#",".01")))</f>
        <v>-53741.615</v>
      </c>
    </row>
    <row r="1903" customFormat="false" ht="12.75" hidden="false" customHeight="false" outlineLevel="0" collapsed="false">
      <c r="A1903" s="1" t="n">
        <v>80</v>
      </c>
      <c r="B1903" s="1" t="n">
        <v>69</v>
      </c>
      <c r="C1903" s="1" t="n">
        <v>149</v>
      </c>
      <c r="D1903" s="1" t="s">
        <v>819</v>
      </c>
      <c r="E1903" s="1" t="s">
        <v>830</v>
      </c>
      <c r="F1903" s="1" t="s">
        <v>333</v>
      </c>
      <c r="G1903" s="1" t="n">
        <f aca="false">IF(ISNUMBER(E1903),E1903,VALUE(SUBSTITUTE(E1903,"#",".01")))</f>
        <v>-43883.01</v>
      </c>
    </row>
    <row r="1904" customFormat="false" ht="12.75" hidden="false" customHeight="false" outlineLevel="0" collapsed="false">
      <c r="A1904" s="1" t="n">
        <v>79</v>
      </c>
      <c r="B1904" s="1" t="n">
        <v>70</v>
      </c>
      <c r="C1904" s="1" t="n">
        <v>149</v>
      </c>
      <c r="D1904" s="1" t="s">
        <v>827</v>
      </c>
      <c r="E1904" s="1" t="s">
        <v>831</v>
      </c>
      <c r="F1904" s="1" t="s">
        <v>371</v>
      </c>
      <c r="G1904" s="1" t="n">
        <f aca="false">IF(ISNUMBER(E1904),E1904,VALUE(SUBSTITUTE(E1904,"#",".01")))</f>
        <v>-33198.01</v>
      </c>
    </row>
    <row r="1905" customFormat="false" ht="12.75" hidden="false" customHeight="false" outlineLevel="0" collapsed="false">
      <c r="A1905" s="1" t="n">
        <v>95</v>
      </c>
      <c r="B1905" s="1" t="n">
        <v>55</v>
      </c>
      <c r="C1905" s="1" t="n">
        <v>150</v>
      </c>
      <c r="D1905" s="1" t="s">
        <v>662</v>
      </c>
      <c r="E1905" s="1" t="s">
        <v>832</v>
      </c>
      <c r="F1905" s="1" t="s">
        <v>378</v>
      </c>
      <c r="G1905" s="1" t="n">
        <f aca="false">IF(ISNUMBER(E1905),E1905,VALUE(SUBSTITUTE(E1905,"#",".01")))</f>
        <v>-38170.01</v>
      </c>
    </row>
    <row r="1906" customFormat="false" ht="12.75" hidden="false" customHeight="false" outlineLevel="0" collapsed="false">
      <c r="A1906" s="1" t="n">
        <v>94</v>
      </c>
      <c r="B1906" s="1" t="n">
        <v>56</v>
      </c>
      <c r="C1906" s="1" t="n">
        <v>150</v>
      </c>
      <c r="D1906" s="1" t="s">
        <v>669</v>
      </c>
      <c r="E1906" s="1" t="s">
        <v>833</v>
      </c>
      <c r="F1906" s="1" t="s">
        <v>371</v>
      </c>
      <c r="G1906" s="1" t="n">
        <f aca="false">IF(ISNUMBER(E1906),E1906,VALUE(SUBSTITUTE(E1906,"#",".01")))</f>
        <v>-49900.01</v>
      </c>
    </row>
    <row r="1907" customFormat="false" ht="12.75" hidden="false" customHeight="false" outlineLevel="0" collapsed="false">
      <c r="A1907" s="1" t="n">
        <v>93</v>
      </c>
      <c r="B1907" s="1" t="n">
        <v>57</v>
      </c>
      <c r="C1907" s="1" t="n">
        <v>150</v>
      </c>
      <c r="D1907" s="1" t="s">
        <v>682</v>
      </c>
      <c r="E1907" s="1" t="n">
        <v>-56129.966</v>
      </c>
      <c r="F1907" s="1" t="n">
        <v>435.473</v>
      </c>
      <c r="G1907" s="1" t="n">
        <f aca="false">IF(ISNUMBER(E1907),E1907,VALUE(SUBSTITUTE(E1907,"#",".01")))</f>
        <v>-56129.966</v>
      </c>
    </row>
    <row r="1908" customFormat="false" ht="12.75" hidden="false" customHeight="false" outlineLevel="0" collapsed="false">
      <c r="A1908" s="1" t="n">
        <v>92</v>
      </c>
      <c r="B1908" s="1" t="n">
        <v>58</v>
      </c>
      <c r="C1908" s="1" t="n">
        <v>150</v>
      </c>
      <c r="D1908" s="1" t="s">
        <v>696</v>
      </c>
      <c r="E1908" s="1" t="n">
        <v>-64846.854</v>
      </c>
      <c r="F1908" s="1" t="n">
        <v>11.697</v>
      </c>
      <c r="G1908" s="1" t="n">
        <f aca="false">IF(ISNUMBER(E1908),E1908,VALUE(SUBSTITUTE(E1908,"#",".01")))</f>
        <v>-64846.854</v>
      </c>
    </row>
    <row r="1909" customFormat="false" ht="12.75" hidden="false" customHeight="false" outlineLevel="0" collapsed="false">
      <c r="A1909" s="1" t="n">
        <v>91</v>
      </c>
      <c r="B1909" s="1" t="n">
        <v>59</v>
      </c>
      <c r="C1909" s="1" t="n">
        <v>150</v>
      </c>
      <c r="D1909" s="1" t="s">
        <v>707</v>
      </c>
      <c r="E1909" s="1" t="n">
        <v>-68300.479</v>
      </c>
      <c r="F1909" s="1" t="n">
        <v>9.015</v>
      </c>
      <c r="G1909" s="1" t="n">
        <f aca="false">IF(ISNUMBER(E1909),E1909,VALUE(SUBSTITUTE(E1909,"#",".01")))</f>
        <v>-68300.479</v>
      </c>
    </row>
    <row r="1910" customFormat="false" ht="12.75" hidden="false" customHeight="false" outlineLevel="0" collapsed="false">
      <c r="A1910" s="1" t="n">
        <v>90</v>
      </c>
      <c r="B1910" s="1" t="n">
        <v>60</v>
      </c>
      <c r="C1910" s="1" t="n">
        <v>150</v>
      </c>
      <c r="D1910" s="1" t="s">
        <v>724</v>
      </c>
      <c r="E1910" s="1" t="n">
        <v>-73679.755</v>
      </c>
      <c r="F1910" s="1" t="n">
        <v>1.289</v>
      </c>
      <c r="G1910" s="1" t="n">
        <f aca="false">IF(ISNUMBER(E1910),E1910,VALUE(SUBSTITUTE(E1910,"#",".01")))</f>
        <v>-73679.755</v>
      </c>
    </row>
    <row r="1911" customFormat="false" ht="12.75" hidden="false" customHeight="false" outlineLevel="0" collapsed="false">
      <c r="A1911" s="1" t="n">
        <v>89</v>
      </c>
      <c r="B1911" s="1" t="n">
        <v>61</v>
      </c>
      <c r="C1911" s="1" t="n">
        <v>150</v>
      </c>
      <c r="D1911" s="1" t="s">
        <v>736</v>
      </c>
      <c r="E1911" s="1" t="n">
        <v>-73597.139</v>
      </c>
      <c r="F1911" s="1" t="n">
        <v>20.041</v>
      </c>
      <c r="G1911" s="1" t="n">
        <f aca="false">IF(ISNUMBER(E1911),E1911,VALUE(SUBSTITUTE(E1911,"#",".01")))</f>
        <v>-73597.139</v>
      </c>
    </row>
    <row r="1912" customFormat="false" ht="12.75" hidden="false" customHeight="false" outlineLevel="0" collapsed="false">
      <c r="A1912" s="1" t="n">
        <v>88</v>
      </c>
      <c r="B1912" s="1" t="n">
        <v>62</v>
      </c>
      <c r="C1912" s="1" t="n">
        <v>150</v>
      </c>
      <c r="D1912" s="1" t="s">
        <v>747</v>
      </c>
      <c r="E1912" s="1" t="n">
        <v>-77051.139</v>
      </c>
      <c r="F1912" s="1" t="n">
        <v>1.274</v>
      </c>
      <c r="G1912" s="1" t="n">
        <f aca="false">IF(ISNUMBER(E1912),E1912,VALUE(SUBSTITUTE(E1912,"#",".01")))</f>
        <v>-77051.139</v>
      </c>
    </row>
    <row r="1913" customFormat="false" ht="12.75" hidden="false" customHeight="false" outlineLevel="0" collapsed="false">
      <c r="A1913" s="1" t="n">
        <v>87</v>
      </c>
      <c r="B1913" s="1" t="n">
        <v>63</v>
      </c>
      <c r="C1913" s="1" t="n">
        <v>150</v>
      </c>
      <c r="D1913" s="1" t="s">
        <v>757</v>
      </c>
      <c r="E1913" s="1" t="n">
        <v>-74792.234</v>
      </c>
      <c r="F1913" s="1" t="n">
        <v>6.253</v>
      </c>
      <c r="G1913" s="1" t="n">
        <f aca="false">IF(ISNUMBER(E1913),E1913,VALUE(SUBSTITUTE(E1913,"#",".01")))</f>
        <v>-74792.234</v>
      </c>
    </row>
    <row r="1914" customFormat="false" ht="12.75" hidden="false" customHeight="false" outlineLevel="0" collapsed="false">
      <c r="A1914" s="1" t="n">
        <v>86</v>
      </c>
      <c r="B1914" s="1" t="n">
        <v>64</v>
      </c>
      <c r="C1914" s="1" t="n">
        <v>150</v>
      </c>
      <c r="D1914" s="1" t="s">
        <v>771</v>
      </c>
      <c r="E1914" s="1" t="n">
        <v>-75763.934</v>
      </c>
      <c r="F1914" s="1" t="n">
        <v>6.076</v>
      </c>
      <c r="G1914" s="1" t="n">
        <f aca="false">IF(ISNUMBER(E1914),E1914,VALUE(SUBSTITUTE(E1914,"#",".01")))</f>
        <v>-75763.934</v>
      </c>
    </row>
    <row r="1915" customFormat="false" ht="12.75" hidden="false" customHeight="false" outlineLevel="0" collapsed="false">
      <c r="A1915" s="1" t="n">
        <v>85</v>
      </c>
      <c r="B1915" s="1" t="n">
        <v>65</v>
      </c>
      <c r="C1915" s="1" t="n">
        <v>150</v>
      </c>
      <c r="D1915" s="1" t="s">
        <v>780</v>
      </c>
      <c r="E1915" s="1" t="n">
        <v>-71105.721</v>
      </c>
      <c r="F1915" s="1" t="n">
        <v>7.384</v>
      </c>
      <c r="G1915" s="1" t="n">
        <f aca="false">IF(ISNUMBER(E1915),E1915,VALUE(SUBSTITUTE(E1915,"#",".01")))</f>
        <v>-71105.721</v>
      </c>
    </row>
    <row r="1916" customFormat="false" ht="12.75" hidden="false" customHeight="false" outlineLevel="0" collapsed="false">
      <c r="A1916" s="1" t="n">
        <v>84</v>
      </c>
      <c r="B1916" s="1" t="n">
        <v>66</v>
      </c>
      <c r="C1916" s="1" t="n">
        <v>150</v>
      </c>
      <c r="D1916" s="1" t="s">
        <v>794</v>
      </c>
      <c r="E1916" s="1" t="n">
        <v>-69309.6</v>
      </c>
      <c r="F1916" s="1" t="n">
        <v>4.348</v>
      </c>
      <c r="G1916" s="1" t="n">
        <f aca="false">IF(ISNUMBER(E1916),E1916,VALUE(SUBSTITUTE(E1916,"#",".01")))</f>
        <v>-69309.6</v>
      </c>
    </row>
    <row r="1917" customFormat="false" ht="12.75" hidden="false" customHeight="false" outlineLevel="0" collapsed="false">
      <c r="A1917" s="1" t="n">
        <v>83</v>
      </c>
      <c r="B1917" s="1" t="n">
        <v>67</v>
      </c>
      <c r="C1917" s="1" t="n">
        <v>150</v>
      </c>
      <c r="D1917" s="1" t="s">
        <v>802</v>
      </c>
      <c r="E1917" s="1" t="n">
        <v>-61945.881</v>
      </c>
      <c r="F1917" s="1" t="n">
        <v>14.168</v>
      </c>
      <c r="G1917" s="1" t="n">
        <f aca="false">IF(ISNUMBER(E1917),E1917,VALUE(SUBSTITUTE(E1917,"#",".01")))</f>
        <v>-61945.881</v>
      </c>
    </row>
    <row r="1918" customFormat="false" ht="12.75" hidden="false" customHeight="false" outlineLevel="0" collapsed="false">
      <c r="A1918" s="1" t="n">
        <v>82</v>
      </c>
      <c r="B1918" s="1" t="n">
        <v>68</v>
      </c>
      <c r="C1918" s="1" t="n">
        <v>150</v>
      </c>
      <c r="D1918" s="1" t="s">
        <v>17</v>
      </c>
      <c r="E1918" s="1" t="n">
        <v>-57831.313</v>
      </c>
      <c r="F1918" s="1" t="n">
        <v>17.195</v>
      </c>
      <c r="G1918" s="1" t="n">
        <f aca="false">IF(ISNUMBER(E1918),E1918,VALUE(SUBSTITUTE(E1918,"#",".01")))</f>
        <v>-57831.313</v>
      </c>
    </row>
    <row r="1919" customFormat="false" ht="12.75" hidden="false" customHeight="false" outlineLevel="0" collapsed="false">
      <c r="A1919" s="1" t="n">
        <v>81</v>
      </c>
      <c r="B1919" s="1" t="n">
        <v>69</v>
      </c>
      <c r="C1919" s="1" t="n">
        <v>150</v>
      </c>
      <c r="D1919" s="1" t="s">
        <v>819</v>
      </c>
      <c r="E1919" s="1" t="s">
        <v>834</v>
      </c>
      <c r="F1919" s="1" t="s">
        <v>333</v>
      </c>
      <c r="G1919" s="1" t="n">
        <f aca="false">IF(ISNUMBER(E1919),E1919,VALUE(SUBSTITUTE(E1919,"#",".01")))</f>
        <v>-46491.01</v>
      </c>
    </row>
    <row r="1920" customFormat="false" ht="12.75" hidden="false" customHeight="false" outlineLevel="0" collapsed="false">
      <c r="A1920" s="1" t="n">
        <v>80</v>
      </c>
      <c r="B1920" s="1" t="n">
        <v>70</v>
      </c>
      <c r="C1920" s="1" t="n">
        <v>150</v>
      </c>
      <c r="D1920" s="1" t="s">
        <v>827</v>
      </c>
      <c r="E1920" s="1" t="s">
        <v>835</v>
      </c>
      <c r="F1920" s="1" t="s">
        <v>371</v>
      </c>
      <c r="G1920" s="1" t="n">
        <f aca="false">IF(ISNUMBER(E1920),E1920,VALUE(SUBSTITUTE(E1920,"#",".01")))</f>
        <v>-38638.01</v>
      </c>
    </row>
    <row r="1921" customFormat="false" ht="12.75" hidden="false" customHeight="false" outlineLevel="0" collapsed="false">
      <c r="A1921" s="1" t="n">
        <v>79</v>
      </c>
      <c r="B1921" s="1" t="n">
        <v>71</v>
      </c>
      <c r="C1921" s="1" t="n">
        <v>150</v>
      </c>
      <c r="D1921" s="1" t="s">
        <v>836</v>
      </c>
      <c r="E1921" s="1" t="s">
        <v>837</v>
      </c>
      <c r="F1921" s="1" t="s">
        <v>371</v>
      </c>
      <c r="G1921" s="1" t="n">
        <f aca="false">IF(ISNUMBER(E1921),E1921,VALUE(SUBSTITUTE(E1921,"#",".01")))</f>
        <v>-24640.01</v>
      </c>
    </row>
    <row r="1922" customFormat="false" ht="12.75" hidden="false" customHeight="false" outlineLevel="0" collapsed="false">
      <c r="A1922" s="1" t="n">
        <v>96</v>
      </c>
      <c r="B1922" s="1" t="n">
        <v>55</v>
      </c>
      <c r="C1922" s="1" t="n">
        <v>151</v>
      </c>
      <c r="D1922" s="1" t="s">
        <v>662</v>
      </c>
      <c r="E1922" s="1" t="s">
        <v>838</v>
      </c>
      <c r="F1922" s="1" t="s">
        <v>337</v>
      </c>
      <c r="G1922" s="1" t="n">
        <f aca="false">IF(ISNUMBER(E1922),E1922,VALUE(SUBSTITUTE(E1922,"#",".01")))</f>
        <v>-34230.01</v>
      </c>
    </row>
    <row r="1923" customFormat="false" ht="12.75" hidden="false" customHeight="false" outlineLevel="0" collapsed="false">
      <c r="A1923" s="1" t="n">
        <v>95</v>
      </c>
      <c r="B1923" s="1" t="n">
        <v>56</v>
      </c>
      <c r="C1923" s="1" t="n">
        <v>151</v>
      </c>
      <c r="D1923" s="1" t="s">
        <v>669</v>
      </c>
      <c r="E1923" s="1" t="s">
        <v>839</v>
      </c>
      <c r="F1923" s="1" t="s">
        <v>378</v>
      </c>
      <c r="G1923" s="1" t="n">
        <f aca="false">IF(ISNUMBER(E1923),E1923,VALUE(SUBSTITUTE(E1923,"#",".01")))</f>
        <v>-44940.01</v>
      </c>
    </row>
    <row r="1924" customFormat="false" ht="12.75" hidden="false" customHeight="false" outlineLevel="0" collapsed="false">
      <c r="A1924" s="1" t="n">
        <v>94</v>
      </c>
      <c r="B1924" s="1" t="n">
        <v>57</v>
      </c>
      <c r="C1924" s="1" t="n">
        <v>151</v>
      </c>
      <c r="D1924" s="1" t="s">
        <v>682</v>
      </c>
      <c r="E1924" s="1" t="n">
        <v>-53310.333</v>
      </c>
      <c r="F1924" s="1" t="n">
        <v>435.473</v>
      </c>
      <c r="G1924" s="1" t="n">
        <f aca="false">IF(ISNUMBER(E1924),E1924,VALUE(SUBSTITUTE(E1924,"#",".01")))</f>
        <v>-53310.333</v>
      </c>
    </row>
    <row r="1925" customFormat="false" ht="12.75" hidden="false" customHeight="false" outlineLevel="0" collapsed="false">
      <c r="A1925" s="1" t="n">
        <v>93</v>
      </c>
      <c r="B1925" s="1" t="n">
        <v>58</v>
      </c>
      <c r="C1925" s="1" t="n">
        <v>151</v>
      </c>
      <c r="D1925" s="1" t="s">
        <v>696</v>
      </c>
      <c r="E1925" s="1" t="n">
        <v>-61225.052</v>
      </c>
      <c r="F1925" s="1" t="n">
        <v>17.698</v>
      </c>
      <c r="G1925" s="1" t="n">
        <f aca="false">IF(ISNUMBER(E1925),E1925,VALUE(SUBSTITUTE(E1925,"#",".01")))</f>
        <v>-61225.052</v>
      </c>
    </row>
    <row r="1926" customFormat="false" ht="12.75" hidden="false" customHeight="false" outlineLevel="0" collapsed="false">
      <c r="A1926" s="1" t="n">
        <v>92</v>
      </c>
      <c r="B1926" s="1" t="n">
        <v>59</v>
      </c>
      <c r="C1926" s="1" t="n">
        <v>151</v>
      </c>
      <c r="D1926" s="1" t="s">
        <v>707</v>
      </c>
      <c r="E1926" s="1" t="n">
        <v>-66779.63</v>
      </c>
      <c r="F1926" s="1" t="n">
        <v>11.651</v>
      </c>
      <c r="G1926" s="1" t="n">
        <f aca="false">IF(ISNUMBER(E1926),E1926,VALUE(SUBSTITUTE(E1926,"#",".01")))</f>
        <v>-66779.63</v>
      </c>
    </row>
    <row r="1927" customFormat="false" ht="12.75" hidden="false" customHeight="false" outlineLevel="0" collapsed="false">
      <c r="A1927" s="1" t="n">
        <v>91</v>
      </c>
      <c r="B1927" s="1" t="n">
        <v>60</v>
      </c>
      <c r="C1927" s="1" t="n">
        <v>151</v>
      </c>
      <c r="D1927" s="1" t="s">
        <v>724</v>
      </c>
      <c r="E1927" s="1" t="n">
        <v>-70942.988</v>
      </c>
      <c r="F1927" s="1" t="n">
        <v>1.293</v>
      </c>
      <c r="G1927" s="1" t="n">
        <f aca="false">IF(ISNUMBER(E1927),E1927,VALUE(SUBSTITUTE(E1927,"#",".01")))</f>
        <v>-70942.988</v>
      </c>
    </row>
    <row r="1928" customFormat="false" ht="12.75" hidden="false" customHeight="false" outlineLevel="0" collapsed="false">
      <c r="A1928" s="1" t="n">
        <v>90</v>
      </c>
      <c r="B1928" s="1" t="n">
        <v>61</v>
      </c>
      <c r="C1928" s="1" t="n">
        <v>151</v>
      </c>
      <c r="D1928" s="1" t="s">
        <v>736</v>
      </c>
      <c r="E1928" s="1" t="n">
        <v>-73386.063</v>
      </c>
      <c r="F1928" s="1" t="n">
        <v>4.653</v>
      </c>
      <c r="G1928" s="1" t="n">
        <f aca="false">IF(ISNUMBER(E1928),E1928,VALUE(SUBSTITUTE(E1928,"#",".01")))</f>
        <v>-73386.063</v>
      </c>
    </row>
    <row r="1929" customFormat="false" ht="12.75" hidden="false" customHeight="false" outlineLevel="0" collapsed="false">
      <c r="A1929" s="1" t="n">
        <v>89</v>
      </c>
      <c r="B1929" s="1" t="n">
        <v>62</v>
      </c>
      <c r="C1929" s="1" t="n">
        <v>151</v>
      </c>
      <c r="D1929" s="1" t="s">
        <v>747</v>
      </c>
      <c r="E1929" s="1" t="n">
        <v>-74576.279</v>
      </c>
      <c r="F1929" s="1" t="n">
        <v>1.273</v>
      </c>
      <c r="G1929" s="1" t="n">
        <f aca="false">IF(ISNUMBER(E1929),E1929,VALUE(SUBSTITUTE(E1929,"#",".01")))</f>
        <v>-74576.279</v>
      </c>
    </row>
    <row r="1930" customFormat="false" ht="12.75" hidden="false" customHeight="false" outlineLevel="0" collapsed="false">
      <c r="A1930" s="1" t="n">
        <v>88</v>
      </c>
      <c r="B1930" s="1" t="n">
        <v>63</v>
      </c>
      <c r="C1930" s="1" t="n">
        <v>151</v>
      </c>
      <c r="D1930" s="1" t="s">
        <v>757</v>
      </c>
      <c r="E1930" s="1" t="n">
        <v>-74652.854</v>
      </c>
      <c r="F1930" s="1" t="n">
        <v>1.325</v>
      </c>
      <c r="G1930" s="1" t="n">
        <f aca="false">IF(ISNUMBER(E1930),E1930,VALUE(SUBSTITUTE(E1930,"#",".01")))</f>
        <v>-74652.854</v>
      </c>
    </row>
    <row r="1931" customFormat="false" ht="12.75" hidden="false" customHeight="false" outlineLevel="0" collapsed="false">
      <c r="A1931" s="1" t="n">
        <v>87</v>
      </c>
      <c r="B1931" s="1" t="n">
        <v>64</v>
      </c>
      <c r="C1931" s="1" t="n">
        <v>151</v>
      </c>
      <c r="D1931" s="1" t="s">
        <v>771</v>
      </c>
      <c r="E1931" s="1" t="n">
        <v>-74188.737</v>
      </c>
      <c r="F1931" s="1" t="n">
        <v>3.056</v>
      </c>
      <c r="G1931" s="1" t="n">
        <f aca="false">IF(ISNUMBER(E1931),E1931,VALUE(SUBSTITUTE(E1931,"#",".01")))</f>
        <v>-74188.737</v>
      </c>
    </row>
    <row r="1932" customFormat="false" ht="12.75" hidden="false" customHeight="false" outlineLevel="0" collapsed="false">
      <c r="A1932" s="1" t="n">
        <v>86</v>
      </c>
      <c r="B1932" s="1" t="n">
        <v>65</v>
      </c>
      <c r="C1932" s="1" t="n">
        <v>151</v>
      </c>
      <c r="D1932" s="1" t="s">
        <v>780</v>
      </c>
      <c r="E1932" s="1" t="n">
        <v>-71623.504</v>
      </c>
      <c r="F1932" s="1" t="n">
        <v>4.137</v>
      </c>
      <c r="G1932" s="1" t="n">
        <f aca="false">IF(ISNUMBER(E1932),E1932,VALUE(SUBSTITUTE(E1932,"#",".01")))</f>
        <v>-71623.504</v>
      </c>
    </row>
    <row r="1933" customFormat="false" ht="12.75" hidden="false" customHeight="false" outlineLevel="0" collapsed="false">
      <c r="A1933" s="1" t="n">
        <v>85</v>
      </c>
      <c r="B1933" s="1" t="n">
        <v>66</v>
      </c>
      <c r="C1933" s="1" t="n">
        <v>151</v>
      </c>
      <c r="D1933" s="1" t="s">
        <v>794</v>
      </c>
      <c r="E1933" s="1" t="n">
        <v>-68752.405</v>
      </c>
      <c r="F1933" s="1" t="n">
        <v>3.293</v>
      </c>
      <c r="G1933" s="1" t="n">
        <f aca="false">IF(ISNUMBER(E1933),E1933,VALUE(SUBSTITUTE(E1933,"#",".01")))</f>
        <v>-68752.405</v>
      </c>
    </row>
    <row r="1934" customFormat="false" ht="12.75" hidden="false" customHeight="false" outlineLevel="0" collapsed="false">
      <c r="A1934" s="1" t="n">
        <v>84</v>
      </c>
      <c r="B1934" s="1" t="n">
        <v>67</v>
      </c>
      <c r="C1934" s="1" t="n">
        <v>151</v>
      </c>
      <c r="D1934" s="1" t="s">
        <v>802</v>
      </c>
      <c r="E1934" s="1" t="n">
        <v>-63622.738</v>
      </c>
      <c r="F1934" s="1" t="n">
        <v>8.302</v>
      </c>
      <c r="G1934" s="1" t="n">
        <f aca="false">IF(ISNUMBER(E1934),E1934,VALUE(SUBSTITUTE(E1934,"#",".01")))</f>
        <v>-63622.738</v>
      </c>
    </row>
    <row r="1935" customFormat="false" ht="12.75" hidden="false" customHeight="false" outlineLevel="0" collapsed="false">
      <c r="A1935" s="1" t="n">
        <v>83</v>
      </c>
      <c r="B1935" s="1" t="n">
        <v>68</v>
      </c>
      <c r="C1935" s="1" t="n">
        <v>151</v>
      </c>
      <c r="D1935" s="1" t="s">
        <v>17</v>
      </c>
      <c r="E1935" s="1" t="n">
        <v>-58266.284</v>
      </c>
      <c r="F1935" s="1" t="n">
        <v>16.47</v>
      </c>
      <c r="G1935" s="1" t="n">
        <f aca="false">IF(ISNUMBER(E1935),E1935,VALUE(SUBSTITUTE(E1935,"#",".01")))</f>
        <v>-58266.284</v>
      </c>
    </row>
    <row r="1936" customFormat="false" ht="12.75" hidden="false" customHeight="false" outlineLevel="0" collapsed="false">
      <c r="A1936" s="1" t="n">
        <v>82</v>
      </c>
      <c r="B1936" s="1" t="n">
        <v>69</v>
      </c>
      <c r="C1936" s="1" t="n">
        <v>151</v>
      </c>
      <c r="D1936" s="1" t="s">
        <v>819</v>
      </c>
      <c r="E1936" s="1" t="n">
        <v>-50772.756</v>
      </c>
      <c r="F1936" s="1" t="n">
        <v>19.416</v>
      </c>
      <c r="G1936" s="1" t="n">
        <f aca="false">IF(ISNUMBER(E1936),E1936,VALUE(SUBSTITUTE(E1936,"#",".01")))</f>
        <v>-50772.756</v>
      </c>
    </row>
    <row r="1937" customFormat="false" ht="12.75" hidden="false" customHeight="false" outlineLevel="0" collapsed="false">
      <c r="A1937" s="1" t="n">
        <v>81</v>
      </c>
      <c r="B1937" s="1" t="n">
        <v>70</v>
      </c>
      <c r="C1937" s="1" t="n">
        <v>151</v>
      </c>
      <c r="D1937" s="1" t="s">
        <v>827</v>
      </c>
      <c r="E1937" s="1" t="n">
        <v>-41542.342</v>
      </c>
      <c r="F1937" s="1" t="n">
        <v>300.492</v>
      </c>
      <c r="G1937" s="1" t="n">
        <f aca="false">IF(ISNUMBER(E1937),E1937,VALUE(SUBSTITUTE(E1937,"#",".01")))</f>
        <v>-41542.342</v>
      </c>
    </row>
    <row r="1938" customFormat="false" ht="12.75" hidden="false" customHeight="false" outlineLevel="0" collapsed="false">
      <c r="A1938" s="1" t="n">
        <v>80</v>
      </c>
      <c r="B1938" s="1" t="n">
        <v>71</v>
      </c>
      <c r="C1938" s="1" t="n">
        <v>151</v>
      </c>
      <c r="D1938" s="1" t="s">
        <v>836</v>
      </c>
      <c r="E1938" s="1" t="s">
        <v>840</v>
      </c>
      <c r="F1938" s="1" t="s">
        <v>371</v>
      </c>
      <c r="G1938" s="1" t="n">
        <f aca="false">IF(ISNUMBER(E1938),E1938,VALUE(SUBSTITUTE(E1938,"#",".01")))</f>
        <v>-30108.01</v>
      </c>
    </row>
    <row r="1939" customFormat="false" ht="12.75" hidden="false" customHeight="false" outlineLevel="0" collapsed="false">
      <c r="A1939" s="1" t="n">
        <v>97</v>
      </c>
      <c r="B1939" s="1" t="n">
        <v>55</v>
      </c>
      <c r="C1939" s="1" t="n">
        <v>152</v>
      </c>
      <c r="D1939" s="1" t="s">
        <v>662</v>
      </c>
      <c r="E1939" s="1" t="s">
        <v>841</v>
      </c>
      <c r="F1939" s="1" t="s">
        <v>337</v>
      </c>
      <c r="G1939" s="1" t="n">
        <f aca="false">IF(ISNUMBER(E1939),E1939,VALUE(SUBSTITUTE(E1939,"#",".01")))</f>
        <v>-28930.01</v>
      </c>
    </row>
    <row r="1940" customFormat="false" ht="12.75" hidden="false" customHeight="false" outlineLevel="0" collapsed="false">
      <c r="A1940" s="1" t="n">
        <v>96</v>
      </c>
      <c r="B1940" s="1" t="n">
        <v>56</v>
      </c>
      <c r="C1940" s="1" t="n">
        <v>152</v>
      </c>
      <c r="D1940" s="1" t="s">
        <v>669</v>
      </c>
      <c r="E1940" s="1" t="s">
        <v>842</v>
      </c>
      <c r="F1940" s="1" t="s">
        <v>378</v>
      </c>
      <c r="G1940" s="1" t="n">
        <f aca="false">IF(ISNUMBER(E1940),E1940,VALUE(SUBSTITUTE(E1940,"#",".01")))</f>
        <v>-41710.01</v>
      </c>
    </row>
    <row r="1941" customFormat="false" ht="12.75" hidden="false" customHeight="false" outlineLevel="0" collapsed="false">
      <c r="A1941" s="1" t="n">
        <v>95</v>
      </c>
      <c r="B1941" s="1" t="n">
        <v>57</v>
      </c>
      <c r="C1941" s="1" t="n">
        <v>152</v>
      </c>
      <c r="D1941" s="1" t="s">
        <v>682</v>
      </c>
      <c r="E1941" s="1" t="s">
        <v>843</v>
      </c>
      <c r="F1941" s="1" t="s">
        <v>371</v>
      </c>
      <c r="G1941" s="1" t="n">
        <f aca="false">IF(ISNUMBER(E1941),E1941,VALUE(SUBSTITUTE(E1941,"#",".01")))</f>
        <v>-49290.01</v>
      </c>
    </row>
    <row r="1942" customFormat="false" ht="12.75" hidden="false" customHeight="false" outlineLevel="0" collapsed="false">
      <c r="A1942" s="1" t="n">
        <v>94</v>
      </c>
      <c r="B1942" s="1" t="n">
        <v>58</v>
      </c>
      <c r="C1942" s="1" t="n">
        <v>152</v>
      </c>
      <c r="D1942" s="1" t="s">
        <v>696</v>
      </c>
      <c r="E1942" s="1" t="s">
        <v>844</v>
      </c>
      <c r="F1942" s="1" t="s">
        <v>349</v>
      </c>
      <c r="G1942" s="1" t="n">
        <f aca="false">IF(ISNUMBER(E1942),E1942,VALUE(SUBSTITUTE(E1942,"#",".01")))</f>
        <v>-58980.01</v>
      </c>
    </row>
    <row r="1943" customFormat="false" ht="12.75" hidden="false" customHeight="false" outlineLevel="0" collapsed="false">
      <c r="A1943" s="1" t="n">
        <v>93</v>
      </c>
      <c r="B1943" s="1" t="n">
        <v>59</v>
      </c>
      <c r="C1943" s="1" t="n">
        <v>152</v>
      </c>
      <c r="D1943" s="1" t="s">
        <v>707</v>
      </c>
      <c r="E1943" s="1" t="n">
        <v>-63758.063</v>
      </c>
      <c r="F1943" s="1" t="n">
        <v>18.537</v>
      </c>
      <c r="G1943" s="1" t="n">
        <f aca="false">IF(ISNUMBER(E1943),E1943,VALUE(SUBSTITUTE(E1943,"#",".01")))</f>
        <v>-63758.063</v>
      </c>
    </row>
    <row r="1944" customFormat="false" ht="12.75" hidden="false" customHeight="false" outlineLevel="0" collapsed="false">
      <c r="A1944" s="1" t="n">
        <v>92</v>
      </c>
      <c r="B1944" s="1" t="n">
        <v>60</v>
      </c>
      <c r="C1944" s="1" t="n">
        <v>152</v>
      </c>
      <c r="D1944" s="1" t="s">
        <v>724</v>
      </c>
      <c r="E1944" s="1" t="n">
        <v>-70149.407</v>
      </c>
      <c r="F1944" s="1" t="n">
        <v>24.485</v>
      </c>
      <c r="G1944" s="1" t="n">
        <f aca="false">IF(ISNUMBER(E1944),E1944,VALUE(SUBSTITUTE(E1944,"#",".01")))</f>
        <v>-70149.407</v>
      </c>
    </row>
    <row r="1945" customFormat="false" ht="12.75" hidden="false" customHeight="false" outlineLevel="0" collapsed="false">
      <c r="A1945" s="1" t="n">
        <v>91</v>
      </c>
      <c r="B1945" s="1" t="n">
        <v>61</v>
      </c>
      <c r="C1945" s="1" t="n">
        <v>152</v>
      </c>
      <c r="D1945" s="1" t="s">
        <v>736</v>
      </c>
      <c r="E1945" s="1" t="n">
        <v>-71254.186</v>
      </c>
      <c r="F1945" s="1" t="n">
        <v>25.912</v>
      </c>
      <c r="G1945" s="1" t="n">
        <f aca="false">IF(ISNUMBER(E1945),E1945,VALUE(SUBSTITUTE(E1945,"#",".01")))</f>
        <v>-71254.186</v>
      </c>
    </row>
    <row r="1946" customFormat="false" ht="12.75" hidden="false" customHeight="false" outlineLevel="0" collapsed="false">
      <c r="A1946" s="1" t="n">
        <v>90</v>
      </c>
      <c r="B1946" s="1" t="n">
        <v>62</v>
      </c>
      <c r="C1946" s="1" t="n">
        <v>152</v>
      </c>
      <c r="D1946" s="1" t="s">
        <v>747</v>
      </c>
      <c r="E1946" s="1" t="n">
        <v>-74762.603</v>
      </c>
      <c r="F1946" s="1" t="n">
        <v>1.212</v>
      </c>
      <c r="G1946" s="1" t="n">
        <f aca="false">IF(ISNUMBER(E1946),E1946,VALUE(SUBSTITUTE(E1946,"#",".01")))</f>
        <v>-74762.603</v>
      </c>
    </row>
    <row r="1947" customFormat="false" ht="12.75" hidden="false" customHeight="false" outlineLevel="0" collapsed="false">
      <c r="A1947" s="1" t="n">
        <v>89</v>
      </c>
      <c r="B1947" s="1" t="n">
        <v>63</v>
      </c>
      <c r="C1947" s="1" t="n">
        <v>152</v>
      </c>
      <c r="D1947" s="1" t="s">
        <v>757</v>
      </c>
      <c r="E1947" s="1" t="n">
        <v>-72888.255</v>
      </c>
      <c r="F1947" s="1" t="n">
        <v>1.326</v>
      </c>
      <c r="G1947" s="1" t="n">
        <f aca="false">IF(ISNUMBER(E1947),E1947,VALUE(SUBSTITUTE(E1947,"#",".01")))</f>
        <v>-72888.255</v>
      </c>
    </row>
    <row r="1948" customFormat="false" ht="12.75" hidden="false" customHeight="false" outlineLevel="0" collapsed="false">
      <c r="A1948" s="1" t="n">
        <v>88</v>
      </c>
      <c r="B1948" s="1" t="n">
        <v>64</v>
      </c>
      <c r="C1948" s="1" t="n">
        <v>152</v>
      </c>
      <c r="D1948" s="1" t="s">
        <v>771</v>
      </c>
      <c r="E1948" s="1" t="n">
        <v>-74706.916</v>
      </c>
      <c r="F1948" s="1" t="n">
        <v>1.206</v>
      </c>
      <c r="G1948" s="1" t="n">
        <f aca="false">IF(ISNUMBER(E1948),E1948,VALUE(SUBSTITUTE(E1948,"#",".01")))</f>
        <v>-74706.916</v>
      </c>
    </row>
    <row r="1949" customFormat="false" ht="12.75" hidden="false" customHeight="false" outlineLevel="0" collapsed="false">
      <c r="A1949" s="1" t="n">
        <v>87</v>
      </c>
      <c r="B1949" s="1" t="n">
        <v>65</v>
      </c>
      <c r="C1949" s="1" t="n">
        <v>152</v>
      </c>
      <c r="D1949" s="1" t="s">
        <v>780</v>
      </c>
      <c r="E1949" s="1" t="n">
        <v>-70716.916</v>
      </c>
      <c r="F1949" s="1" t="n">
        <v>40.018</v>
      </c>
      <c r="G1949" s="1" t="n">
        <f aca="false">IF(ISNUMBER(E1949),E1949,VALUE(SUBSTITUTE(E1949,"#",".01")))</f>
        <v>-70716.916</v>
      </c>
    </row>
    <row r="1950" customFormat="false" ht="12.75" hidden="false" customHeight="false" outlineLevel="0" collapsed="false">
      <c r="A1950" s="1" t="n">
        <v>86</v>
      </c>
      <c r="B1950" s="1" t="n">
        <v>66</v>
      </c>
      <c r="C1950" s="1" t="n">
        <v>152</v>
      </c>
      <c r="D1950" s="1" t="s">
        <v>794</v>
      </c>
      <c r="E1950" s="1" t="n">
        <v>-70117.873</v>
      </c>
      <c r="F1950" s="1" t="n">
        <v>4.624</v>
      </c>
      <c r="G1950" s="1" t="n">
        <f aca="false">IF(ISNUMBER(E1950),E1950,VALUE(SUBSTITUTE(E1950,"#",".01")))</f>
        <v>-70117.873</v>
      </c>
    </row>
    <row r="1951" customFormat="false" ht="12.75" hidden="false" customHeight="false" outlineLevel="0" collapsed="false">
      <c r="A1951" s="1" t="n">
        <v>85</v>
      </c>
      <c r="B1951" s="1" t="n">
        <v>67</v>
      </c>
      <c r="C1951" s="1" t="n">
        <v>152</v>
      </c>
      <c r="D1951" s="1" t="s">
        <v>802</v>
      </c>
      <c r="E1951" s="1" t="n">
        <v>-63604.771</v>
      </c>
      <c r="F1951" s="1" t="n">
        <v>12.529</v>
      </c>
      <c r="G1951" s="1" t="n">
        <f aca="false">IF(ISNUMBER(E1951),E1951,VALUE(SUBSTITUTE(E1951,"#",".01")))</f>
        <v>-63604.771</v>
      </c>
    </row>
    <row r="1952" customFormat="false" ht="12.75" hidden="false" customHeight="false" outlineLevel="0" collapsed="false">
      <c r="A1952" s="1" t="n">
        <v>84</v>
      </c>
      <c r="B1952" s="1" t="n">
        <v>68</v>
      </c>
      <c r="C1952" s="1" t="n">
        <v>152</v>
      </c>
      <c r="D1952" s="1" t="s">
        <v>17</v>
      </c>
      <c r="E1952" s="1" t="n">
        <v>-60500.377</v>
      </c>
      <c r="F1952" s="1" t="n">
        <v>8.83</v>
      </c>
      <c r="G1952" s="1" t="n">
        <f aca="false">IF(ISNUMBER(E1952),E1952,VALUE(SUBSTITUTE(E1952,"#",".01")))</f>
        <v>-60500.377</v>
      </c>
    </row>
    <row r="1953" customFormat="false" ht="12.75" hidden="false" customHeight="false" outlineLevel="0" collapsed="false">
      <c r="A1953" s="1" t="n">
        <v>83</v>
      </c>
      <c r="B1953" s="1" t="n">
        <v>69</v>
      </c>
      <c r="C1953" s="1" t="n">
        <v>152</v>
      </c>
      <c r="D1953" s="1" t="s">
        <v>819</v>
      </c>
      <c r="E1953" s="1" t="n">
        <v>-51720.273</v>
      </c>
      <c r="F1953" s="1" t="n">
        <v>54.027</v>
      </c>
      <c r="G1953" s="1" t="n">
        <f aca="false">IF(ISNUMBER(E1953),E1953,VALUE(SUBSTITUTE(E1953,"#",".01")))</f>
        <v>-51720.273</v>
      </c>
    </row>
    <row r="1954" customFormat="false" ht="12.75" hidden="false" customHeight="false" outlineLevel="0" collapsed="false">
      <c r="A1954" s="1" t="n">
        <v>82</v>
      </c>
      <c r="B1954" s="1" t="n">
        <v>70</v>
      </c>
      <c r="C1954" s="1" t="n">
        <v>152</v>
      </c>
      <c r="D1954" s="1" t="s">
        <v>827</v>
      </c>
      <c r="E1954" s="1" t="n">
        <v>-46270.381</v>
      </c>
      <c r="F1954" s="1" t="n">
        <v>149.708</v>
      </c>
      <c r="G1954" s="1" t="n">
        <f aca="false">IF(ISNUMBER(E1954),E1954,VALUE(SUBSTITUTE(E1954,"#",".01")))</f>
        <v>-46270.381</v>
      </c>
    </row>
    <row r="1955" customFormat="false" ht="12.75" hidden="false" customHeight="false" outlineLevel="0" collapsed="false">
      <c r="A1955" s="1" t="n">
        <v>81</v>
      </c>
      <c r="B1955" s="1" t="n">
        <v>71</v>
      </c>
      <c r="C1955" s="1" t="n">
        <v>152</v>
      </c>
      <c r="D1955" s="1" t="s">
        <v>836</v>
      </c>
      <c r="E1955" s="1" t="s">
        <v>845</v>
      </c>
      <c r="F1955" s="1" t="s">
        <v>333</v>
      </c>
      <c r="G1955" s="1" t="n">
        <f aca="false">IF(ISNUMBER(E1955),E1955,VALUE(SUBSTITUTE(E1955,"#",".01")))</f>
        <v>-33422.01</v>
      </c>
    </row>
    <row r="1956" customFormat="false" ht="12.75" hidden="false" customHeight="false" outlineLevel="0" collapsed="false">
      <c r="A1956" s="1" t="n">
        <v>97</v>
      </c>
      <c r="B1956" s="1" t="n">
        <v>56</v>
      </c>
      <c r="C1956" s="1" t="n">
        <v>153</v>
      </c>
      <c r="D1956" s="1" t="s">
        <v>669</v>
      </c>
      <c r="E1956" s="1" t="s">
        <v>846</v>
      </c>
      <c r="F1956" s="1" t="s">
        <v>378</v>
      </c>
      <c r="G1956" s="1" t="n">
        <f aca="false">IF(ISNUMBER(E1956),E1956,VALUE(SUBSTITUTE(E1956,"#",".01")))</f>
        <v>-36470.01</v>
      </c>
    </row>
    <row r="1957" customFormat="false" ht="12.75" hidden="false" customHeight="false" outlineLevel="0" collapsed="false">
      <c r="A1957" s="1" t="n">
        <v>96</v>
      </c>
      <c r="B1957" s="1" t="n">
        <v>57</v>
      </c>
      <c r="C1957" s="1" t="n">
        <v>153</v>
      </c>
      <c r="D1957" s="1" t="s">
        <v>682</v>
      </c>
      <c r="E1957" s="1" t="s">
        <v>847</v>
      </c>
      <c r="F1957" s="1" t="s">
        <v>371</v>
      </c>
      <c r="G1957" s="1" t="n">
        <f aca="false">IF(ISNUMBER(E1957),E1957,VALUE(SUBSTITUTE(E1957,"#",".01")))</f>
        <v>-46060.01</v>
      </c>
    </row>
    <row r="1958" customFormat="false" ht="12.75" hidden="false" customHeight="false" outlineLevel="0" collapsed="false">
      <c r="A1958" s="1" t="n">
        <v>95</v>
      </c>
      <c r="B1958" s="1" t="n">
        <v>58</v>
      </c>
      <c r="C1958" s="1" t="n">
        <v>153</v>
      </c>
      <c r="D1958" s="1" t="s">
        <v>696</v>
      </c>
      <c r="E1958" s="1" t="s">
        <v>848</v>
      </c>
      <c r="F1958" s="1" t="s">
        <v>349</v>
      </c>
      <c r="G1958" s="1" t="n">
        <f aca="false">IF(ISNUMBER(E1958),E1958,VALUE(SUBSTITUTE(E1958,"#",".01")))</f>
        <v>-54910.01</v>
      </c>
    </row>
    <row r="1959" customFormat="false" ht="12.75" hidden="false" customHeight="false" outlineLevel="0" collapsed="false">
      <c r="A1959" s="1" t="n">
        <v>94</v>
      </c>
      <c r="B1959" s="1" t="n">
        <v>59</v>
      </c>
      <c r="C1959" s="1" t="n">
        <v>153</v>
      </c>
      <c r="D1959" s="1" t="s">
        <v>707</v>
      </c>
      <c r="E1959" s="1" t="n">
        <v>-61568.463</v>
      </c>
      <c r="F1959" s="1" t="n">
        <v>11.882</v>
      </c>
      <c r="G1959" s="1" t="n">
        <f aca="false">IF(ISNUMBER(E1959),E1959,VALUE(SUBSTITUTE(E1959,"#",".01")))</f>
        <v>-61568.463</v>
      </c>
    </row>
    <row r="1960" customFormat="false" ht="12.75" hidden="false" customHeight="false" outlineLevel="0" collapsed="false">
      <c r="A1960" s="1" t="n">
        <v>93</v>
      </c>
      <c r="B1960" s="1" t="n">
        <v>60</v>
      </c>
      <c r="C1960" s="1" t="n">
        <v>153</v>
      </c>
      <c r="D1960" s="1" t="s">
        <v>724</v>
      </c>
      <c r="E1960" s="1" t="n">
        <v>-67330.297</v>
      </c>
      <c r="F1960" s="1" t="n">
        <v>2.747</v>
      </c>
      <c r="G1960" s="1" t="n">
        <f aca="false">IF(ISNUMBER(E1960),E1960,VALUE(SUBSTITUTE(E1960,"#",".01")))</f>
        <v>-67330.297</v>
      </c>
    </row>
    <row r="1961" customFormat="false" ht="12.75" hidden="false" customHeight="false" outlineLevel="0" collapsed="false">
      <c r="A1961" s="1" t="n">
        <v>92</v>
      </c>
      <c r="B1961" s="1" t="n">
        <v>61</v>
      </c>
      <c r="C1961" s="1" t="n">
        <v>153</v>
      </c>
      <c r="D1961" s="1" t="s">
        <v>736</v>
      </c>
      <c r="E1961" s="1" t="n">
        <v>-70647.824</v>
      </c>
      <c r="F1961" s="1" t="n">
        <v>9.066</v>
      </c>
      <c r="G1961" s="1" t="n">
        <f aca="false">IF(ISNUMBER(E1961),E1961,VALUE(SUBSTITUTE(E1961,"#",".01")))</f>
        <v>-70647.824</v>
      </c>
    </row>
    <row r="1962" customFormat="false" ht="12.75" hidden="false" customHeight="false" outlineLevel="0" collapsed="false">
      <c r="A1962" s="1" t="n">
        <v>91</v>
      </c>
      <c r="B1962" s="1" t="n">
        <v>62</v>
      </c>
      <c r="C1962" s="1" t="n">
        <v>153</v>
      </c>
      <c r="D1962" s="1" t="s">
        <v>747</v>
      </c>
      <c r="E1962" s="1" t="n">
        <v>-72559.686</v>
      </c>
      <c r="F1962" s="1" t="n">
        <v>1.219</v>
      </c>
      <c r="G1962" s="1" t="n">
        <f aca="false">IF(ISNUMBER(E1962),E1962,VALUE(SUBSTITUTE(E1962,"#",".01")))</f>
        <v>-72559.686</v>
      </c>
    </row>
    <row r="1963" customFormat="false" ht="12.75" hidden="false" customHeight="false" outlineLevel="0" collapsed="false">
      <c r="A1963" s="1" t="n">
        <v>90</v>
      </c>
      <c r="B1963" s="1" t="n">
        <v>63</v>
      </c>
      <c r="C1963" s="1" t="n">
        <v>153</v>
      </c>
      <c r="D1963" s="1" t="s">
        <v>757</v>
      </c>
      <c r="E1963" s="1" t="n">
        <v>-73367.222</v>
      </c>
      <c r="F1963" s="1" t="n">
        <v>1.33</v>
      </c>
      <c r="G1963" s="1" t="n">
        <f aca="false">IF(ISNUMBER(E1963),E1963,VALUE(SUBSTITUTE(E1963,"#",".01")))</f>
        <v>-73367.222</v>
      </c>
    </row>
    <row r="1964" customFormat="false" ht="12.75" hidden="false" customHeight="false" outlineLevel="0" collapsed="false">
      <c r="A1964" s="1" t="n">
        <v>89</v>
      </c>
      <c r="B1964" s="1" t="n">
        <v>64</v>
      </c>
      <c r="C1964" s="1" t="n">
        <v>153</v>
      </c>
      <c r="D1964" s="1" t="s">
        <v>771</v>
      </c>
      <c r="E1964" s="1" t="n">
        <v>-72882.551</v>
      </c>
      <c r="F1964" s="1" t="n">
        <v>1.203</v>
      </c>
      <c r="G1964" s="1" t="n">
        <f aca="false">IF(ISNUMBER(E1964),E1964,VALUE(SUBSTITUTE(E1964,"#",".01")))</f>
        <v>-72882.551</v>
      </c>
    </row>
    <row r="1965" customFormat="false" ht="12.75" hidden="false" customHeight="false" outlineLevel="0" collapsed="false">
      <c r="A1965" s="1" t="n">
        <v>88</v>
      </c>
      <c r="B1965" s="1" t="n">
        <v>65</v>
      </c>
      <c r="C1965" s="1" t="n">
        <v>153</v>
      </c>
      <c r="D1965" s="1" t="s">
        <v>780</v>
      </c>
      <c r="E1965" s="1" t="n">
        <v>-71313.338</v>
      </c>
      <c r="F1965" s="1" t="n">
        <v>3.995</v>
      </c>
      <c r="G1965" s="1" t="n">
        <f aca="false">IF(ISNUMBER(E1965),E1965,VALUE(SUBSTITUTE(E1965,"#",".01")))</f>
        <v>-71313.338</v>
      </c>
    </row>
    <row r="1966" customFormat="false" ht="12.75" hidden="false" customHeight="false" outlineLevel="0" collapsed="false">
      <c r="A1966" s="1" t="n">
        <v>87</v>
      </c>
      <c r="B1966" s="1" t="n">
        <v>66</v>
      </c>
      <c r="C1966" s="1" t="n">
        <v>153</v>
      </c>
      <c r="D1966" s="1" t="s">
        <v>794</v>
      </c>
      <c r="E1966" s="1" t="n">
        <v>-69142.943</v>
      </c>
      <c r="F1966" s="1" t="n">
        <v>4.048</v>
      </c>
      <c r="G1966" s="1" t="n">
        <f aca="false">IF(ISNUMBER(E1966),E1966,VALUE(SUBSTITUTE(E1966,"#",".01")))</f>
        <v>-69142.943</v>
      </c>
    </row>
    <row r="1967" customFormat="false" ht="12.75" hidden="false" customHeight="false" outlineLevel="0" collapsed="false">
      <c r="A1967" s="1" t="n">
        <v>86</v>
      </c>
      <c r="B1967" s="1" t="n">
        <v>67</v>
      </c>
      <c r="C1967" s="1" t="n">
        <v>153</v>
      </c>
      <c r="D1967" s="1" t="s">
        <v>802</v>
      </c>
      <c r="E1967" s="1" t="n">
        <v>-65012.103</v>
      </c>
      <c r="F1967" s="1" t="n">
        <v>5.094</v>
      </c>
      <c r="G1967" s="1" t="n">
        <f aca="false">IF(ISNUMBER(E1967),E1967,VALUE(SUBSTITUTE(E1967,"#",".01")))</f>
        <v>-65012.103</v>
      </c>
    </row>
    <row r="1968" customFormat="false" ht="12.75" hidden="false" customHeight="false" outlineLevel="0" collapsed="false">
      <c r="A1968" s="1" t="n">
        <v>85</v>
      </c>
      <c r="B1968" s="1" t="n">
        <v>68</v>
      </c>
      <c r="C1968" s="1" t="n">
        <v>153</v>
      </c>
      <c r="D1968" s="1" t="s">
        <v>17</v>
      </c>
      <c r="E1968" s="1" t="n">
        <v>-60468.604</v>
      </c>
      <c r="F1968" s="1" t="n">
        <v>9.321</v>
      </c>
      <c r="G1968" s="1" t="n">
        <f aca="false">IF(ISNUMBER(E1968),E1968,VALUE(SUBSTITUTE(E1968,"#",".01")))</f>
        <v>-60468.604</v>
      </c>
    </row>
    <row r="1969" customFormat="false" ht="12.75" hidden="false" customHeight="false" outlineLevel="0" collapsed="false">
      <c r="A1969" s="1" t="n">
        <v>84</v>
      </c>
      <c r="B1969" s="1" t="n">
        <v>69</v>
      </c>
      <c r="C1969" s="1" t="n">
        <v>153</v>
      </c>
      <c r="D1969" s="1" t="s">
        <v>819</v>
      </c>
      <c r="E1969" s="1" t="n">
        <v>-53973.329</v>
      </c>
      <c r="F1969" s="1" t="n">
        <v>11.983</v>
      </c>
      <c r="G1969" s="1" t="n">
        <f aca="false">IF(ISNUMBER(E1969),E1969,VALUE(SUBSTITUTE(E1969,"#",".01")))</f>
        <v>-53973.329</v>
      </c>
    </row>
    <row r="1970" customFormat="false" ht="12.75" hidden="false" customHeight="false" outlineLevel="0" collapsed="false">
      <c r="A1970" s="1" t="n">
        <v>83</v>
      </c>
      <c r="B1970" s="1" t="n">
        <v>70</v>
      </c>
      <c r="C1970" s="1" t="n">
        <v>153</v>
      </c>
      <c r="D1970" s="1" t="s">
        <v>827</v>
      </c>
      <c r="E1970" s="1" t="s">
        <v>849</v>
      </c>
      <c r="F1970" s="1" t="s">
        <v>333</v>
      </c>
      <c r="G1970" s="1" t="n">
        <f aca="false">IF(ISNUMBER(E1970),E1970,VALUE(SUBSTITUTE(E1970,"#",".01")))</f>
        <v>-47208.01</v>
      </c>
    </row>
    <row r="1971" customFormat="false" ht="12.75" hidden="false" customHeight="false" outlineLevel="0" collapsed="false">
      <c r="A1971" s="1" t="n">
        <v>82</v>
      </c>
      <c r="B1971" s="1" t="n">
        <v>71</v>
      </c>
      <c r="C1971" s="1" t="n">
        <v>153</v>
      </c>
      <c r="D1971" s="1" t="s">
        <v>836</v>
      </c>
      <c r="E1971" s="1" t="n">
        <v>-38372.844</v>
      </c>
      <c r="F1971" s="1" t="n">
        <v>150.034</v>
      </c>
      <c r="G1971" s="1" t="n">
        <f aca="false">IF(ISNUMBER(E1971),E1971,VALUE(SUBSTITUTE(E1971,"#",".01")))</f>
        <v>-38372.844</v>
      </c>
    </row>
    <row r="1972" customFormat="false" ht="12.75" hidden="false" customHeight="false" outlineLevel="0" collapsed="false">
      <c r="A1972" s="1" t="n">
        <v>81</v>
      </c>
      <c r="B1972" s="1" t="n">
        <v>72</v>
      </c>
      <c r="C1972" s="1" t="n">
        <v>153</v>
      </c>
      <c r="D1972" s="1" t="s">
        <v>850</v>
      </c>
      <c r="E1972" s="1" t="s">
        <v>851</v>
      </c>
      <c r="F1972" s="1" t="s">
        <v>371</v>
      </c>
      <c r="G1972" s="1" t="n">
        <f aca="false">IF(ISNUMBER(E1972),E1972,VALUE(SUBSTITUTE(E1972,"#",".01")))</f>
        <v>-27300.01</v>
      </c>
    </row>
    <row r="1973" customFormat="false" ht="12.75" hidden="false" customHeight="false" outlineLevel="0" collapsed="false">
      <c r="A1973" s="1" t="n">
        <v>98</v>
      </c>
      <c r="B1973" s="1" t="n">
        <v>56</v>
      </c>
      <c r="C1973" s="1" t="n">
        <v>154</v>
      </c>
      <c r="D1973" s="1" t="s">
        <v>669</v>
      </c>
      <c r="E1973" s="1" t="s">
        <v>530</v>
      </c>
      <c r="F1973" s="1" t="s">
        <v>337</v>
      </c>
      <c r="G1973" s="1" t="n">
        <f aca="false">IF(ISNUMBER(E1973),E1973,VALUE(SUBSTITUTE(E1973,"#",".01")))</f>
        <v>-32820.01</v>
      </c>
    </row>
    <row r="1974" customFormat="false" ht="12.75" hidden="false" customHeight="false" outlineLevel="0" collapsed="false">
      <c r="A1974" s="1" t="n">
        <v>97</v>
      </c>
      <c r="B1974" s="1" t="n">
        <v>57</v>
      </c>
      <c r="C1974" s="1" t="n">
        <v>154</v>
      </c>
      <c r="D1974" s="1" t="s">
        <v>682</v>
      </c>
      <c r="E1974" s="1" t="s">
        <v>852</v>
      </c>
      <c r="F1974" s="1" t="s">
        <v>371</v>
      </c>
      <c r="G1974" s="1" t="n">
        <f aca="false">IF(ISNUMBER(E1974),E1974,VALUE(SUBSTITUTE(E1974,"#",".01")))</f>
        <v>-41530.01</v>
      </c>
    </row>
    <row r="1975" customFormat="false" ht="12.75" hidden="false" customHeight="false" outlineLevel="0" collapsed="false">
      <c r="A1975" s="1" t="n">
        <v>96</v>
      </c>
      <c r="B1975" s="1" t="n">
        <v>58</v>
      </c>
      <c r="C1975" s="1" t="n">
        <v>154</v>
      </c>
      <c r="D1975" s="1" t="s">
        <v>696</v>
      </c>
      <c r="E1975" s="1" t="s">
        <v>853</v>
      </c>
      <c r="F1975" s="1" t="s">
        <v>349</v>
      </c>
      <c r="G1975" s="1" t="n">
        <f aca="false">IF(ISNUMBER(E1975),E1975,VALUE(SUBSTITUTE(E1975,"#",".01")))</f>
        <v>-52220.01</v>
      </c>
    </row>
    <row r="1976" customFormat="false" ht="12.75" hidden="false" customHeight="false" outlineLevel="0" collapsed="false">
      <c r="A1976" s="1" t="n">
        <v>95</v>
      </c>
      <c r="B1976" s="1" t="n">
        <v>59</v>
      </c>
      <c r="C1976" s="1" t="n">
        <v>154</v>
      </c>
      <c r="D1976" s="1" t="s">
        <v>707</v>
      </c>
      <c r="E1976" s="1" t="n">
        <v>-58104.976</v>
      </c>
      <c r="F1976" s="1" t="n">
        <v>113.009</v>
      </c>
      <c r="G1976" s="1" t="n">
        <f aca="false">IF(ISNUMBER(E1976),E1976,VALUE(SUBSTITUTE(E1976,"#",".01")))</f>
        <v>-58104.976</v>
      </c>
    </row>
    <row r="1977" customFormat="false" ht="12.75" hidden="false" customHeight="false" outlineLevel="0" collapsed="false">
      <c r="A1977" s="1" t="n">
        <v>94</v>
      </c>
      <c r="B1977" s="1" t="n">
        <v>60</v>
      </c>
      <c r="C1977" s="1" t="n">
        <v>154</v>
      </c>
      <c r="D1977" s="1" t="s">
        <v>724</v>
      </c>
      <c r="E1977" s="1" t="n">
        <v>-65824.976</v>
      </c>
      <c r="F1977" s="1" t="n">
        <v>52.642</v>
      </c>
      <c r="G1977" s="1" t="n">
        <f aca="false">IF(ISNUMBER(E1977),E1977,VALUE(SUBSTITUTE(E1977,"#",".01")))</f>
        <v>-65824.976</v>
      </c>
    </row>
    <row r="1978" customFormat="false" ht="12.75" hidden="false" customHeight="false" outlineLevel="0" collapsed="false">
      <c r="A1978" s="1" t="n">
        <v>93</v>
      </c>
      <c r="B1978" s="1" t="n">
        <v>61</v>
      </c>
      <c r="C1978" s="1" t="n">
        <v>154</v>
      </c>
      <c r="D1978" s="1" t="s">
        <v>736</v>
      </c>
      <c r="E1978" s="1" t="n">
        <v>-68511.976</v>
      </c>
      <c r="F1978" s="1" t="n">
        <v>46.326</v>
      </c>
      <c r="G1978" s="1" t="n">
        <f aca="false">IF(ISNUMBER(E1978),E1978,VALUE(SUBSTITUTE(E1978,"#",".01")))</f>
        <v>-68511.976</v>
      </c>
    </row>
    <row r="1979" customFormat="false" ht="12.75" hidden="false" customHeight="false" outlineLevel="0" collapsed="false">
      <c r="A1979" s="1" t="n">
        <v>92</v>
      </c>
      <c r="B1979" s="1" t="n">
        <v>62</v>
      </c>
      <c r="C1979" s="1" t="n">
        <v>154</v>
      </c>
      <c r="D1979" s="1" t="s">
        <v>747</v>
      </c>
      <c r="E1979" s="1" t="n">
        <v>-72455.176</v>
      </c>
      <c r="F1979" s="1" t="n">
        <v>1.462</v>
      </c>
      <c r="G1979" s="1" t="n">
        <f aca="false">IF(ISNUMBER(E1979),E1979,VALUE(SUBSTITUTE(E1979,"#",".01")))</f>
        <v>-72455.176</v>
      </c>
    </row>
    <row r="1980" customFormat="false" ht="12.75" hidden="false" customHeight="false" outlineLevel="0" collapsed="false">
      <c r="A1980" s="1" t="n">
        <v>91</v>
      </c>
      <c r="B1980" s="1" t="n">
        <v>63</v>
      </c>
      <c r="C1980" s="1" t="n">
        <v>154</v>
      </c>
      <c r="D1980" s="1" t="s">
        <v>757</v>
      </c>
      <c r="E1980" s="1" t="n">
        <v>-71738.121</v>
      </c>
      <c r="F1980" s="1" t="n">
        <v>1.346</v>
      </c>
      <c r="G1980" s="1" t="n">
        <f aca="false">IF(ISNUMBER(E1980),E1980,VALUE(SUBSTITUTE(E1980,"#",".01")))</f>
        <v>-71738.121</v>
      </c>
    </row>
    <row r="1981" customFormat="false" ht="12.75" hidden="false" customHeight="false" outlineLevel="0" collapsed="false">
      <c r="A1981" s="1" t="n">
        <v>90</v>
      </c>
      <c r="B1981" s="1" t="n">
        <v>64</v>
      </c>
      <c r="C1981" s="1" t="n">
        <v>154</v>
      </c>
      <c r="D1981" s="1" t="s">
        <v>771</v>
      </c>
      <c r="E1981" s="1" t="n">
        <v>-73705.954</v>
      </c>
      <c r="F1981" s="1" t="n">
        <v>1.197</v>
      </c>
      <c r="G1981" s="1" t="n">
        <f aca="false">IF(ISNUMBER(E1981),E1981,VALUE(SUBSTITUTE(E1981,"#",".01")))</f>
        <v>-73705.954</v>
      </c>
    </row>
    <row r="1982" customFormat="false" ht="12.75" hidden="false" customHeight="false" outlineLevel="0" collapsed="false">
      <c r="A1982" s="1" t="n">
        <v>89</v>
      </c>
      <c r="B1982" s="1" t="n">
        <v>65</v>
      </c>
      <c r="C1982" s="1" t="n">
        <v>154</v>
      </c>
      <c r="D1982" s="1" t="s">
        <v>780</v>
      </c>
      <c r="E1982" s="1" t="n">
        <v>-70156.303</v>
      </c>
      <c r="F1982" s="1" t="n">
        <v>45.314</v>
      </c>
      <c r="G1982" s="1" t="n">
        <f aca="false">IF(ISNUMBER(E1982),E1982,VALUE(SUBSTITUTE(E1982,"#",".01")))</f>
        <v>-70156.303</v>
      </c>
    </row>
    <row r="1983" customFormat="false" ht="12.75" hidden="false" customHeight="false" outlineLevel="0" collapsed="false">
      <c r="A1983" s="1" t="n">
        <v>88</v>
      </c>
      <c r="B1983" s="1" t="n">
        <v>66</v>
      </c>
      <c r="C1983" s="1" t="n">
        <v>154</v>
      </c>
      <c r="D1983" s="1" t="s">
        <v>794</v>
      </c>
      <c r="E1983" s="1" t="n">
        <v>-70393.907</v>
      </c>
      <c r="F1983" s="1" t="n">
        <v>7.445</v>
      </c>
      <c r="G1983" s="1" t="n">
        <f aca="false">IF(ISNUMBER(E1983),E1983,VALUE(SUBSTITUTE(E1983,"#",".01")))</f>
        <v>-70393.907</v>
      </c>
    </row>
    <row r="1984" customFormat="false" ht="12.75" hidden="false" customHeight="false" outlineLevel="0" collapsed="false">
      <c r="A1984" s="1" t="n">
        <v>87</v>
      </c>
      <c r="B1984" s="1" t="n">
        <v>67</v>
      </c>
      <c r="C1984" s="1" t="n">
        <v>154</v>
      </c>
      <c r="D1984" s="1" t="s">
        <v>802</v>
      </c>
      <c r="E1984" s="1" t="n">
        <v>-64639.311</v>
      </c>
      <c r="F1984" s="1" t="n">
        <v>8.228</v>
      </c>
      <c r="G1984" s="1" t="n">
        <f aca="false">IF(ISNUMBER(E1984),E1984,VALUE(SUBSTITUTE(E1984,"#",".01")))</f>
        <v>-64639.311</v>
      </c>
    </row>
    <row r="1985" customFormat="false" ht="12.75" hidden="false" customHeight="false" outlineLevel="0" collapsed="false">
      <c r="A1985" s="1" t="n">
        <v>86</v>
      </c>
      <c r="B1985" s="1" t="n">
        <v>68</v>
      </c>
      <c r="C1985" s="1" t="n">
        <v>154</v>
      </c>
      <c r="D1985" s="1" t="s">
        <v>17</v>
      </c>
      <c r="E1985" s="1" t="n">
        <v>-62605.02</v>
      </c>
      <c r="F1985" s="1" t="n">
        <v>4.986</v>
      </c>
      <c r="G1985" s="1" t="n">
        <f aca="false">IF(ISNUMBER(E1985),E1985,VALUE(SUBSTITUTE(E1985,"#",".01")))</f>
        <v>-62605.02</v>
      </c>
    </row>
    <row r="1986" customFormat="false" ht="12.75" hidden="false" customHeight="false" outlineLevel="0" collapsed="false">
      <c r="A1986" s="1" t="n">
        <v>85</v>
      </c>
      <c r="B1986" s="1" t="n">
        <v>69</v>
      </c>
      <c r="C1986" s="1" t="n">
        <v>154</v>
      </c>
      <c r="D1986" s="1" t="s">
        <v>819</v>
      </c>
      <c r="E1986" s="1" t="n">
        <v>-54427.131</v>
      </c>
      <c r="F1986" s="1" t="n">
        <v>14.412</v>
      </c>
      <c r="G1986" s="1" t="n">
        <f aca="false">IF(ISNUMBER(E1986),E1986,VALUE(SUBSTITUTE(E1986,"#",".01")))</f>
        <v>-54427.131</v>
      </c>
    </row>
    <row r="1987" customFormat="false" ht="12.75" hidden="false" customHeight="false" outlineLevel="0" collapsed="false">
      <c r="A1987" s="1" t="n">
        <v>84</v>
      </c>
      <c r="B1987" s="1" t="n">
        <v>70</v>
      </c>
      <c r="C1987" s="1" t="n">
        <v>154</v>
      </c>
      <c r="D1987" s="1" t="s">
        <v>827</v>
      </c>
      <c r="E1987" s="1" t="n">
        <v>-49932.083</v>
      </c>
      <c r="F1987" s="1" t="n">
        <v>17.281</v>
      </c>
      <c r="G1987" s="1" t="n">
        <f aca="false">IF(ISNUMBER(E1987),E1987,VALUE(SUBSTITUTE(E1987,"#",".01")))</f>
        <v>-49932.083</v>
      </c>
    </row>
    <row r="1988" customFormat="false" ht="12.75" hidden="false" customHeight="false" outlineLevel="0" collapsed="false">
      <c r="A1988" s="1" t="n">
        <v>83</v>
      </c>
      <c r="B1988" s="1" t="n">
        <v>71</v>
      </c>
      <c r="C1988" s="1" t="n">
        <v>154</v>
      </c>
      <c r="D1988" s="1" t="s">
        <v>836</v>
      </c>
      <c r="E1988" s="1" t="s">
        <v>854</v>
      </c>
      <c r="F1988" s="1" t="s">
        <v>333</v>
      </c>
      <c r="G1988" s="1" t="n">
        <f aca="false">IF(ISNUMBER(E1988),E1988,VALUE(SUBSTITUTE(E1988,"#",".01")))</f>
        <v>-39715.01</v>
      </c>
    </row>
    <row r="1989" customFormat="false" ht="12.75" hidden="false" customHeight="false" outlineLevel="0" collapsed="false">
      <c r="A1989" s="1" t="n">
        <v>82</v>
      </c>
      <c r="B1989" s="1" t="n">
        <v>72</v>
      </c>
      <c r="C1989" s="1" t="n">
        <v>154</v>
      </c>
      <c r="D1989" s="1" t="s">
        <v>850</v>
      </c>
      <c r="E1989" s="1" t="s">
        <v>855</v>
      </c>
      <c r="F1989" s="1" t="s">
        <v>371</v>
      </c>
      <c r="G1989" s="1" t="n">
        <f aca="false">IF(ISNUMBER(E1989),E1989,VALUE(SUBSTITUTE(E1989,"#",".01")))</f>
        <v>-32670.01</v>
      </c>
    </row>
    <row r="1990" customFormat="false" ht="12.75" hidden="false" customHeight="false" outlineLevel="0" collapsed="false">
      <c r="A1990" s="1" t="n">
        <v>98</v>
      </c>
      <c r="B1990" s="1" t="n">
        <v>57</v>
      </c>
      <c r="C1990" s="1" t="n">
        <v>155</v>
      </c>
      <c r="D1990" s="1" t="s">
        <v>682</v>
      </c>
      <c r="E1990" s="1" t="s">
        <v>856</v>
      </c>
      <c r="F1990" s="1" t="s">
        <v>378</v>
      </c>
      <c r="G1990" s="1" t="n">
        <f aca="false">IF(ISNUMBER(E1990),E1990,VALUE(SUBSTITUTE(E1990,"#",".01")))</f>
        <v>-37930.01</v>
      </c>
    </row>
    <row r="1991" customFormat="false" ht="12.75" hidden="false" customHeight="false" outlineLevel="0" collapsed="false">
      <c r="A1991" s="1" t="n">
        <v>97</v>
      </c>
      <c r="B1991" s="1" t="n">
        <v>58</v>
      </c>
      <c r="C1991" s="1" t="n">
        <v>155</v>
      </c>
      <c r="D1991" s="1" t="s">
        <v>696</v>
      </c>
      <c r="E1991" s="1" t="s">
        <v>857</v>
      </c>
      <c r="F1991" s="1" t="s">
        <v>371</v>
      </c>
      <c r="G1991" s="1" t="n">
        <f aca="false">IF(ISNUMBER(E1991),E1991,VALUE(SUBSTITUTE(E1991,"#",".01")))</f>
        <v>-47780.01</v>
      </c>
    </row>
    <row r="1992" customFormat="false" ht="12.75" hidden="false" customHeight="false" outlineLevel="0" collapsed="false">
      <c r="A1992" s="1" t="n">
        <v>96</v>
      </c>
      <c r="B1992" s="1" t="n">
        <v>59</v>
      </c>
      <c r="C1992" s="1" t="n">
        <v>155</v>
      </c>
      <c r="D1992" s="1" t="s">
        <v>707</v>
      </c>
      <c r="E1992" s="1" t="n">
        <v>-55415.268</v>
      </c>
      <c r="F1992" s="1" t="n">
        <v>17.198</v>
      </c>
      <c r="G1992" s="1" t="n">
        <f aca="false">IF(ISNUMBER(E1992),E1992,VALUE(SUBSTITUTE(E1992,"#",".01")))</f>
        <v>-55415.268</v>
      </c>
    </row>
    <row r="1993" customFormat="false" ht="12.75" hidden="false" customHeight="false" outlineLevel="0" collapsed="false">
      <c r="A1993" s="1" t="n">
        <v>95</v>
      </c>
      <c r="B1993" s="1" t="n">
        <v>60</v>
      </c>
      <c r="C1993" s="1" t="n">
        <v>155</v>
      </c>
      <c r="D1993" s="1" t="s">
        <v>724</v>
      </c>
      <c r="E1993" s="1" t="n">
        <v>-62283.724</v>
      </c>
      <c r="F1993" s="1" t="n">
        <v>9.153</v>
      </c>
      <c r="G1993" s="1" t="n">
        <f aca="false">IF(ISNUMBER(E1993),E1993,VALUE(SUBSTITUTE(E1993,"#",".01")))</f>
        <v>-62283.724</v>
      </c>
    </row>
    <row r="1994" customFormat="false" ht="12.75" hidden="false" customHeight="false" outlineLevel="0" collapsed="false">
      <c r="A1994" s="1" t="n">
        <v>94</v>
      </c>
      <c r="B1994" s="1" t="n">
        <v>61</v>
      </c>
      <c r="C1994" s="1" t="n">
        <v>155</v>
      </c>
      <c r="D1994" s="1" t="s">
        <v>736</v>
      </c>
      <c r="E1994" s="1" t="n">
        <v>-66939.931</v>
      </c>
      <c r="F1994" s="1" t="n">
        <v>4.718</v>
      </c>
      <c r="G1994" s="1" t="n">
        <f aca="false">IF(ISNUMBER(E1994),E1994,VALUE(SUBSTITUTE(E1994,"#",".01")))</f>
        <v>-66939.931</v>
      </c>
    </row>
    <row r="1995" customFormat="false" ht="12.75" hidden="false" customHeight="false" outlineLevel="0" collapsed="false">
      <c r="A1995" s="1" t="n">
        <v>93</v>
      </c>
      <c r="B1995" s="1" t="n">
        <v>62</v>
      </c>
      <c r="C1995" s="1" t="n">
        <v>155</v>
      </c>
      <c r="D1995" s="1" t="s">
        <v>747</v>
      </c>
      <c r="E1995" s="1" t="n">
        <v>-70190.819</v>
      </c>
      <c r="F1995" s="1" t="n">
        <v>1.487</v>
      </c>
      <c r="G1995" s="1" t="n">
        <f aca="false">IF(ISNUMBER(E1995),E1995,VALUE(SUBSTITUTE(E1995,"#",".01")))</f>
        <v>-70190.819</v>
      </c>
    </row>
    <row r="1996" customFormat="false" ht="12.75" hidden="false" customHeight="false" outlineLevel="0" collapsed="false">
      <c r="A1996" s="1" t="n">
        <v>92</v>
      </c>
      <c r="B1996" s="1" t="n">
        <v>63</v>
      </c>
      <c r="C1996" s="1" t="n">
        <v>155</v>
      </c>
      <c r="D1996" s="1" t="s">
        <v>757</v>
      </c>
      <c r="E1996" s="1" t="n">
        <v>-71818.092</v>
      </c>
      <c r="F1996" s="1" t="n">
        <v>1.401</v>
      </c>
      <c r="G1996" s="1" t="n">
        <f aca="false">IF(ISNUMBER(E1996),E1996,VALUE(SUBSTITUTE(E1996,"#",".01")))</f>
        <v>-71818.092</v>
      </c>
    </row>
    <row r="1997" customFormat="false" ht="12.75" hidden="false" customHeight="false" outlineLevel="0" collapsed="false">
      <c r="A1997" s="1" t="n">
        <v>91</v>
      </c>
      <c r="B1997" s="1" t="n">
        <v>64</v>
      </c>
      <c r="C1997" s="1" t="n">
        <v>155</v>
      </c>
      <c r="D1997" s="1" t="s">
        <v>771</v>
      </c>
      <c r="E1997" s="1" t="n">
        <v>-72069.88</v>
      </c>
      <c r="F1997" s="1" t="n">
        <v>1.191</v>
      </c>
      <c r="G1997" s="1" t="n">
        <f aca="false">IF(ISNUMBER(E1997),E1997,VALUE(SUBSTITUTE(E1997,"#",".01")))</f>
        <v>-72069.88</v>
      </c>
    </row>
    <row r="1998" customFormat="false" ht="12.75" hidden="false" customHeight="false" outlineLevel="0" collapsed="false">
      <c r="A1998" s="1" t="n">
        <v>90</v>
      </c>
      <c r="B1998" s="1" t="n">
        <v>65</v>
      </c>
      <c r="C1998" s="1" t="n">
        <v>155</v>
      </c>
      <c r="D1998" s="1" t="s">
        <v>780</v>
      </c>
      <c r="E1998" s="1" t="n">
        <v>-71250.05</v>
      </c>
      <c r="F1998" s="1" t="n">
        <v>9.849</v>
      </c>
      <c r="G1998" s="1" t="n">
        <f aca="false">IF(ISNUMBER(E1998),E1998,VALUE(SUBSTITUTE(E1998,"#",".01")))</f>
        <v>-71250.05</v>
      </c>
    </row>
    <row r="1999" customFormat="false" ht="12.75" hidden="false" customHeight="false" outlineLevel="0" collapsed="false">
      <c r="A1999" s="1" t="n">
        <v>89</v>
      </c>
      <c r="B1999" s="1" t="n">
        <v>66</v>
      </c>
      <c r="C1999" s="1" t="n">
        <v>155</v>
      </c>
      <c r="D1999" s="1" t="s">
        <v>794</v>
      </c>
      <c r="E1999" s="1" t="n">
        <v>-69155.55</v>
      </c>
      <c r="F1999" s="1" t="n">
        <v>9.665</v>
      </c>
      <c r="G1999" s="1" t="n">
        <f aca="false">IF(ISNUMBER(E1999),E1999,VALUE(SUBSTITUTE(E1999,"#",".01")))</f>
        <v>-69155.55</v>
      </c>
    </row>
    <row r="2000" customFormat="false" ht="12.75" hidden="false" customHeight="false" outlineLevel="0" collapsed="false">
      <c r="A2000" s="1" t="n">
        <v>88</v>
      </c>
      <c r="B2000" s="1" t="n">
        <v>67</v>
      </c>
      <c r="C2000" s="1" t="n">
        <v>155</v>
      </c>
      <c r="D2000" s="1" t="s">
        <v>802</v>
      </c>
      <c r="E2000" s="1" t="n">
        <v>-66039.539</v>
      </c>
      <c r="F2000" s="1" t="n">
        <v>17.474</v>
      </c>
      <c r="G2000" s="1" t="n">
        <f aca="false">IF(ISNUMBER(E2000),E2000,VALUE(SUBSTITUTE(E2000,"#",".01")))</f>
        <v>-66039.539</v>
      </c>
    </row>
    <row r="2001" customFormat="false" ht="12.75" hidden="false" customHeight="false" outlineLevel="0" collapsed="false">
      <c r="A2001" s="1" t="n">
        <v>87</v>
      </c>
      <c r="B2001" s="1" t="n">
        <v>68</v>
      </c>
      <c r="C2001" s="1" t="n">
        <v>155</v>
      </c>
      <c r="D2001" s="1" t="s">
        <v>17</v>
      </c>
      <c r="E2001" s="1" t="n">
        <v>-62209.189</v>
      </c>
      <c r="F2001" s="1" t="n">
        <v>6.098</v>
      </c>
      <c r="G2001" s="1" t="n">
        <f aca="false">IF(ISNUMBER(E2001),E2001,VALUE(SUBSTITUTE(E2001,"#",".01")))</f>
        <v>-62209.189</v>
      </c>
    </row>
    <row r="2002" customFormat="false" ht="12.75" hidden="false" customHeight="false" outlineLevel="0" collapsed="false">
      <c r="A2002" s="1" t="n">
        <v>86</v>
      </c>
      <c r="B2002" s="1" t="n">
        <v>69</v>
      </c>
      <c r="C2002" s="1" t="n">
        <v>155</v>
      </c>
      <c r="D2002" s="1" t="s">
        <v>819</v>
      </c>
      <c r="E2002" s="1" t="n">
        <v>-56625.913</v>
      </c>
      <c r="F2002" s="1" t="n">
        <v>9.925</v>
      </c>
      <c r="G2002" s="1" t="n">
        <f aca="false">IF(ISNUMBER(E2002),E2002,VALUE(SUBSTITUTE(E2002,"#",".01")))</f>
        <v>-56625.913</v>
      </c>
    </row>
    <row r="2003" customFormat="false" ht="12.75" hidden="false" customHeight="false" outlineLevel="0" collapsed="false">
      <c r="A2003" s="1" t="n">
        <v>85</v>
      </c>
      <c r="B2003" s="1" t="n">
        <v>70</v>
      </c>
      <c r="C2003" s="1" t="n">
        <v>155</v>
      </c>
      <c r="D2003" s="1" t="s">
        <v>827</v>
      </c>
      <c r="E2003" s="1" t="n">
        <v>-50502.608</v>
      </c>
      <c r="F2003" s="1" t="n">
        <v>16.6</v>
      </c>
      <c r="G2003" s="1" t="n">
        <f aca="false">IF(ISNUMBER(E2003),E2003,VALUE(SUBSTITUTE(E2003,"#",".01")))</f>
        <v>-50502.608</v>
      </c>
    </row>
    <row r="2004" customFormat="false" ht="12.75" hidden="false" customHeight="false" outlineLevel="0" collapsed="false">
      <c r="A2004" s="1" t="n">
        <v>84</v>
      </c>
      <c r="B2004" s="1" t="n">
        <v>71</v>
      </c>
      <c r="C2004" s="1" t="n">
        <v>155</v>
      </c>
      <c r="D2004" s="1" t="s">
        <v>836</v>
      </c>
      <c r="E2004" s="1" t="n">
        <v>-42545.047</v>
      </c>
      <c r="F2004" s="1" t="n">
        <v>19.246</v>
      </c>
      <c r="G2004" s="1" t="n">
        <f aca="false">IF(ISNUMBER(E2004),E2004,VALUE(SUBSTITUTE(E2004,"#",".01")))</f>
        <v>-42545.047</v>
      </c>
    </row>
    <row r="2005" customFormat="false" ht="12.75" hidden="false" customHeight="false" outlineLevel="0" collapsed="false">
      <c r="A2005" s="1" t="n">
        <v>83</v>
      </c>
      <c r="B2005" s="1" t="n">
        <v>72</v>
      </c>
      <c r="C2005" s="1" t="n">
        <v>155</v>
      </c>
      <c r="D2005" s="1" t="s">
        <v>850</v>
      </c>
      <c r="E2005" s="1" t="s">
        <v>858</v>
      </c>
      <c r="F2005" s="1" t="s">
        <v>360</v>
      </c>
      <c r="G2005" s="1" t="n">
        <f aca="false">IF(ISNUMBER(E2005),E2005,VALUE(SUBSTITUTE(E2005,"#",".01")))</f>
        <v>-34170.01</v>
      </c>
    </row>
    <row r="2006" customFormat="false" ht="12.75" hidden="false" customHeight="false" outlineLevel="0" collapsed="false">
      <c r="A2006" s="1" t="n">
        <v>82</v>
      </c>
      <c r="B2006" s="1" t="n">
        <v>73</v>
      </c>
      <c r="C2006" s="1" t="n">
        <v>155</v>
      </c>
      <c r="D2006" s="1" t="s">
        <v>859</v>
      </c>
      <c r="E2006" s="1" t="s">
        <v>860</v>
      </c>
      <c r="F2006" s="1" t="s">
        <v>371</v>
      </c>
      <c r="G2006" s="1" t="n">
        <f aca="false">IF(ISNUMBER(E2006),E2006,VALUE(SUBSTITUTE(E2006,"#",".01")))</f>
        <v>-23928.01</v>
      </c>
    </row>
    <row r="2007" customFormat="false" ht="12.75" hidden="false" customHeight="false" outlineLevel="0" collapsed="false">
      <c r="A2007" s="1" t="n">
        <v>99</v>
      </c>
      <c r="B2007" s="1" t="n">
        <v>57</v>
      </c>
      <c r="C2007" s="1" t="n">
        <v>156</v>
      </c>
      <c r="D2007" s="1" t="s">
        <v>682</v>
      </c>
      <c r="E2007" s="1" t="s">
        <v>861</v>
      </c>
      <c r="F2007" s="1" t="s">
        <v>378</v>
      </c>
      <c r="G2007" s="1" t="n">
        <f aca="false">IF(ISNUMBER(E2007),E2007,VALUE(SUBSTITUTE(E2007,"#",".01")))</f>
        <v>-33050.01</v>
      </c>
    </row>
    <row r="2008" customFormat="false" ht="12.75" hidden="false" customHeight="false" outlineLevel="0" collapsed="false">
      <c r="A2008" s="1" t="n">
        <v>98</v>
      </c>
      <c r="B2008" s="1" t="n">
        <v>58</v>
      </c>
      <c r="C2008" s="1" t="n">
        <v>156</v>
      </c>
      <c r="D2008" s="1" t="s">
        <v>696</v>
      </c>
      <c r="E2008" s="1" t="s">
        <v>862</v>
      </c>
      <c r="F2008" s="1" t="s">
        <v>371</v>
      </c>
      <c r="G2008" s="1" t="n">
        <f aca="false">IF(ISNUMBER(E2008),E2008,VALUE(SUBSTITUTE(E2008,"#",".01")))</f>
        <v>-44820.01</v>
      </c>
    </row>
    <row r="2009" customFormat="false" ht="12.75" hidden="false" customHeight="false" outlineLevel="0" collapsed="false">
      <c r="A2009" s="1" t="n">
        <v>97</v>
      </c>
      <c r="B2009" s="1" t="n">
        <v>59</v>
      </c>
      <c r="C2009" s="1" t="n">
        <v>156</v>
      </c>
      <c r="D2009" s="1" t="s">
        <v>707</v>
      </c>
      <c r="E2009" s="1" t="s">
        <v>863</v>
      </c>
      <c r="F2009" s="1" t="s">
        <v>349</v>
      </c>
      <c r="G2009" s="1" t="n">
        <f aca="false">IF(ISNUMBER(E2009),E2009,VALUE(SUBSTITUTE(E2009,"#",".01")))</f>
        <v>-51568.01</v>
      </c>
    </row>
    <row r="2010" customFormat="false" ht="12.75" hidden="false" customHeight="false" outlineLevel="0" collapsed="false">
      <c r="A2010" s="1" t="n">
        <v>96</v>
      </c>
      <c r="B2010" s="1" t="n">
        <v>60</v>
      </c>
      <c r="C2010" s="1" t="n">
        <v>156</v>
      </c>
      <c r="D2010" s="1" t="s">
        <v>724</v>
      </c>
      <c r="E2010" s="1" t="n">
        <v>-60473.644</v>
      </c>
      <c r="F2010" s="1" t="n">
        <v>200.033</v>
      </c>
      <c r="G2010" s="1" t="n">
        <f aca="false">IF(ISNUMBER(E2010),E2010,VALUE(SUBSTITUTE(E2010,"#",".01")))</f>
        <v>-60473.644</v>
      </c>
    </row>
    <row r="2011" customFormat="false" ht="12.75" hidden="false" customHeight="false" outlineLevel="0" collapsed="false">
      <c r="A2011" s="1" t="n">
        <v>95</v>
      </c>
      <c r="B2011" s="1" t="n">
        <v>61</v>
      </c>
      <c r="C2011" s="1" t="n">
        <v>156</v>
      </c>
      <c r="D2011" s="1" t="s">
        <v>736</v>
      </c>
      <c r="E2011" s="1" t="n">
        <v>-64163.644</v>
      </c>
      <c r="F2011" s="1" t="n">
        <v>3.631</v>
      </c>
      <c r="G2011" s="1" t="n">
        <f aca="false">IF(ISNUMBER(E2011),E2011,VALUE(SUBSTITUTE(E2011,"#",".01")))</f>
        <v>-64163.644</v>
      </c>
    </row>
    <row r="2012" customFormat="false" ht="12.75" hidden="false" customHeight="false" outlineLevel="0" collapsed="false">
      <c r="A2012" s="1" t="n">
        <v>94</v>
      </c>
      <c r="B2012" s="1" t="n">
        <v>62</v>
      </c>
      <c r="C2012" s="1" t="n">
        <v>156</v>
      </c>
      <c r="D2012" s="1" t="s">
        <v>747</v>
      </c>
      <c r="E2012" s="1" t="n">
        <v>-69360.43</v>
      </c>
      <c r="F2012" s="1" t="n">
        <v>8.546</v>
      </c>
      <c r="G2012" s="1" t="n">
        <f aca="false">IF(ISNUMBER(E2012),E2012,VALUE(SUBSTITUTE(E2012,"#",".01")))</f>
        <v>-69360.43</v>
      </c>
    </row>
    <row r="2013" customFormat="false" ht="12.75" hidden="false" customHeight="false" outlineLevel="0" collapsed="false">
      <c r="A2013" s="1" t="n">
        <v>93</v>
      </c>
      <c r="B2013" s="1" t="n">
        <v>63</v>
      </c>
      <c r="C2013" s="1" t="n">
        <v>156</v>
      </c>
      <c r="D2013" s="1" t="s">
        <v>757</v>
      </c>
      <c r="E2013" s="1" t="n">
        <v>-70082.548</v>
      </c>
      <c r="F2013" s="1" t="n">
        <v>3.59</v>
      </c>
      <c r="G2013" s="1" t="n">
        <f aca="false">IF(ISNUMBER(E2013),E2013,VALUE(SUBSTITUTE(E2013,"#",".01")))</f>
        <v>-70082.548</v>
      </c>
    </row>
    <row r="2014" customFormat="false" ht="12.75" hidden="false" customHeight="false" outlineLevel="0" collapsed="false">
      <c r="A2014" s="1" t="n">
        <v>92</v>
      </c>
      <c r="B2014" s="1" t="n">
        <v>64</v>
      </c>
      <c r="C2014" s="1" t="n">
        <v>156</v>
      </c>
      <c r="D2014" s="1" t="s">
        <v>771</v>
      </c>
      <c r="E2014" s="1" t="n">
        <v>-72534.914</v>
      </c>
      <c r="F2014" s="1" t="n">
        <v>1.19</v>
      </c>
      <c r="G2014" s="1" t="n">
        <f aca="false">IF(ISNUMBER(E2014),E2014,VALUE(SUBSTITUTE(E2014,"#",".01")))</f>
        <v>-72534.914</v>
      </c>
    </row>
    <row r="2015" customFormat="false" ht="12.75" hidden="false" customHeight="false" outlineLevel="0" collapsed="false">
      <c r="A2015" s="1" t="n">
        <v>91</v>
      </c>
      <c r="B2015" s="1" t="n">
        <v>65</v>
      </c>
      <c r="C2015" s="1" t="n">
        <v>156</v>
      </c>
      <c r="D2015" s="1" t="s">
        <v>780</v>
      </c>
      <c r="E2015" s="1" t="n">
        <v>-70090.797</v>
      </c>
      <c r="F2015" s="1" t="n">
        <v>3.814</v>
      </c>
      <c r="G2015" s="1" t="n">
        <f aca="false">IF(ISNUMBER(E2015),E2015,VALUE(SUBSTITUTE(E2015,"#",".01")))</f>
        <v>-70090.797</v>
      </c>
    </row>
    <row r="2016" customFormat="false" ht="12.75" hidden="false" customHeight="false" outlineLevel="0" collapsed="false">
      <c r="A2016" s="1" t="n">
        <v>90</v>
      </c>
      <c r="B2016" s="1" t="n">
        <v>66</v>
      </c>
      <c r="C2016" s="1" t="n">
        <v>156</v>
      </c>
      <c r="D2016" s="1" t="s">
        <v>794</v>
      </c>
      <c r="E2016" s="1" t="n">
        <v>-70528.964</v>
      </c>
      <c r="F2016" s="1" t="n">
        <v>1.194</v>
      </c>
      <c r="G2016" s="1" t="n">
        <f aca="false">IF(ISNUMBER(E2016),E2016,VALUE(SUBSTITUTE(E2016,"#",".01")))</f>
        <v>-70528.964</v>
      </c>
    </row>
    <row r="2017" customFormat="false" ht="12.75" hidden="false" customHeight="false" outlineLevel="0" collapsed="false">
      <c r="A2017" s="1" t="n">
        <v>89</v>
      </c>
      <c r="B2017" s="1" t="n">
        <v>67</v>
      </c>
      <c r="C2017" s="1" t="n">
        <v>156</v>
      </c>
      <c r="D2017" s="1" t="s">
        <v>802</v>
      </c>
      <c r="E2017" s="1" t="n">
        <v>-65478.964</v>
      </c>
      <c r="F2017" s="1" t="n">
        <v>60.012</v>
      </c>
      <c r="G2017" s="1" t="n">
        <f aca="false">IF(ISNUMBER(E2017),E2017,VALUE(SUBSTITUTE(E2017,"#",".01")))</f>
        <v>-65478.964</v>
      </c>
    </row>
    <row r="2018" customFormat="false" ht="12.75" hidden="false" customHeight="false" outlineLevel="0" collapsed="false">
      <c r="A2018" s="1" t="n">
        <v>88</v>
      </c>
      <c r="B2018" s="1" t="n">
        <v>68</v>
      </c>
      <c r="C2018" s="1" t="n">
        <v>156</v>
      </c>
      <c r="D2018" s="1" t="s">
        <v>17</v>
      </c>
      <c r="E2018" s="1" t="n">
        <v>-64211.709</v>
      </c>
      <c r="F2018" s="1" t="n">
        <v>24.629</v>
      </c>
      <c r="G2018" s="1" t="n">
        <f aca="false">IF(ISNUMBER(E2018),E2018,VALUE(SUBSTITUTE(E2018,"#",".01")))</f>
        <v>-64211.709</v>
      </c>
    </row>
    <row r="2019" customFormat="false" ht="12.75" hidden="false" customHeight="false" outlineLevel="0" collapsed="false">
      <c r="A2019" s="1" t="n">
        <v>87</v>
      </c>
      <c r="B2019" s="1" t="n">
        <v>69</v>
      </c>
      <c r="C2019" s="1" t="n">
        <v>156</v>
      </c>
      <c r="D2019" s="1" t="s">
        <v>819</v>
      </c>
      <c r="E2019" s="1" t="n">
        <v>-56834.55</v>
      </c>
      <c r="F2019" s="1" t="n">
        <v>14.279</v>
      </c>
      <c r="G2019" s="1" t="n">
        <f aca="false">IF(ISNUMBER(E2019),E2019,VALUE(SUBSTITUTE(E2019,"#",".01")))</f>
        <v>-56834.55</v>
      </c>
    </row>
    <row r="2020" customFormat="false" ht="12.75" hidden="false" customHeight="false" outlineLevel="0" collapsed="false">
      <c r="A2020" s="1" t="n">
        <v>86</v>
      </c>
      <c r="B2020" s="1" t="n">
        <v>70</v>
      </c>
      <c r="C2020" s="1" t="n">
        <v>156</v>
      </c>
      <c r="D2020" s="1" t="s">
        <v>827</v>
      </c>
      <c r="E2020" s="1" t="n">
        <v>-53265.721</v>
      </c>
      <c r="F2020" s="1" t="n">
        <v>9.308</v>
      </c>
      <c r="G2020" s="1" t="n">
        <f aca="false">IF(ISNUMBER(E2020),E2020,VALUE(SUBSTITUTE(E2020,"#",".01")))</f>
        <v>-53265.721</v>
      </c>
    </row>
    <row r="2021" customFormat="false" ht="12.75" hidden="false" customHeight="false" outlineLevel="0" collapsed="false">
      <c r="A2021" s="1" t="n">
        <v>85</v>
      </c>
      <c r="B2021" s="1" t="n">
        <v>71</v>
      </c>
      <c r="C2021" s="1" t="n">
        <v>156</v>
      </c>
      <c r="D2021" s="1" t="s">
        <v>836</v>
      </c>
      <c r="E2021" s="1" t="n">
        <v>-43699.544</v>
      </c>
      <c r="F2021" s="1" t="n">
        <v>54.122</v>
      </c>
      <c r="G2021" s="1" t="n">
        <f aca="false">IF(ISNUMBER(E2021),E2021,VALUE(SUBSTITUTE(E2021,"#",".01")))</f>
        <v>-43699.544</v>
      </c>
    </row>
    <row r="2022" customFormat="false" ht="12.75" hidden="false" customHeight="false" outlineLevel="0" collapsed="false">
      <c r="A2022" s="1" t="n">
        <v>84</v>
      </c>
      <c r="B2022" s="1" t="n">
        <v>72</v>
      </c>
      <c r="C2022" s="1" t="n">
        <v>156</v>
      </c>
      <c r="D2022" s="1" t="s">
        <v>850</v>
      </c>
      <c r="E2022" s="1" t="n">
        <v>-37816.896</v>
      </c>
      <c r="F2022" s="1" t="n">
        <v>149.757</v>
      </c>
      <c r="G2022" s="1" t="n">
        <f aca="false">IF(ISNUMBER(E2022),E2022,VALUE(SUBSTITUTE(E2022,"#",".01")))</f>
        <v>-37816.896</v>
      </c>
    </row>
    <row r="2023" customFormat="false" ht="12.75" hidden="false" customHeight="false" outlineLevel="0" collapsed="false">
      <c r="A2023" s="1" t="n">
        <v>83</v>
      </c>
      <c r="B2023" s="1" t="n">
        <v>73</v>
      </c>
      <c r="C2023" s="1" t="n">
        <v>156</v>
      </c>
      <c r="D2023" s="1" t="s">
        <v>859</v>
      </c>
      <c r="E2023" s="1" t="s">
        <v>864</v>
      </c>
      <c r="F2023" s="1" t="s">
        <v>360</v>
      </c>
      <c r="G2023" s="1" t="n">
        <f aca="false">IF(ISNUMBER(E2023),E2023,VALUE(SUBSTITUTE(E2023,"#",".01")))</f>
        <v>-25861.01</v>
      </c>
    </row>
    <row r="2024" customFormat="false" ht="12.75" hidden="false" customHeight="false" outlineLevel="0" collapsed="false">
      <c r="A2024" s="1" t="n">
        <v>99</v>
      </c>
      <c r="B2024" s="1" t="n">
        <v>58</v>
      </c>
      <c r="C2024" s="1" t="n">
        <v>157</v>
      </c>
      <c r="D2024" s="1" t="s">
        <v>696</v>
      </c>
      <c r="E2024" s="1" t="s">
        <v>865</v>
      </c>
      <c r="F2024" s="1" t="s">
        <v>378</v>
      </c>
      <c r="G2024" s="1" t="n">
        <f aca="false">IF(ISNUMBER(E2024),E2024,VALUE(SUBSTITUTE(E2024,"#",".01")))</f>
        <v>-39930.01</v>
      </c>
    </row>
    <row r="2025" customFormat="false" ht="12.75" hidden="false" customHeight="false" outlineLevel="0" collapsed="false">
      <c r="A2025" s="1" t="n">
        <v>98</v>
      </c>
      <c r="B2025" s="1" t="n">
        <v>59</v>
      </c>
      <c r="C2025" s="1" t="n">
        <v>157</v>
      </c>
      <c r="D2025" s="1" t="s">
        <v>707</v>
      </c>
      <c r="E2025" s="1" t="s">
        <v>866</v>
      </c>
      <c r="F2025" s="1" t="s">
        <v>371</v>
      </c>
      <c r="G2025" s="1" t="n">
        <f aca="false">IF(ISNUMBER(E2025),E2025,VALUE(SUBSTITUTE(E2025,"#",".01")))</f>
        <v>-48540.01</v>
      </c>
    </row>
    <row r="2026" customFormat="false" ht="12.75" hidden="false" customHeight="false" outlineLevel="0" collapsed="false">
      <c r="A2026" s="1" t="n">
        <v>97</v>
      </c>
      <c r="B2026" s="1" t="n">
        <v>60</v>
      </c>
      <c r="C2026" s="1" t="n">
        <v>157</v>
      </c>
      <c r="D2026" s="1" t="s">
        <v>724</v>
      </c>
      <c r="E2026" s="1" t="n">
        <v>-56461.543</v>
      </c>
      <c r="F2026" s="1" t="n">
        <v>24.918</v>
      </c>
      <c r="G2026" s="1" t="n">
        <f aca="false">IF(ISNUMBER(E2026),E2026,VALUE(SUBSTITUTE(E2026,"#",".01")))</f>
        <v>-56461.543</v>
      </c>
    </row>
    <row r="2027" customFormat="false" ht="12.75" hidden="false" customHeight="false" outlineLevel="0" collapsed="false">
      <c r="A2027" s="1" t="n">
        <v>96</v>
      </c>
      <c r="B2027" s="1" t="n">
        <v>61</v>
      </c>
      <c r="C2027" s="1" t="n">
        <v>157</v>
      </c>
      <c r="D2027" s="1" t="s">
        <v>736</v>
      </c>
      <c r="E2027" s="1" t="n">
        <v>-62297.043</v>
      </c>
      <c r="F2027" s="1" t="n">
        <v>7.006</v>
      </c>
      <c r="G2027" s="1" t="n">
        <f aca="false">IF(ISNUMBER(E2027),E2027,VALUE(SUBSTITUTE(E2027,"#",".01")))</f>
        <v>-62297.043</v>
      </c>
    </row>
    <row r="2028" customFormat="false" ht="12.75" hidden="false" customHeight="false" outlineLevel="0" collapsed="false">
      <c r="A2028" s="1" t="n">
        <v>95</v>
      </c>
      <c r="B2028" s="1" t="n">
        <v>62</v>
      </c>
      <c r="C2028" s="1" t="n">
        <v>157</v>
      </c>
      <c r="D2028" s="1" t="s">
        <v>747</v>
      </c>
      <c r="E2028" s="1" t="n">
        <v>-66677.577</v>
      </c>
      <c r="F2028" s="1" t="n">
        <v>4.433</v>
      </c>
      <c r="G2028" s="1" t="n">
        <f aca="false">IF(ISNUMBER(E2028),E2028,VALUE(SUBSTITUTE(E2028,"#",".01")))</f>
        <v>-66677.577</v>
      </c>
    </row>
    <row r="2029" customFormat="false" ht="12.75" hidden="false" customHeight="false" outlineLevel="0" collapsed="false">
      <c r="A2029" s="1" t="n">
        <v>94</v>
      </c>
      <c r="B2029" s="1" t="n">
        <v>63</v>
      </c>
      <c r="C2029" s="1" t="n">
        <v>157</v>
      </c>
      <c r="D2029" s="1" t="s">
        <v>757</v>
      </c>
      <c r="E2029" s="1" t="n">
        <v>-69458.908</v>
      </c>
      <c r="F2029" s="1" t="n">
        <v>4.259</v>
      </c>
      <c r="G2029" s="1" t="n">
        <f aca="false">IF(ISNUMBER(E2029),E2029,VALUE(SUBSTITUTE(E2029,"#",".01")))</f>
        <v>-69458.908</v>
      </c>
    </row>
    <row r="2030" customFormat="false" ht="12.75" hidden="false" customHeight="false" outlineLevel="0" collapsed="false">
      <c r="A2030" s="1" t="n">
        <v>93</v>
      </c>
      <c r="B2030" s="1" t="n">
        <v>64</v>
      </c>
      <c r="C2030" s="1" t="n">
        <v>157</v>
      </c>
      <c r="D2030" s="1" t="s">
        <v>771</v>
      </c>
      <c r="E2030" s="1" t="n">
        <v>-70823.473</v>
      </c>
      <c r="F2030" s="1" t="n">
        <v>1.189</v>
      </c>
      <c r="G2030" s="1" t="n">
        <f aca="false">IF(ISNUMBER(E2030),E2030,VALUE(SUBSTITUTE(E2030,"#",".01")))</f>
        <v>-70823.473</v>
      </c>
    </row>
    <row r="2031" customFormat="false" ht="12.75" hidden="false" customHeight="false" outlineLevel="0" collapsed="false">
      <c r="A2031" s="1" t="n">
        <v>92</v>
      </c>
      <c r="B2031" s="1" t="n">
        <v>65</v>
      </c>
      <c r="C2031" s="1" t="n">
        <v>157</v>
      </c>
      <c r="D2031" s="1" t="s">
        <v>780</v>
      </c>
      <c r="E2031" s="1" t="n">
        <v>-70763.43</v>
      </c>
      <c r="F2031" s="1" t="n">
        <v>1.222</v>
      </c>
      <c r="G2031" s="1" t="n">
        <f aca="false">IF(ISNUMBER(E2031),E2031,VALUE(SUBSTITUTE(E2031,"#",".01")))</f>
        <v>-70763.43</v>
      </c>
    </row>
    <row r="2032" customFormat="false" ht="12.75" hidden="false" customHeight="false" outlineLevel="0" collapsed="false">
      <c r="A2032" s="1" t="n">
        <v>91</v>
      </c>
      <c r="B2032" s="1" t="n">
        <v>66</v>
      </c>
      <c r="C2032" s="1" t="n">
        <v>157</v>
      </c>
      <c r="D2032" s="1" t="s">
        <v>794</v>
      </c>
      <c r="E2032" s="1" t="n">
        <v>-69424.558</v>
      </c>
      <c r="F2032" s="1" t="n">
        <v>5.177</v>
      </c>
      <c r="G2032" s="1" t="n">
        <f aca="false">IF(ISNUMBER(E2032),E2032,VALUE(SUBSTITUTE(E2032,"#",".01")))</f>
        <v>-69424.558</v>
      </c>
    </row>
    <row r="2033" customFormat="false" ht="12.75" hidden="false" customHeight="false" outlineLevel="0" collapsed="false">
      <c r="A2033" s="1" t="n">
        <v>90</v>
      </c>
      <c r="B2033" s="1" t="n">
        <v>67</v>
      </c>
      <c r="C2033" s="1" t="n">
        <v>157</v>
      </c>
      <c r="D2033" s="1" t="s">
        <v>802</v>
      </c>
      <c r="E2033" s="1" t="n">
        <v>-66832.832</v>
      </c>
      <c r="F2033" s="1" t="n">
        <v>23.469</v>
      </c>
      <c r="G2033" s="1" t="n">
        <f aca="false">IF(ISNUMBER(E2033),E2033,VALUE(SUBSTITUTE(E2033,"#",".01")))</f>
        <v>-66832.832</v>
      </c>
    </row>
    <row r="2034" customFormat="false" ht="12.75" hidden="false" customHeight="false" outlineLevel="0" collapsed="false">
      <c r="A2034" s="1" t="n">
        <v>89</v>
      </c>
      <c r="B2034" s="1" t="n">
        <v>68</v>
      </c>
      <c r="C2034" s="1" t="n">
        <v>157</v>
      </c>
      <c r="D2034" s="1" t="s">
        <v>17</v>
      </c>
      <c r="E2034" s="1" t="n">
        <v>-63413.639</v>
      </c>
      <c r="F2034" s="1" t="n">
        <v>26.505</v>
      </c>
      <c r="G2034" s="1" t="n">
        <f aca="false">IF(ISNUMBER(E2034),E2034,VALUE(SUBSTITUTE(E2034,"#",".01")))</f>
        <v>-63413.639</v>
      </c>
    </row>
    <row r="2035" customFormat="false" ht="12.75" hidden="false" customHeight="false" outlineLevel="0" collapsed="false">
      <c r="A2035" s="1" t="n">
        <v>88</v>
      </c>
      <c r="B2035" s="1" t="n">
        <v>69</v>
      </c>
      <c r="C2035" s="1" t="n">
        <v>157</v>
      </c>
      <c r="D2035" s="1" t="s">
        <v>819</v>
      </c>
      <c r="E2035" s="1" t="n">
        <v>-58709.273</v>
      </c>
      <c r="F2035" s="1" t="n">
        <v>27.945</v>
      </c>
      <c r="G2035" s="1" t="n">
        <f aca="false">IF(ISNUMBER(E2035),E2035,VALUE(SUBSTITUTE(E2035,"#",".01")))</f>
        <v>-58709.273</v>
      </c>
    </row>
    <row r="2036" customFormat="false" ht="12.75" hidden="false" customHeight="false" outlineLevel="0" collapsed="false">
      <c r="A2036" s="1" t="n">
        <v>87</v>
      </c>
      <c r="B2036" s="1" t="n">
        <v>70</v>
      </c>
      <c r="C2036" s="1" t="n">
        <v>157</v>
      </c>
      <c r="D2036" s="1" t="s">
        <v>827</v>
      </c>
      <c r="E2036" s="1" t="n">
        <v>-53421.898</v>
      </c>
      <c r="F2036" s="1" t="n">
        <v>10.92</v>
      </c>
      <c r="G2036" s="1" t="n">
        <f aca="false">IF(ISNUMBER(E2036),E2036,VALUE(SUBSTITUTE(E2036,"#",".01")))</f>
        <v>-53421.898</v>
      </c>
    </row>
    <row r="2037" customFormat="false" ht="12.75" hidden="false" customHeight="false" outlineLevel="0" collapsed="false">
      <c r="A2037" s="1" t="n">
        <v>86</v>
      </c>
      <c r="B2037" s="1" t="n">
        <v>71</v>
      </c>
      <c r="C2037" s="1" t="n">
        <v>157</v>
      </c>
      <c r="D2037" s="1" t="s">
        <v>836</v>
      </c>
      <c r="E2037" s="1" t="n">
        <v>-46440.523</v>
      </c>
      <c r="F2037" s="1" t="n">
        <v>12.078</v>
      </c>
      <c r="G2037" s="1" t="n">
        <f aca="false">IF(ISNUMBER(E2037),E2037,VALUE(SUBSTITUTE(E2037,"#",".01")))</f>
        <v>-46440.523</v>
      </c>
    </row>
    <row r="2038" customFormat="false" ht="12.75" hidden="false" customHeight="false" outlineLevel="0" collapsed="false">
      <c r="A2038" s="1" t="n">
        <v>85</v>
      </c>
      <c r="B2038" s="1" t="n">
        <v>72</v>
      </c>
      <c r="C2038" s="1" t="n">
        <v>157</v>
      </c>
      <c r="D2038" s="1" t="s">
        <v>850</v>
      </c>
      <c r="E2038" s="1" t="s">
        <v>867</v>
      </c>
      <c r="F2038" s="1" t="s">
        <v>333</v>
      </c>
      <c r="G2038" s="1" t="n">
        <f aca="false">IF(ISNUMBER(E2038),E2038,VALUE(SUBSTITUTE(E2038,"#",".01")))</f>
        <v>-38903.01</v>
      </c>
    </row>
    <row r="2039" customFormat="false" ht="12.75" hidden="false" customHeight="false" outlineLevel="0" collapsed="false">
      <c r="A2039" s="1" t="n">
        <v>84</v>
      </c>
      <c r="B2039" s="1" t="n">
        <v>73</v>
      </c>
      <c r="C2039" s="1" t="n">
        <v>157</v>
      </c>
      <c r="D2039" s="1" t="s">
        <v>859</v>
      </c>
      <c r="E2039" s="1" t="n">
        <v>-29593.33</v>
      </c>
      <c r="F2039" s="1" t="n">
        <v>150.069</v>
      </c>
      <c r="G2039" s="1" t="n">
        <f aca="false">IF(ISNUMBER(E2039),E2039,VALUE(SUBSTITUTE(E2039,"#",".01")))</f>
        <v>-29593.33</v>
      </c>
    </row>
    <row r="2040" customFormat="false" ht="12.75" hidden="false" customHeight="false" outlineLevel="0" collapsed="false">
      <c r="A2040" s="1" t="n">
        <v>83</v>
      </c>
      <c r="B2040" s="1" t="n">
        <v>74</v>
      </c>
      <c r="C2040" s="1" t="n">
        <v>157</v>
      </c>
      <c r="D2040" s="1" t="s">
        <v>868</v>
      </c>
      <c r="E2040" s="1" t="s">
        <v>869</v>
      </c>
      <c r="F2040" s="1" t="s">
        <v>378</v>
      </c>
      <c r="G2040" s="1" t="n">
        <f aca="false">IF(ISNUMBER(E2040),E2040,VALUE(SUBSTITUTE(E2040,"#",".01")))</f>
        <v>-19470.01</v>
      </c>
    </row>
    <row r="2041" customFormat="false" ht="12.75" hidden="false" customHeight="false" outlineLevel="0" collapsed="false">
      <c r="A2041" s="1" t="n">
        <v>100</v>
      </c>
      <c r="B2041" s="1" t="n">
        <v>58</v>
      </c>
      <c r="C2041" s="1" t="n">
        <v>158</v>
      </c>
      <c r="D2041" s="1" t="s">
        <v>696</v>
      </c>
      <c r="E2041" s="1" t="s">
        <v>870</v>
      </c>
      <c r="F2041" s="1" t="s">
        <v>378</v>
      </c>
      <c r="G2041" s="1" t="n">
        <f aca="false">IF(ISNUMBER(E2041),E2041,VALUE(SUBSTITUTE(E2041,"#",".01")))</f>
        <v>-36660.01</v>
      </c>
    </row>
    <row r="2042" customFormat="false" ht="12.75" hidden="false" customHeight="false" outlineLevel="0" collapsed="false">
      <c r="A2042" s="1" t="n">
        <v>99</v>
      </c>
      <c r="B2042" s="1" t="n">
        <v>59</v>
      </c>
      <c r="C2042" s="1" t="n">
        <v>158</v>
      </c>
      <c r="D2042" s="1" t="s">
        <v>707</v>
      </c>
      <c r="E2042" s="1" t="s">
        <v>871</v>
      </c>
      <c r="F2042" s="1" t="s">
        <v>371</v>
      </c>
      <c r="G2042" s="1" t="n">
        <f aca="false">IF(ISNUMBER(E2042),E2042,VALUE(SUBSTITUTE(E2042,"#",".01")))</f>
        <v>-44330.01</v>
      </c>
    </row>
    <row r="2043" customFormat="false" ht="12.75" hidden="false" customHeight="false" outlineLevel="0" collapsed="false">
      <c r="A2043" s="1" t="n">
        <v>98</v>
      </c>
      <c r="B2043" s="1" t="n">
        <v>60</v>
      </c>
      <c r="C2043" s="1" t="n">
        <v>158</v>
      </c>
      <c r="D2043" s="1" t="s">
        <v>724</v>
      </c>
      <c r="E2043" s="1" t="s">
        <v>872</v>
      </c>
      <c r="F2043" s="1" t="s">
        <v>349</v>
      </c>
      <c r="G2043" s="1" t="n">
        <f aca="false">IF(ISNUMBER(E2043),E2043,VALUE(SUBSTITUTE(E2043,"#",".01")))</f>
        <v>-54055.01</v>
      </c>
    </row>
    <row r="2044" customFormat="false" ht="12.75" hidden="false" customHeight="false" outlineLevel="0" collapsed="false">
      <c r="A2044" s="1" t="n">
        <v>97</v>
      </c>
      <c r="B2044" s="1" t="n">
        <v>61</v>
      </c>
      <c r="C2044" s="1" t="n">
        <v>158</v>
      </c>
      <c r="D2044" s="1" t="s">
        <v>736</v>
      </c>
      <c r="E2044" s="1" t="n">
        <v>-59089.209</v>
      </c>
      <c r="F2044" s="1" t="n">
        <v>13.453</v>
      </c>
      <c r="G2044" s="1" t="n">
        <f aca="false">IF(ISNUMBER(E2044),E2044,VALUE(SUBSTITUTE(E2044,"#",".01")))</f>
        <v>-59089.209</v>
      </c>
    </row>
    <row r="2045" customFormat="false" ht="12.75" hidden="false" customHeight="false" outlineLevel="0" collapsed="false">
      <c r="A2045" s="1" t="n">
        <v>96</v>
      </c>
      <c r="B2045" s="1" t="n">
        <v>62</v>
      </c>
      <c r="C2045" s="1" t="n">
        <v>158</v>
      </c>
      <c r="D2045" s="1" t="s">
        <v>747</v>
      </c>
      <c r="E2045" s="1" t="n">
        <v>-65250.243</v>
      </c>
      <c r="F2045" s="1" t="n">
        <v>4.892</v>
      </c>
      <c r="G2045" s="1" t="n">
        <f aca="false">IF(ISNUMBER(E2045),E2045,VALUE(SUBSTITUTE(E2045,"#",".01")))</f>
        <v>-65250.243</v>
      </c>
    </row>
    <row r="2046" customFormat="false" ht="12.75" hidden="false" customHeight="false" outlineLevel="0" collapsed="false">
      <c r="A2046" s="1" t="n">
        <v>95</v>
      </c>
      <c r="B2046" s="1" t="n">
        <v>63</v>
      </c>
      <c r="C2046" s="1" t="n">
        <v>158</v>
      </c>
      <c r="D2046" s="1" t="s">
        <v>757</v>
      </c>
      <c r="E2046" s="1" t="n">
        <v>-67255.188</v>
      </c>
      <c r="F2046" s="1" t="n">
        <v>10.255</v>
      </c>
      <c r="G2046" s="1" t="n">
        <f aca="false">IF(ISNUMBER(E2046),E2046,VALUE(SUBSTITUTE(E2046,"#",".01")))</f>
        <v>-67255.188</v>
      </c>
    </row>
    <row r="2047" customFormat="false" ht="12.75" hidden="false" customHeight="false" outlineLevel="0" collapsed="false">
      <c r="A2047" s="1" t="n">
        <v>94</v>
      </c>
      <c r="B2047" s="1" t="n">
        <v>64</v>
      </c>
      <c r="C2047" s="1" t="n">
        <v>158</v>
      </c>
      <c r="D2047" s="1" t="s">
        <v>771</v>
      </c>
      <c r="E2047" s="1" t="n">
        <v>-70689.546</v>
      </c>
      <c r="F2047" s="1" t="n">
        <v>1.189</v>
      </c>
      <c r="G2047" s="1" t="n">
        <f aca="false">IF(ISNUMBER(E2047),E2047,VALUE(SUBSTITUTE(E2047,"#",".01")))</f>
        <v>-70689.546</v>
      </c>
    </row>
    <row r="2048" customFormat="false" ht="12.75" hidden="false" customHeight="false" outlineLevel="0" collapsed="false">
      <c r="A2048" s="1" t="n">
        <v>93</v>
      </c>
      <c r="B2048" s="1" t="n">
        <v>65</v>
      </c>
      <c r="C2048" s="1" t="n">
        <v>158</v>
      </c>
      <c r="D2048" s="1" t="s">
        <v>780</v>
      </c>
      <c r="E2048" s="1" t="n">
        <v>-69470.668</v>
      </c>
      <c r="F2048" s="1" t="n">
        <v>1.401</v>
      </c>
      <c r="G2048" s="1" t="n">
        <f aca="false">IF(ISNUMBER(E2048),E2048,VALUE(SUBSTITUTE(E2048,"#",".01")))</f>
        <v>-69470.668</v>
      </c>
    </row>
    <row r="2049" customFormat="false" ht="12.75" hidden="false" customHeight="false" outlineLevel="0" collapsed="false">
      <c r="A2049" s="1" t="n">
        <v>92</v>
      </c>
      <c r="B2049" s="1" t="n">
        <v>66</v>
      </c>
      <c r="C2049" s="1" t="n">
        <v>158</v>
      </c>
      <c r="D2049" s="1" t="s">
        <v>794</v>
      </c>
      <c r="E2049" s="1" t="n">
        <v>-70407.349</v>
      </c>
      <c r="F2049" s="1" t="n">
        <v>2.365</v>
      </c>
      <c r="G2049" s="1" t="n">
        <f aca="false">IF(ISNUMBER(E2049),E2049,VALUE(SUBSTITUTE(E2049,"#",".01")))</f>
        <v>-70407.349</v>
      </c>
    </row>
    <row r="2050" customFormat="false" ht="12.75" hidden="false" customHeight="false" outlineLevel="0" collapsed="false">
      <c r="A2050" s="1" t="n">
        <v>91</v>
      </c>
      <c r="B2050" s="1" t="n">
        <v>67</v>
      </c>
      <c r="C2050" s="1" t="n">
        <v>158</v>
      </c>
      <c r="D2050" s="1" t="s">
        <v>802</v>
      </c>
      <c r="E2050" s="1" t="n">
        <v>-66187.593</v>
      </c>
      <c r="F2050" s="1" t="n">
        <v>27.108</v>
      </c>
      <c r="G2050" s="1" t="n">
        <f aca="false">IF(ISNUMBER(E2050),E2050,VALUE(SUBSTITUTE(E2050,"#",".01")))</f>
        <v>-66187.593</v>
      </c>
    </row>
    <row r="2051" customFormat="false" ht="12.75" hidden="false" customHeight="false" outlineLevel="0" collapsed="false">
      <c r="A2051" s="1" t="n">
        <v>90</v>
      </c>
      <c r="B2051" s="1" t="n">
        <v>68</v>
      </c>
      <c r="C2051" s="1" t="n">
        <v>158</v>
      </c>
      <c r="D2051" s="1" t="s">
        <v>17</v>
      </c>
      <c r="E2051" s="1" t="n">
        <v>-65303.808</v>
      </c>
      <c r="F2051" s="1" t="n">
        <v>25.219</v>
      </c>
      <c r="G2051" s="1" t="n">
        <f aca="false">IF(ISNUMBER(E2051),E2051,VALUE(SUBSTITUTE(E2051,"#",".01")))</f>
        <v>-65303.808</v>
      </c>
    </row>
    <row r="2052" customFormat="false" ht="12.75" hidden="false" customHeight="false" outlineLevel="0" collapsed="false">
      <c r="A2052" s="1" t="n">
        <v>89</v>
      </c>
      <c r="B2052" s="1" t="n">
        <v>69</v>
      </c>
      <c r="C2052" s="1" t="n">
        <v>158</v>
      </c>
      <c r="D2052" s="1" t="s">
        <v>819</v>
      </c>
      <c r="E2052" s="1" t="n">
        <v>-58703.194</v>
      </c>
      <c r="F2052" s="1" t="n">
        <v>25.219</v>
      </c>
      <c r="G2052" s="1" t="n">
        <f aca="false">IF(ISNUMBER(E2052),E2052,VALUE(SUBSTITUTE(E2052,"#",".01")))</f>
        <v>-58703.194</v>
      </c>
    </row>
    <row r="2053" customFormat="false" ht="12.75" hidden="false" customHeight="false" outlineLevel="0" collapsed="false">
      <c r="A2053" s="1" t="n">
        <v>88</v>
      </c>
      <c r="B2053" s="1" t="n">
        <v>70</v>
      </c>
      <c r="C2053" s="1" t="n">
        <v>158</v>
      </c>
      <c r="D2053" s="1" t="s">
        <v>827</v>
      </c>
      <c r="E2053" s="1" t="n">
        <v>-56010.237</v>
      </c>
      <c r="F2053" s="1" t="n">
        <v>7.994</v>
      </c>
      <c r="G2053" s="1" t="n">
        <f aca="false">IF(ISNUMBER(E2053),E2053,VALUE(SUBSTITUTE(E2053,"#",".01")))</f>
        <v>-56010.237</v>
      </c>
    </row>
    <row r="2054" customFormat="false" ht="12.75" hidden="false" customHeight="false" outlineLevel="0" collapsed="false">
      <c r="A2054" s="1" t="n">
        <v>87</v>
      </c>
      <c r="B2054" s="1" t="n">
        <v>71</v>
      </c>
      <c r="C2054" s="1" t="n">
        <v>158</v>
      </c>
      <c r="D2054" s="1" t="s">
        <v>836</v>
      </c>
      <c r="E2054" s="1" t="n">
        <v>-47212.19</v>
      </c>
      <c r="F2054" s="1" t="n">
        <v>15.125</v>
      </c>
      <c r="G2054" s="1" t="n">
        <f aca="false">IF(ISNUMBER(E2054),E2054,VALUE(SUBSTITUTE(E2054,"#",".01")))</f>
        <v>-47212.19</v>
      </c>
    </row>
    <row r="2055" customFormat="false" ht="12.75" hidden="false" customHeight="false" outlineLevel="0" collapsed="false">
      <c r="A2055" s="1" t="n">
        <v>86</v>
      </c>
      <c r="B2055" s="1" t="n">
        <v>72</v>
      </c>
      <c r="C2055" s="1" t="n">
        <v>158</v>
      </c>
      <c r="D2055" s="1" t="s">
        <v>850</v>
      </c>
      <c r="E2055" s="1" t="n">
        <v>-42102.39</v>
      </c>
      <c r="F2055" s="1" t="n">
        <v>17.494</v>
      </c>
      <c r="G2055" s="1" t="n">
        <f aca="false">IF(ISNUMBER(E2055),E2055,VALUE(SUBSTITUTE(E2055,"#",".01")))</f>
        <v>-42102.39</v>
      </c>
    </row>
    <row r="2056" customFormat="false" ht="12.75" hidden="false" customHeight="false" outlineLevel="0" collapsed="false">
      <c r="A2056" s="1" t="n">
        <v>85</v>
      </c>
      <c r="B2056" s="1" t="n">
        <v>73</v>
      </c>
      <c r="C2056" s="1" t="n">
        <v>158</v>
      </c>
      <c r="D2056" s="1" t="s">
        <v>859</v>
      </c>
      <c r="E2056" s="1" t="s">
        <v>873</v>
      </c>
      <c r="F2056" s="1" t="s">
        <v>333</v>
      </c>
      <c r="G2056" s="1" t="n">
        <f aca="false">IF(ISNUMBER(E2056),E2056,VALUE(SUBSTITUTE(E2056,"#",".01")))</f>
        <v>-31167.01</v>
      </c>
    </row>
    <row r="2057" customFormat="false" ht="12.75" hidden="false" customHeight="false" outlineLevel="0" collapsed="false">
      <c r="A2057" s="1" t="n">
        <v>84</v>
      </c>
      <c r="B2057" s="1" t="n">
        <v>74</v>
      </c>
      <c r="C2057" s="1" t="n">
        <v>158</v>
      </c>
      <c r="D2057" s="1" t="s">
        <v>868</v>
      </c>
      <c r="E2057" s="1" t="s">
        <v>874</v>
      </c>
      <c r="F2057" s="1" t="s">
        <v>371</v>
      </c>
      <c r="G2057" s="1" t="n">
        <f aca="false">IF(ISNUMBER(E2057),E2057,VALUE(SUBSTITUTE(E2057,"#",".01")))</f>
        <v>-23633.01</v>
      </c>
    </row>
    <row r="2058" customFormat="false" ht="12.75" hidden="false" customHeight="false" outlineLevel="0" collapsed="false">
      <c r="A2058" s="1" t="n">
        <v>100</v>
      </c>
      <c r="B2058" s="1" t="n">
        <v>59</v>
      </c>
      <c r="C2058" s="1" t="n">
        <v>159</v>
      </c>
      <c r="D2058" s="1" t="s">
        <v>707</v>
      </c>
      <c r="E2058" s="1" t="s">
        <v>875</v>
      </c>
      <c r="F2058" s="1" t="s">
        <v>378</v>
      </c>
      <c r="G2058" s="1" t="n">
        <f aca="false">IF(ISNUMBER(E2058),E2058,VALUE(SUBSTITUTE(E2058,"#",".01")))</f>
        <v>-41088.01</v>
      </c>
    </row>
    <row r="2059" customFormat="false" ht="12.75" hidden="false" customHeight="false" outlineLevel="0" collapsed="false">
      <c r="A2059" s="1" t="n">
        <v>99</v>
      </c>
      <c r="B2059" s="1" t="n">
        <v>60</v>
      </c>
      <c r="C2059" s="1" t="n">
        <v>159</v>
      </c>
      <c r="D2059" s="1" t="s">
        <v>724</v>
      </c>
      <c r="E2059" s="1" t="s">
        <v>672</v>
      </c>
      <c r="F2059" s="1" t="s">
        <v>371</v>
      </c>
      <c r="G2059" s="1" t="n">
        <f aca="false">IF(ISNUMBER(E2059),E2059,VALUE(SUBSTITUTE(E2059,"#",".01")))</f>
        <v>-49807.01</v>
      </c>
    </row>
    <row r="2060" customFormat="false" ht="12.75" hidden="false" customHeight="false" outlineLevel="0" collapsed="false">
      <c r="A2060" s="1" t="n">
        <v>98</v>
      </c>
      <c r="B2060" s="1" t="n">
        <v>61</v>
      </c>
      <c r="C2060" s="1" t="n">
        <v>159</v>
      </c>
      <c r="D2060" s="1" t="s">
        <v>736</v>
      </c>
      <c r="E2060" s="1" t="n">
        <v>-56554.28</v>
      </c>
      <c r="F2060" s="1" t="n">
        <v>10.039</v>
      </c>
      <c r="G2060" s="1" t="n">
        <f aca="false">IF(ISNUMBER(E2060),E2060,VALUE(SUBSTITUTE(E2060,"#",".01")))</f>
        <v>-56554.28</v>
      </c>
    </row>
    <row r="2061" customFormat="false" ht="12.75" hidden="false" customHeight="false" outlineLevel="0" collapsed="false">
      <c r="A2061" s="1" t="n">
        <v>97</v>
      </c>
      <c r="B2061" s="1" t="n">
        <v>62</v>
      </c>
      <c r="C2061" s="1" t="n">
        <v>159</v>
      </c>
      <c r="D2061" s="1" t="s">
        <v>747</v>
      </c>
      <c r="E2061" s="1" t="n">
        <v>-62207.775</v>
      </c>
      <c r="F2061" s="1" t="n">
        <v>5.934</v>
      </c>
      <c r="G2061" s="1" t="n">
        <f aca="false">IF(ISNUMBER(E2061),E2061,VALUE(SUBSTITUTE(E2061,"#",".01")))</f>
        <v>-62207.775</v>
      </c>
    </row>
    <row r="2062" customFormat="false" ht="12.75" hidden="false" customHeight="false" outlineLevel="0" collapsed="false">
      <c r="A2062" s="1" t="n">
        <v>96</v>
      </c>
      <c r="B2062" s="1" t="n">
        <v>63</v>
      </c>
      <c r="C2062" s="1" t="n">
        <v>159</v>
      </c>
      <c r="D2062" s="1" t="s">
        <v>757</v>
      </c>
      <c r="E2062" s="1" t="n">
        <v>-66043.285</v>
      </c>
      <c r="F2062" s="1" t="n">
        <v>4.325</v>
      </c>
      <c r="G2062" s="1" t="n">
        <f aca="false">IF(ISNUMBER(E2062),E2062,VALUE(SUBSTITUTE(E2062,"#",".01")))</f>
        <v>-66043.285</v>
      </c>
    </row>
    <row r="2063" customFormat="false" ht="12.75" hidden="false" customHeight="false" outlineLevel="0" collapsed="false">
      <c r="A2063" s="1" t="n">
        <v>95</v>
      </c>
      <c r="B2063" s="1" t="n">
        <v>64</v>
      </c>
      <c r="C2063" s="1" t="n">
        <v>159</v>
      </c>
      <c r="D2063" s="1" t="s">
        <v>771</v>
      </c>
      <c r="E2063" s="1" t="n">
        <v>-68561.436</v>
      </c>
      <c r="F2063" s="1" t="n">
        <v>1.192</v>
      </c>
      <c r="G2063" s="1" t="n">
        <f aca="false">IF(ISNUMBER(E2063),E2063,VALUE(SUBSTITUTE(E2063,"#",".01")))</f>
        <v>-68561.436</v>
      </c>
    </row>
    <row r="2064" customFormat="false" ht="12.75" hidden="false" customHeight="false" outlineLevel="0" collapsed="false">
      <c r="A2064" s="1" t="n">
        <v>94</v>
      </c>
      <c r="B2064" s="1" t="n">
        <v>65</v>
      </c>
      <c r="C2064" s="1" t="n">
        <v>159</v>
      </c>
      <c r="D2064" s="1" t="s">
        <v>780</v>
      </c>
      <c r="E2064" s="1" t="n">
        <v>-69532.363</v>
      </c>
      <c r="F2064" s="1" t="n">
        <v>1.256</v>
      </c>
      <c r="G2064" s="1" t="n">
        <f aca="false">IF(ISNUMBER(E2064),E2064,VALUE(SUBSTITUTE(E2064,"#",".01")))</f>
        <v>-69532.363</v>
      </c>
    </row>
    <row r="2065" customFormat="false" ht="12.75" hidden="false" customHeight="false" outlineLevel="0" collapsed="false">
      <c r="A2065" s="1" t="n">
        <v>93</v>
      </c>
      <c r="B2065" s="1" t="n">
        <v>66</v>
      </c>
      <c r="C2065" s="1" t="n">
        <v>159</v>
      </c>
      <c r="D2065" s="1" t="s">
        <v>794</v>
      </c>
      <c r="E2065" s="1" t="n">
        <v>-69167.134</v>
      </c>
      <c r="F2065" s="1" t="n">
        <v>1.528</v>
      </c>
      <c r="G2065" s="1" t="n">
        <f aca="false">IF(ISNUMBER(E2065),E2065,VALUE(SUBSTITUTE(E2065,"#",".01")))</f>
        <v>-69167.134</v>
      </c>
    </row>
    <row r="2066" customFormat="false" ht="12.75" hidden="false" customHeight="false" outlineLevel="0" collapsed="false">
      <c r="A2066" s="1" t="n">
        <v>92</v>
      </c>
      <c r="B2066" s="1" t="n">
        <v>67</v>
      </c>
      <c r="C2066" s="1" t="n">
        <v>159</v>
      </c>
      <c r="D2066" s="1" t="s">
        <v>802</v>
      </c>
      <c r="E2066" s="1" t="n">
        <v>-67329.534</v>
      </c>
      <c r="F2066" s="1" t="n">
        <v>3.088</v>
      </c>
      <c r="G2066" s="1" t="n">
        <f aca="false">IF(ISNUMBER(E2066),E2066,VALUE(SUBSTITUTE(E2066,"#",".01")))</f>
        <v>-67329.534</v>
      </c>
    </row>
    <row r="2067" customFormat="false" ht="12.75" hidden="false" customHeight="false" outlineLevel="0" collapsed="false">
      <c r="A2067" s="1" t="n">
        <v>91</v>
      </c>
      <c r="B2067" s="1" t="n">
        <v>68</v>
      </c>
      <c r="C2067" s="1" t="n">
        <v>159</v>
      </c>
      <c r="D2067" s="1" t="s">
        <v>17</v>
      </c>
      <c r="E2067" s="1" t="n">
        <v>-64561.034</v>
      </c>
      <c r="F2067" s="1" t="n">
        <v>3.679</v>
      </c>
      <c r="G2067" s="1" t="n">
        <f aca="false">IF(ISNUMBER(E2067),E2067,VALUE(SUBSTITUTE(E2067,"#",".01")))</f>
        <v>-64561.034</v>
      </c>
    </row>
    <row r="2068" customFormat="false" ht="12.75" hidden="false" customHeight="false" outlineLevel="0" collapsed="false">
      <c r="A2068" s="1" t="n">
        <v>90</v>
      </c>
      <c r="B2068" s="1" t="n">
        <v>69</v>
      </c>
      <c r="C2068" s="1" t="n">
        <v>159</v>
      </c>
      <c r="D2068" s="1" t="s">
        <v>819</v>
      </c>
      <c r="E2068" s="1" t="n">
        <v>-60570.398</v>
      </c>
      <c r="F2068" s="1" t="n">
        <v>27.945</v>
      </c>
      <c r="G2068" s="1" t="n">
        <f aca="false">IF(ISNUMBER(E2068),E2068,VALUE(SUBSTITUTE(E2068,"#",".01")))</f>
        <v>-60570.398</v>
      </c>
    </row>
    <row r="2069" customFormat="false" ht="12.75" hidden="false" customHeight="false" outlineLevel="0" collapsed="false">
      <c r="A2069" s="1" t="n">
        <v>89</v>
      </c>
      <c r="B2069" s="1" t="n">
        <v>70</v>
      </c>
      <c r="C2069" s="1" t="n">
        <v>159</v>
      </c>
      <c r="D2069" s="1" t="s">
        <v>827</v>
      </c>
      <c r="E2069" s="1" t="n">
        <v>-55838.606</v>
      </c>
      <c r="F2069" s="1" t="n">
        <v>17.794</v>
      </c>
      <c r="G2069" s="1" t="n">
        <f aca="false">IF(ISNUMBER(E2069),E2069,VALUE(SUBSTITUTE(E2069,"#",".01")))</f>
        <v>-55838.606</v>
      </c>
    </row>
    <row r="2070" customFormat="false" ht="12.75" hidden="false" customHeight="false" outlineLevel="0" collapsed="false">
      <c r="A2070" s="1" t="n">
        <v>88</v>
      </c>
      <c r="B2070" s="1" t="n">
        <v>71</v>
      </c>
      <c r="C2070" s="1" t="n">
        <v>159</v>
      </c>
      <c r="D2070" s="1" t="s">
        <v>836</v>
      </c>
      <c r="E2070" s="1" t="n">
        <v>-49708.604</v>
      </c>
      <c r="F2070" s="1" t="n">
        <v>37.663</v>
      </c>
      <c r="G2070" s="1" t="n">
        <f aca="false">IF(ISNUMBER(E2070),E2070,VALUE(SUBSTITUTE(E2070,"#",".01")))</f>
        <v>-49708.604</v>
      </c>
    </row>
    <row r="2071" customFormat="false" ht="12.75" hidden="false" customHeight="false" outlineLevel="0" collapsed="false">
      <c r="A2071" s="1" t="n">
        <v>87</v>
      </c>
      <c r="B2071" s="1" t="n">
        <v>72</v>
      </c>
      <c r="C2071" s="1" t="n">
        <v>159</v>
      </c>
      <c r="D2071" s="1" t="s">
        <v>850</v>
      </c>
      <c r="E2071" s="1" t="n">
        <v>-42852.6</v>
      </c>
      <c r="F2071" s="1" t="n">
        <v>16.813</v>
      </c>
      <c r="G2071" s="1" t="n">
        <f aca="false">IF(ISNUMBER(E2071),E2071,VALUE(SUBSTITUTE(E2071,"#",".01")))</f>
        <v>-42852.6</v>
      </c>
    </row>
    <row r="2072" customFormat="false" ht="12.75" hidden="false" customHeight="false" outlineLevel="0" collapsed="false">
      <c r="A2072" s="1" t="n">
        <v>86</v>
      </c>
      <c r="B2072" s="1" t="n">
        <v>73</v>
      </c>
      <c r="C2072" s="1" t="n">
        <v>159</v>
      </c>
      <c r="D2072" s="1" t="s">
        <v>859</v>
      </c>
      <c r="E2072" s="1" t="n">
        <v>-34439.148</v>
      </c>
      <c r="F2072" s="1" t="n">
        <v>19.689</v>
      </c>
      <c r="G2072" s="1" t="n">
        <f aca="false">IF(ISNUMBER(E2072),E2072,VALUE(SUBSTITUTE(E2072,"#",".01")))</f>
        <v>-34439.148</v>
      </c>
    </row>
    <row r="2073" customFormat="false" ht="12.75" hidden="false" customHeight="false" outlineLevel="0" collapsed="false">
      <c r="A2073" s="1" t="n">
        <v>85</v>
      </c>
      <c r="B2073" s="1" t="n">
        <v>74</v>
      </c>
      <c r="C2073" s="1" t="n">
        <v>159</v>
      </c>
      <c r="D2073" s="1" t="s">
        <v>868</v>
      </c>
      <c r="E2073" s="1" t="s">
        <v>876</v>
      </c>
      <c r="F2073" s="1" t="s">
        <v>360</v>
      </c>
      <c r="G2073" s="1" t="n">
        <f aca="false">IF(ISNUMBER(E2073),E2073,VALUE(SUBSTITUTE(E2073,"#",".01")))</f>
        <v>-25295.01</v>
      </c>
    </row>
    <row r="2074" customFormat="false" ht="12.75" hidden="false" customHeight="false" outlineLevel="0" collapsed="false">
      <c r="A2074" s="1" t="n">
        <v>84</v>
      </c>
      <c r="B2074" s="1" t="n">
        <v>75</v>
      </c>
      <c r="C2074" s="1" t="n">
        <v>159</v>
      </c>
      <c r="D2074" s="1" t="s">
        <v>877</v>
      </c>
      <c r="E2074" s="1" t="s">
        <v>878</v>
      </c>
      <c r="F2074" s="1" t="s">
        <v>879</v>
      </c>
      <c r="G2074" s="1" t="n">
        <f aca="false">IF(ISNUMBER(E2074),E2074,VALUE(SUBSTITUTE(E2074,"#",".01")))</f>
        <v>-14745.01</v>
      </c>
    </row>
    <row r="2075" customFormat="false" ht="12.75" hidden="false" customHeight="false" outlineLevel="0" collapsed="false">
      <c r="A2075" s="1" t="n">
        <v>101</v>
      </c>
      <c r="B2075" s="1" t="n">
        <v>59</v>
      </c>
      <c r="C2075" s="1" t="n">
        <v>160</v>
      </c>
      <c r="D2075" s="1" t="s">
        <v>707</v>
      </c>
      <c r="E2075" s="1" t="s">
        <v>880</v>
      </c>
      <c r="F2075" s="1" t="s">
        <v>378</v>
      </c>
      <c r="G2075" s="1" t="n">
        <f aca="false">IF(ISNUMBER(E2075),E2075,VALUE(SUBSTITUTE(E2075,"#",".01")))</f>
        <v>-36520.01</v>
      </c>
    </row>
    <row r="2076" customFormat="false" ht="12.75" hidden="false" customHeight="false" outlineLevel="0" collapsed="false">
      <c r="A2076" s="1" t="n">
        <v>100</v>
      </c>
      <c r="B2076" s="1" t="n">
        <v>60</v>
      </c>
      <c r="C2076" s="1" t="n">
        <v>160</v>
      </c>
      <c r="D2076" s="1" t="s">
        <v>724</v>
      </c>
      <c r="E2076" s="1" t="s">
        <v>881</v>
      </c>
      <c r="F2076" s="1" t="s">
        <v>371</v>
      </c>
      <c r="G2076" s="1" t="n">
        <f aca="false">IF(ISNUMBER(E2076),E2076,VALUE(SUBSTITUTE(E2076,"#",".01")))</f>
        <v>-47134.01</v>
      </c>
    </row>
    <row r="2077" customFormat="false" ht="12.75" hidden="false" customHeight="false" outlineLevel="0" collapsed="false">
      <c r="A2077" s="1" t="n">
        <v>99</v>
      </c>
      <c r="B2077" s="1" t="n">
        <v>61</v>
      </c>
      <c r="C2077" s="1" t="n">
        <v>160</v>
      </c>
      <c r="D2077" s="1" t="s">
        <v>736</v>
      </c>
      <c r="E2077" s="1" t="s">
        <v>882</v>
      </c>
      <c r="F2077" s="1" t="s">
        <v>349</v>
      </c>
      <c r="G2077" s="1" t="n">
        <f aca="false">IF(ISNUMBER(E2077),E2077,VALUE(SUBSTITUTE(E2077,"#",".01")))</f>
        <v>-53002.01</v>
      </c>
    </row>
    <row r="2078" customFormat="false" ht="12.75" hidden="false" customHeight="false" outlineLevel="0" collapsed="false">
      <c r="A2078" s="1" t="n">
        <v>98</v>
      </c>
      <c r="B2078" s="1" t="n">
        <v>62</v>
      </c>
      <c r="C2078" s="1" t="n">
        <v>160</v>
      </c>
      <c r="D2078" s="1" t="s">
        <v>747</v>
      </c>
      <c r="E2078" s="1" t="n">
        <v>-60234.793</v>
      </c>
      <c r="F2078" s="1" t="n">
        <v>5.934</v>
      </c>
      <c r="G2078" s="1" t="n">
        <f aca="false">IF(ISNUMBER(E2078),E2078,VALUE(SUBSTITUTE(E2078,"#",".01")))</f>
        <v>-60234.793</v>
      </c>
    </row>
    <row r="2079" customFormat="false" ht="12.75" hidden="false" customHeight="false" outlineLevel="0" collapsed="false">
      <c r="A2079" s="1" t="n">
        <v>97</v>
      </c>
      <c r="B2079" s="1" t="n">
        <v>63</v>
      </c>
      <c r="C2079" s="1" t="n">
        <v>160</v>
      </c>
      <c r="D2079" s="1" t="s">
        <v>757</v>
      </c>
      <c r="E2079" s="1" t="n">
        <v>-63480.463</v>
      </c>
      <c r="F2079" s="1" t="n">
        <v>9.501</v>
      </c>
      <c r="G2079" s="1" t="n">
        <f aca="false">IF(ISNUMBER(E2079),E2079,VALUE(SUBSTITUTE(E2079,"#",".01")))</f>
        <v>-63480.463</v>
      </c>
    </row>
    <row r="2080" customFormat="false" ht="12.75" hidden="false" customHeight="false" outlineLevel="0" collapsed="false">
      <c r="A2080" s="1" t="n">
        <v>96</v>
      </c>
      <c r="B2080" s="1" t="n">
        <v>64</v>
      </c>
      <c r="C2080" s="1" t="n">
        <v>160</v>
      </c>
      <c r="D2080" s="1" t="s">
        <v>771</v>
      </c>
      <c r="E2080" s="1" t="n">
        <v>-67941.741</v>
      </c>
      <c r="F2080" s="1" t="n">
        <v>1.278</v>
      </c>
      <c r="G2080" s="1" t="n">
        <f aca="false">IF(ISNUMBER(E2080),E2080,VALUE(SUBSTITUTE(E2080,"#",".01")))</f>
        <v>-67941.741</v>
      </c>
    </row>
    <row r="2081" customFormat="false" ht="12.75" hidden="false" customHeight="false" outlineLevel="0" collapsed="false">
      <c r="A2081" s="1" t="n">
        <v>95</v>
      </c>
      <c r="B2081" s="1" t="n">
        <v>65</v>
      </c>
      <c r="C2081" s="1" t="n">
        <v>160</v>
      </c>
      <c r="D2081" s="1" t="s">
        <v>780</v>
      </c>
      <c r="E2081" s="1" t="n">
        <v>-67836.257</v>
      </c>
      <c r="F2081" s="1" t="n">
        <v>1.262</v>
      </c>
      <c r="G2081" s="1" t="n">
        <f aca="false">IF(ISNUMBER(E2081),E2081,VALUE(SUBSTITUTE(E2081,"#",".01")))</f>
        <v>-67836.257</v>
      </c>
    </row>
    <row r="2082" customFormat="false" ht="12.75" hidden="false" customHeight="false" outlineLevel="0" collapsed="false">
      <c r="A2082" s="1" t="n">
        <v>94</v>
      </c>
      <c r="B2082" s="1" t="n">
        <v>66</v>
      </c>
      <c r="C2082" s="1" t="n">
        <v>160</v>
      </c>
      <c r="D2082" s="1" t="s">
        <v>794</v>
      </c>
      <c r="E2082" s="1" t="n">
        <v>-69672.73</v>
      </c>
      <c r="F2082" s="1" t="n">
        <v>0.772</v>
      </c>
      <c r="G2082" s="1" t="n">
        <f aca="false">IF(ISNUMBER(E2082),E2082,VALUE(SUBSTITUTE(E2082,"#",".01")))</f>
        <v>-69672.73</v>
      </c>
    </row>
    <row r="2083" customFormat="false" ht="12.75" hidden="false" customHeight="false" outlineLevel="0" collapsed="false">
      <c r="A2083" s="1" t="n">
        <v>93</v>
      </c>
      <c r="B2083" s="1" t="n">
        <v>67</v>
      </c>
      <c r="C2083" s="1" t="n">
        <v>160</v>
      </c>
      <c r="D2083" s="1" t="s">
        <v>802</v>
      </c>
      <c r="E2083" s="1" t="n">
        <v>-66382.73</v>
      </c>
      <c r="F2083" s="1" t="n">
        <v>15.02</v>
      </c>
      <c r="G2083" s="1" t="n">
        <f aca="false">IF(ISNUMBER(E2083),E2083,VALUE(SUBSTITUTE(E2083,"#",".01")))</f>
        <v>-66382.73</v>
      </c>
    </row>
    <row r="2084" customFormat="false" ht="12.75" hidden="false" customHeight="false" outlineLevel="0" collapsed="false">
      <c r="A2084" s="1" t="n">
        <v>92</v>
      </c>
      <c r="B2084" s="1" t="n">
        <v>68</v>
      </c>
      <c r="C2084" s="1" t="n">
        <v>160</v>
      </c>
      <c r="D2084" s="1" t="s">
        <v>17</v>
      </c>
      <c r="E2084" s="1" t="n">
        <v>-66064.228</v>
      </c>
      <c r="F2084" s="1" t="n">
        <v>24.254</v>
      </c>
      <c r="G2084" s="1" t="n">
        <f aca="false">IF(ISNUMBER(E2084),E2084,VALUE(SUBSTITUTE(E2084,"#",".01")))</f>
        <v>-66064.228</v>
      </c>
    </row>
    <row r="2085" customFormat="false" ht="12.75" hidden="false" customHeight="false" outlineLevel="0" collapsed="false">
      <c r="A2085" s="1" t="n">
        <v>91</v>
      </c>
      <c r="B2085" s="1" t="n">
        <v>69</v>
      </c>
      <c r="C2085" s="1" t="n">
        <v>160</v>
      </c>
      <c r="D2085" s="1" t="s">
        <v>819</v>
      </c>
      <c r="E2085" s="1" t="n">
        <v>-60302.028</v>
      </c>
      <c r="F2085" s="1" t="n">
        <v>34.262</v>
      </c>
      <c r="G2085" s="1" t="n">
        <f aca="false">IF(ISNUMBER(E2085),E2085,VALUE(SUBSTITUTE(E2085,"#",".01")))</f>
        <v>-60302.028</v>
      </c>
    </row>
    <row r="2086" customFormat="false" ht="12.75" hidden="false" customHeight="false" outlineLevel="0" collapsed="false">
      <c r="A2086" s="1" t="n">
        <v>90</v>
      </c>
      <c r="B2086" s="1" t="n">
        <v>70</v>
      </c>
      <c r="C2086" s="1" t="n">
        <v>160</v>
      </c>
      <c r="D2086" s="1" t="s">
        <v>827</v>
      </c>
      <c r="E2086" s="1" t="n">
        <v>-58162.706</v>
      </c>
      <c r="F2086" s="1" t="n">
        <v>7.233</v>
      </c>
      <c r="G2086" s="1" t="n">
        <f aca="false">IF(ISNUMBER(E2086),E2086,VALUE(SUBSTITUTE(E2086,"#",".01")))</f>
        <v>-58162.706</v>
      </c>
    </row>
    <row r="2087" customFormat="false" ht="12.75" hidden="false" customHeight="false" outlineLevel="0" collapsed="false">
      <c r="A2087" s="1" t="n">
        <v>89</v>
      </c>
      <c r="B2087" s="1" t="n">
        <v>71</v>
      </c>
      <c r="C2087" s="1" t="n">
        <v>160</v>
      </c>
      <c r="D2087" s="1" t="s">
        <v>836</v>
      </c>
      <c r="E2087" s="1" t="n">
        <v>-50269.937</v>
      </c>
      <c r="F2087" s="1" t="n">
        <v>56.821</v>
      </c>
      <c r="G2087" s="1" t="n">
        <f aca="false">IF(ISNUMBER(E2087),E2087,VALUE(SUBSTITUTE(E2087,"#",".01")))</f>
        <v>-50269.937</v>
      </c>
    </row>
    <row r="2088" customFormat="false" ht="12.75" hidden="false" customHeight="false" outlineLevel="0" collapsed="false">
      <c r="A2088" s="1" t="n">
        <v>88</v>
      </c>
      <c r="B2088" s="1" t="n">
        <v>72</v>
      </c>
      <c r="C2088" s="1" t="n">
        <v>160</v>
      </c>
      <c r="D2088" s="1" t="s">
        <v>850</v>
      </c>
      <c r="E2088" s="1" t="n">
        <v>-45938.943</v>
      </c>
      <c r="F2088" s="1" t="n">
        <v>9.541</v>
      </c>
      <c r="G2088" s="1" t="n">
        <f aca="false">IF(ISNUMBER(E2088),E2088,VALUE(SUBSTITUTE(E2088,"#",".01")))</f>
        <v>-45938.943</v>
      </c>
    </row>
    <row r="2089" customFormat="false" ht="12.75" hidden="false" customHeight="false" outlineLevel="0" collapsed="false">
      <c r="A2089" s="1" t="n">
        <v>87</v>
      </c>
      <c r="B2089" s="1" t="n">
        <v>73</v>
      </c>
      <c r="C2089" s="1" t="n">
        <v>160</v>
      </c>
      <c r="D2089" s="1" t="s">
        <v>859</v>
      </c>
      <c r="E2089" s="1" t="n">
        <v>-35823.695</v>
      </c>
      <c r="F2089" s="1" t="n">
        <v>54.316</v>
      </c>
      <c r="G2089" s="1" t="n">
        <f aca="false">IF(ISNUMBER(E2089),E2089,VALUE(SUBSTITUTE(E2089,"#",".01")))</f>
        <v>-35823.695</v>
      </c>
    </row>
    <row r="2090" customFormat="false" ht="12.75" hidden="false" customHeight="false" outlineLevel="0" collapsed="false">
      <c r="A2090" s="1" t="n">
        <v>86</v>
      </c>
      <c r="B2090" s="1" t="n">
        <v>74</v>
      </c>
      <c r="C2090" s="1" t="n">
        <v>160</v>
      </c>
      <c r="D2090" s="1" t="s">
        <v>868</v>
      </c>
      <c r="E2090" s="1" t="n">
        <v>-29326.455</v>
      </c>
      <c r="F2090" s="1" t="n">
        <v>149.827</v>
      </c>
      <c r="G2090" s="1" t="n">
        <f aca="false">IF(ISNUMBER(E2090),E2090,VALUE(SUBSTITUTE(E2090,"#",".01")))</f>
        <v>-29326.455</v>
      </c>
    </row>
    <row r="2091" customFormat="false" ht="12.75" hidden="false" customHeight="false" outlineLevel="0" collapsed="false">
      <c r="A2091" s="1" t="n">
        <v>85</v>
      </c>
      <c r="B2091" s="1" t="n">
        <v>75</v>
      </c>
      <c r="C2091" s="1" t="n">
        <v>160</v>
      </c>
      <c r="D2091" s="1" t="s">
        <v>877</v>
      </c>
      <c r="E2091" s="1" t="s">
        <v>883</v>
      </c>
      <c r="F2091" s="1" t="s">
        <v>360</v>
      </c>
      <c r="G2091" s="1" t="n">
        <f aca="false">IF(ISNUMBER(E2091),E2091,VALUE(SUBSTITUTE(E2091,"#",".01")))</f>
        <v>-16739.01</v>
      </c>
    </row>
    <row r="2092" customFormat="false" ht="12.75" hidden="false" customHeight="false" outlineLevel="0" collapsed="false">
      <c r="A2092" s="1" t="n">
        <v>101</v>
      </c>
      <c r="B2092" s="1" t="n">
        <v>60</v>
      </c>
      <c r="C2092" s="1" t="n">
        <v>161</v>
      </c>
      <c r="D2092" s="1" t="s">
        <v>724</v>
      </c>
      <c r="E2092" s="1" t="s">
        <v>884</v>
      </c>
      <c r="F2092" s="1" t="s">
        <v>378</v>
      </c>
      <c r="G2092" s="1" t="n">
        <f aca="false">IF(ISNUMBER(E2092),E2092,VALUE(SUBSTITUTE(E2092,"#",".01")))</f>
        <v>-42588.01</v>
      </c>
    </row>
    <row r="2093" customFormat="false" ht="12.75" hidden="false" customHeight="false" outlineLevel="0" collapsed="false">
      <c r="A2093" s="1" t="n">
        <v>100</v>
      </c>
      <c r="B2093" s="1" t="n">
        <v>61</v>
      </c>
      <c r="C2093" s="1" t="n">
        <v>161</v>
      </c>
      <c r="D2093" s="1" t="s">
        <v>736</v>
      </c>
      <c r="E2093" s="1" t="s">
        <v>885</v>
      </c>
      <c r="F2093" s="1" t="s">
        <v>360</v>
      </c>
      <c r="G2093" s="1" t="n">
        <f aca="false">IF(ISNUMBER(E2093),E2093,VALUE(SUBSTITUTE(E2093,"#",".01")))</f>
        <v>-50235.01</v>
      </c>
    </row>
    <row r="2094" customFormat="false" ht="12.75" hidden="false" customHeight="false" outlineLevel="0" collapsed="false">
      <c r="A2094" s="1" t="n">
        <v>99</v>
      </c>
      <c r="B2094" s="1" t="n">
        <v>62</v>
      </c>
      <c r="C2094" s="1" t="n">
        <v>161</v>
      </c>
      <c r="D2094" s="1" t="s">
        <v>747</v>
      </c>
      <c r="E2094" s="1" t="n">
        <v>-56671.962</v>
      </c>
      <c r="F2094" s="1" t="n">
        <v>6.817</v>
      </c>
      <c r="G2094" s="1" t="n">
        <f aca="false">IF(ISNUMBER(E2094),E2094,VALUE(SUBSTITUTE(E2094,"#",".01")))</f>
        <v>-56671.962</v>
      </c>
    </row>
    <row r="2095" customFormat="false" ht="12.75" hidden="false" customHeight="false" outlineLevel="0" collapsed="false">
      <c r="A2095" s="1" t="n">
        <v>98</v>
      </c>
      <c r="B2095" s="1" t="n">
        <v>63</v>
      </c>
      <c r="C2095" s="1" t="n">
        <v>161</v>
      </c>
      <c r="D2095" s="1" t="s">
        <v>757</v>
      </c>
      <c r="E2095" s="1" t="n">
        <v>-61791.524</v>
      </c>
      <c r="F2095" s="1" t="n">
        <v>10.399</v>
      </c>
      <c r="G2095" s="1" t="n">
        <f aca="false">IF(ISNUMBER(E2095),E2095,VALUE(SUBSTITUTE(E2095,"#",".01")))</f>
        <v>-61791.524</v>
      </c>
    </row>
    <row r="2096" customFormat="false" ht="12.75" hidden="false" customHeight="false" outlineLevel="0" collapsed="false">
      <c r="A2096" s="1" t="n">
        <v>97</v>
      </c>
      <c r="B2096" s="1" t="n">
        <v>64</v>
      </c>
      <c r="C2096" s="1" t="n">
        <v>161</v>
      </c>
      <c r="D2096" s="1" t="s">
        <v>771</v>
      </c>
      <c r="E2096" s="1" t="n">
        <v>-65505.824</v>
      </c>
      <c r="F2096" s="1" t="n">
        <v>1.622</v>
      </c>
      <c r="G2096" s="1" t="n">
        <f aca="false">IF(ISNUMBER(E2096),E2096,VALUE(SUBSTITUTE(E2096,"#",".01")))</f>
        <v>-65505.824</v>
      </c>
    </row>
    <row r="2097" customFormat="false" ht="12.75" hidden="false" customHeight="false" outlineLevel="0" collapsed="false">
      <c r="A2097" s="1" t="n">
        <v>96</v>
      </c>
      <c r="B2097" s="1" t="n">
        <v>65</v>
      </c>
      <c r="C2097" s="1" t="n">
        <v>161</v>
      </c>
      <c r="D2097" s="1" t="s">
        <v>780</v>
      </c>
      <c r="E2097" s="1" t="n">
        <v>-67461.589</v>
      </c>
      <c r="F2097" s="1" t="n">
        <v>1.35</v>
      </c>
      <c r="G2097" s="1" t="n">
        <f aca="false">IF(ISNUMBER(E2097),E2097,VALUE(SUBSTITUTE(E2097,"#",".01")))</f>
        <v>-67461.589</v>
      </c>
    </row>
    <row r="2098" customFormat="false" ht="12.75" hidden="false" customHeight="false" outlineLevel="0" collapsed="false">
      <c r="A2098" s="1" t="n">
        <v>95</v>
      </c>
      <c r="B2098" s="1" t="n">
        <v>66</v>
      </c>
      <c r="C2098" s="1" t="n">
        <v>161</v>
      </c>
      <c r="D2098" s="1" t="s">
        <v>794</v>
      </c>
      <c r="E2098" s="1" t="n">
        <v>-68055.801</v>
      </c>
      <c r="F2098" s="1" t="n">
        <v>0.768</v>
      </c>
      <c r="G2098" s="1" t="n">
        <f aca="false">IF(ISNUMBER(E2098),E2098,VALUE(SUBSTITUTE(E2098,"#",".01")))</f>
        <v>-68055.801</v>
      </c>
    </row>
    <row r="2099" customFormat="false" ht="12.75" hidden="false" customHeight="false" outlineLevel="0" collapsed="false">
      <c r="A2099" s="1" t="n">
        <v>94</v>
      </c>
      <c r="B2099" s="1" t="n">
        <v>67</v>
      </c>
      <c r="C2099" s="1" t="n">
        <v>161</v>
      </c>
      <c r="D2099" s="1" t="s">
        <v>802</v>
      </c>
      <c r="E2099" s="1" t="n">
        <v>-67197.27</v>
      </c>
      <c r="F2099" s="1" t="n">
        <v>2.242</v>
      </c>
      <c r="G2099" s="1" t="n">
        <f aca="false">IF(ISNUMBER(E2099),E2099,VALUE(SUBSTITUTE(E2099,"#",".01")))</f>
        <v>-67197.27</v>
      </c>
    </row>
    <row r="2100" customFormat="false" ht="12.75" hidden="false" customHeight="false" outlineLevel="0" collapsed="false">
      <c r="A2100" s="1" t="n">
        <v>93</v>
      </c>
      <c r="B2100" s="1" t="n">
        <v>68</v>
      </c>
      <c r="C2100" s="1" t="n">
        <v>161</v>
      </c>
      <c r="D2100" s="1" t="s">
        <v>17</v>
      </c>
      <c r="E2100" s="1" t="n">
        <v>-65201.608</v>
      </c>
      <c r="F2100" s="1" t="n">
        <v>8.78</v>
      </c>
      <c r="G2100" s="1" t="n">
        <f aca="false">IF(ISNUMBER(E2100),E2100,VALUE(SUBSTITUTE(E2100,"#",".01")))</f>
        <v>-65201.608</v>
      </c>
    </row>
    <row r="2101" customFormat="false" ht="12.75" hidden="false" customHeight="false" outlineLevel="0" collapsed="false">
      <c r="A2101" s="1" t="n">
        <v>92</v>
      </c>
      <c r="B2101" s="1" t="n">
        <v>69</v>
      </c>
      <c r="C2101" s="1" t="n">
        <v>161</v>
      </c>
      <c r="D2101" s="1" t="s">
        <v>819</v>
      </c>
      <c r="E2101" s="1" t="n">
        <v>-61898.708</v>
      </c>
      <c r="F2101" s="1" t="n">
        <v>27.945</v>
      </c>
      <c r="G2101" s="1" t="n">
        <f aca="false">IF(ISNUMBER(E2101),E2101,VALUE(SUBSTITUTE(E2101,"#",".01")))</f>
        <v>-61898.708</v>
      </c>
    </row>
    <row r="2102" customFormat="false" ht="12.75" hidden="false" customHeight="false" outlineLevel="0" collapsed="false">
      <c r="A2102" s="1" t="n">
        <v>91</v>
      </c>
      <c r="B2102" s="1" t="n">
        <v>70</v>
      </c>
      <c r="C2102" s="1" t="n">
        <v>161</v>
      </c>
      <c r="D2102" s="1" t="s">
        <v>827</v>
      </c>
      <c r="E2102" s="1" t="n">
        <v>-57839.4</v>
      </c>
      <c r="F2102" s="1" t="n">
        <v>15.354</v>
      </c>
      <c r="G2102" s="1" t="n">
        <f aca="false">IF(ISNUMBER(E2102),E2102,VALUE(SUBSTITUTE(E2102,"#",".01")))</f>
        <v>-57839.4</v>
      </c>
    </row>
    <row r="2103" customFormat="false" ht="12.75" hidden="false" customHeight="false" outlineLevel="0" collapsed="false">
      <c r="A2103" s="1" t="n">
        <v>90</v>
      </c>
      <c r="B2103" s="1" t="n">
        <v>71</v>
      </c>
      <c r="C2103" s="1" t="n">
        <v>161</v>
      </c>
      <c r="D2103" s="1" t="s">
        <v>836</v>
      </c>
      <c r="E2103" s="1" t="n">
        <v>-52562.344</v>
      </c>
      <c r="F2103" s="1" t="n">
        <v>27.945</v>
      </c>
      <c r="G2103" s="1" t="n">
        <f aca="false">IF(ISNUMBER(E2103),E2103,VALUE(SUBSTITUTE(E2103,"#",".01")))</f>
        <v>-52562.344</v>
      </c>
    </row>
    <row r="2104" customFormat="false" ht="12.75" hidden="false" customHeight="false" outlineLevel="0" collapsed="false">
      <c r="A2104" s="1" t="n">
        <v>89</v>
      </c>
      <c r="B2104" s="1" t="n">
        <v>72</v>
      </c>
      <c r="C2104" s="1" t="n">
        <v>161</v>
      </c>
      <c r="D2104" s="1" t="s">
        <v>850</v>
      </c>
      <c r="E2104" s="1" t="n">
        <v>-46314.672</v>
      </c>
      <c r="F2104" s="1" t="n">
        <v>22.551</v>
      </c>
      <c r="G2104" s="1" t="n">
        <f aca="false">IF(ISNUMBER(E2104),E2104,VALUE(SUBSTITUTE(E2104,"#",".01")))</f>
        <v>-46314.672</v>
      </c>
    </row>
    <row r="2105" customFormat="false" ht="12.75" hidden="false" customHeight="false" outlineLevel="0" collapsed="false">
      <c r="A2105" s="1" t="n">
        <v>88</v>
      </c>
      <c r="B2105" s="1" t="n">
        <v>73</v>
      </c>
      <c r="C2105" s="1" t="n">
        <v>161</v>
      </c>
      <c r="D2105" s="1" t="s">
        <v>859</v>
      </c>
      <c r="E2105" s="1" t="n">
        <v>-38778.997</v>
      </c>
      <c r="F2105" s="1" t="n">
        <v>24.382</v>
      </c>
      <c r="G2105" s="1" t="n">
        <f aca="false">IF(ISNUMBER(E2105),E2105,VALUE(SUBSTITUTE(E2105,"#",".01")))</f>
        <v>-38778.997</v>
      </c>
    </row>
    <row r="2106" customFormat="false" ht="12.75" hidden="false" customHeight="false" outlineLevel="0" collapsed="false">
      <c r="A2106" s="1" t="n">
        <v>87</v>
      </c>
      <c r="B2106" s="1" t="n">
        <v>74</v>
      </c>
      <c r="C2106" s="1" t="n">
        <v>161</v>
      </c>
      <c r="D2106" s="1" t="s">
        <v>868</v>
      </c>
      <c r="E2106" s="1" t="s">
        <v>886</v>
      </c>
      <c r="F2106" s="1" t="s">
        <v>333</v>
      </c>
      <c r="G2106" s="1" t="n">
        <f aca="false">IF(ISNUMBER(E2106),E2106,VALUE(SUBSTITUTE(E2106,"#",".01")))</f>
        <v>-30555.01</v>
      </c>
    </row>
    <row r="2107" customFormat="false" ht="12.75" hidden="false" customHeight="false" outlineLevel="0" collapsed="false">
      <c r="A2107" s="1" t="n">
        <v>86</v>
      </c>
      <c r="B2107" s="1" t="n">
        <v>75</v>
      </c>
      <c r="C2107" s="1" t="n">
        <v>161</v>
      </c>
      <c r="D2107" s="1" t="s">
        <v>877</v>
      </c>
      <c r="E2107" s="1" t="n">
        <v>-20840.203</v>
      </c>
      <c r="F2107" s="1" t="n">
        <v>149.922</v>
      </c>
      <c r="G2107" s="1" t="n">
        <f aca="false">IF(ISNUMBER(E2107),E2107,VALUE(SUBSTITUTE(E2107,"#",".01")))</f>
        <v>-20840.203</v>
      </c>
    </row>
    <row r="2108" customFormat="false" ht="12.75" hidden="false" customHeight="false" outlineLevel="0" collapsed="false">
      <c r="A2108" s="1" t="n">
        <v>85</v>
      </c>
      <c r="B2108" s="1" t="n">
        <v>76</v>
      </c>
      <c r="C2108" s="1" t="n">
        <v>161</v>
      </c>
      <c r="D2108" s="1" t="s">
        <v>887</v>
      </c>
      <c r="E2108" s="1" t="s">
        <v>888</v>
      </c>
      <c r="F2108" s="1" t="s">
        <v>378</v>
      </c>
      <c r="G2108" s="1" t="n">
        <f aca="false">IF(ISNUMBER(E2108),E2108,VALUE(SUBSTITUTE(E2108,"#",".01")))</f>
        <v>-9979.01</v>
      </c>
    </row>
    <row r="2109" customFormat="false" ht="12.75" hidden="false" customHeight="false" outlineLevel="0" collapsed="false">
      <c r="A2109" s="1" t="n">
        <v>102</v>
      </c>
      <c r="B2109" s="1" t="n">
        <v>60</v>
      </c>
      <c r="C2109" s="1" t="n">
        <v>162</v>
      </c>
      <c r="D2109" s="1" t="s">
        <v>724</v>
      </c>
      <c r="E2109" s="1" t="s">
        <v>889</v>
      </c>
      <c r="F2109" s="1" t="s">
        <v>378</v>
      </c>
      <c r="G2109" s="1" t="n">
        <f aca="false">IF(ISNUMBER(E2109),E2109,VALUE(SUBSTITUTE(E2109,"#",".01")))</f>
        <v>-39550.01</v>
      </c>
    </row>
    <row r="2110" customFormat="false" ht="12.75" hidden="false" customHeight="false" outlineLevel="0" collapsed="false">
      <c r="A2110" s="1" t="n">
        <v>101</v>
      </c>
      <c r="B2110" s="1" t="n">
        <v>61</v>
      </c>
      <c r="C2110" s="1" t="n">
        <v>162</v>
      </c>
      <c r="D2110" s="1" t="s">
        <v>736</v>
      </c>
      <c r="E2110" s="1" t="s">
        <v>808</v>
      </c>
      <c r="F2110" s="1" t="s">
        <v>371</v>
      </c>
      <c r="G2110" s="1" t="n">
        <f aca="false">IF(ISNUMBER(E2110),E2110,VALUE(SUBSTITUTE(E2110,"#",".01")))</f>
        <v>-46370.01</v>
      </c>
    </row>
    <row r="2111" customFormat="false" ht="12.75" hidden="false" customHeight="false" outlineLevel="0" collapsed="false">
      <c r="A2111" s="1" t="n">
        <v>100</v>
      </c>
      <c r="B2111" s="1" t="n">
        <v>62</v>
      </c>
      <c r="C2111" s="1" t="n">
        <v>162</v>
      </c>
      <c r="D2111" s="1" t="s">
        <v>747</v>
      </c>
      <c r="E2111" s="1" t="s">
        <v>890</v>
      </c>
      <c r="F2111" s="1" t="s">
        <v>333</v>
      </c>
      <c r="G2111" s="1" t="n">
        <f aca="false">IF(ISNUMBER(E2111),E2111,VALUE(SUBSTITUTE(E2111,"#",".01")))</f>
        <v>-54530.01</v>
      </c>
    </row>
    <row r="2112" customFormat="false" ht="12.75" hidden="false" customHeight="false" outlineLevel="0" collapsed="false">
      <c r="A2112" s="1" t="n">
        <v>99</v>
      </c>
      <c r="B2112" s="1" t="n">
        <v>63</v>
      </c>
      <c r="C2112" s="1" t="n">
        <v>162</v>
      </c>
      <c r="D2112" s="1" t="s">
        <v>757</v>
      </c>
      <c r="E2112" s="1" t="n">
        <v>-58703.401</v>
      </c>
      <c r="F2112" s="1" t="n">
        <v>35.229</v>
      </c>
      <c r="G2112" s="1" t="n">
        <f aca="false">IF(ISNUMBER(E2112),E2112,VALUE(SUBSTITUTE(E2112,"#",".01")))</f>
        <v>-58703.401</v>
      </c>
    </row>
    <row r="2113" customFormat="false" ht="12.75" hidden="false" customHeight="false" outlineLevel="0" collapsed="false">
      <c r="A2113" s="1" t="n">
        <v>98</v>
      </c>
      <c r="B2113" s="1" t="n">
        <v>64</v>
      </c>
      <c r="C2113" s="1" t="n">
        <v>162</v>
      </c>
      <c r="D2113" s="1" t="s">
        <v>771</v>
      </c>
      <c r="E2113" s="1" t="n">
        <v>-64280.401</v>
      </c>
      <c r="F2113" s="1" t="n">
        <v>4.009</v>
      </c>
      <c r="G2113" s="1" t="n">
        <f aca="false">IF(ISNUMBER(E2113),E2113,VALUE(SUBSTITUTE(E2113,"#",".01")))</f>
        <v>-64280.401</v>
      </c>
    </row>
    <row r="2114" customFormat="false" ht="12.75" hidden="false" customHeight="false" outlineLevel="0" collapsed="false">
      <c r="A2114" s="1" t="n">
        <v>97</v>
      </c>
      <c r="B2114" s="1" t="n">
        <v>65</v>
      </c>
      <c r="C2114" s="1" t="n">
        <v>162</v>
      </c>
      <c r="D2114" s="1" t="s">
        <v>780</v>
      </c>
      <c r="E2114" s="1" t="n">
        <v>-65675.958</v>
      </c>
      <c r="F2114" s="1" t="n">
        <v>36.372</v>
      </c>
      <c r="G2114" s="1" t="n">
        <f aca="false">IF(ISNUMBER(E2114),E2114,VALUE(SUBSTITUTE(E2114,"#",".01")))</f>
        <v>-65675.958</v>
      </c>
    </row>
    <row r="2115" customFormat="false" ht="12.75" hidden="false" customHeight="false" outlineLevel="0" collapsed="false">
      <c r="A2115" s="1" t="n">
        <v>96</v>
      </c>
      <c r="B2115" s="1" t="n">
        <v>66</v>
      </c>
      <c r="C2115" s="1" t="n">
        <v>162</v>
      </c>
      <c r="D2115" s="1" t="s">
        <v>794</v>
      </c>
      <c r="E2115" s="1" t="n">
        <v>-68181.478</v>
      </c>
      <c r="F2115" s="1" t="n">
        <v>0.767</v>
      </c>
      <c r="G2115" s="1" t="n">
        <f aca="false">IF(ISNUMBER(E2115),E2115,VALUE(SUBSTITUTE(E2115,"#",".01")))</f>
        <v>-68181.478</v>
      </c>
    </row>
    <row r="2116" customFormat="false" ht="12.75" hidden="false" customHeight="false" outlineLevel="0" collapsed="false">
      <c r="A2116" s="1" t="n">
        <v>95</v>
      </c>
      <c r="B2116" s="1" t="n">
        <v>67</v>
      </c>
      <c r="C2116" s="1" t="n">
        <v>162</v>
      </c>
      <c r="D2116" s="1" t="s">
        <v>802</v>
      </c>
      <c r="E2116" s="1" t="n">
        <v>-66041.541</v>
      </c>
      <c r="F2116" s="1" t="n">
        <v>3.166</v>
      </c>
      <c r="G2116" s="1" t="n">
        <f aca="false">IF(ISNUMBER(E2116),E2116,VALUE(SUBSTITUTE(E2116,"#",".01")))</f>
        <v>-66041.541</v>
      </c>
    </row>
    <row r="2117" customFormat="false" ht="12.75" hidden="false" customHeight="false" outlineLevel="0" collapsed="false">
      <c r="A2117" s="1" t="n">
        <v>94</v>
      </c>
      <c r="B2117" s="1" t="n">
        <v>68</v>
      </c>
      <c r="C2117" s="1" t="n">
        <v>162</v>
      </c>
      <c r="D2117" s="1" t="s">
        <v>17</v>
      </c>
      <c r="E2117" s="1" t="n">
        <v>-66334.519</v>
      </c>
      <c r="F2117" s="1" t="n">
        <v>0.822</v>
      </c>
      <c r="G2117" s="1" t="n">
        <f aca="false">IF(ISNUMBER(E2117),E2117,VALUE(SUBSTITUTE(E2117,"#",".01")))</f>
        <v>-66334.519</v>
      </c>
    </row>
    <row r="2118" customFormat="false" ht="12.75" hidden="false" customHeight="false" outlineLevel="0" collapsed="false">
      <c r="A2118" s="1" t="n">
        <v>93</v>
      </c>
      <c r="B2118" s="1" t="n">
        <v>69</v>
      </c>
      <c r="C2118" s="1" t="n">
        <v>162</v>
      </c>
      <c r="D2118" s="1" t="s">
        <v>819</v>
      </c>
      <c r="E2118" s="1" t="n">
        <v>-61477.791</v>
      </c>
      <c r="F2118" s="1" t="n">
        <v>26.06</v>
      </c>
      <c r="G2118" s="1" t="n">
        <f aca="false">IF(ISNUMBER(E2118),E2118,VALUE(SUBSTITUTE(E2118,"#",".01")))</f>
        <v>-61477.791</v>
      </c>
    </row>
    <row r="2119" customFormat="false" ht="12.75" hidden="false" customHeight="false" outlineLevel="0" collapsed="false">
      <c r="A2119" s="1" t="n">
        <v>92</v>
      </c>
      <c r="B2119" s="1" t="n">
        <v>70</v>
      </c>
      <c r="C2119" s="1" t="n">
        <v>162</v>
      </c>
      <c r="D2119" s="1" t="s">
        <v>827</v>
      </c>
      <c r="E2119" s="1" t="n">
        <v>-59826.347</v>
      </c>
      <c r="F2119" s="1" t="n">
        <v>15.359</v>
      </c>
      <c r="G2119" s="1" t="n">
        <f aca="false">IF(ISNUMBER(E2119),E2119,VALUE(SUBSTITUTE(E2119,"#",".01")))</f>
        <v>-59826.347</v>
      </c>
    </row>
    <row r="2120" customFormat="false" ht="12.75" hidden="false" customHeight="false" outlineLevel="0" collapsed="false">
      <c r="A2120" s="1" t="n">
        <v>91</v>
      </c>
      <c r="B2120" s="1" t="n">
        <v>71</v>
      </c>
      <c r="C2120" s="1" t="n">
        <v>162</v>
      </c>
      <c r="D2120" s="1" t="s">
        <v>836</v>
      </c>
      <c r="E2120" s="1" t="n">
        <v>-52831.753</v>
      </c>
      <c r="F2120" s="1" t="n">
        <v>75.036</v>
      </c>
      <c r="G2120" s="1" t="n">
        <f aca="false">IF(ISNUMBER(E2120),E2120,VALUE(SUBSTITUTE(E2120,"#",".01")))</f>
        <v>-52831.753</v>
      </c>
    </row>
    <row r="2121" customFormat="false" ht="12.75" hidden="false" customHeight="false" outlineLevel="0" collapsed="false">
      <c r="A2121" s="1" t="n">
        <v>90</v>
      </c>
      <c r="B2121" s="1" t="n">
        <v>72</v>
      </c>
      <c r="C2121" s="1" t="n">
        <v>162</v>
      </c>
      <c r="D2121" s="1" t="s">
        <v>850</v>
      </c>
      <c r="E2121" s="1" t="n">
        <v>-49169.008</v>
      </c>
      <c r="F2121" s="1" t="n">
        <v>8.968</v>
      </c>
      <c r="G2121" s="1" t="n">
        <f aca="false">IF(ISNUMBER(E2121),E2121,VALUE(SUBSTITUTE(E2121,"#",".01")))</f>
        <v>-49169.008</v>
      </c>
    </row>
    <row r="2122" customFormat="false" ht="12.75" hidden="false" customHeight="false" outlineLevel="0" collapsed="false">
      <c r="A2122" s="1" t="n">
        <v>89</v>
      </c>
      <c r="B2122" s="1" t="n">
        <v>73</v>
      </c>
      <c r="C2122" s="1" t="n">
        <v>162</v>
      </c>
      <c r="D2122" s="1" t="s">
        <v>859</v>
      </c>
      <c r="E2122" s="1" t="n">
        <v>-39780.194</v>
      </c>
      <c r="F2122" s="1" t="n">
        <v>52.238</v>
      </c>
      <c r="G2122" s="1" t="n">
        <f aca="false">IF(ISNUMBER(E2122),E2122,VALUE(SUBSTITUTE(E2122,"#",".01")))</f>
        <v>-39780.194</v>
      </c>
    </row>
    <row r="2123" customFormat="false" ht="12.75" hidden="false" customHeight="false" outlineLevel="0" collapsed="false">
      <c r="A2123" s="1" t="n">
        <v>88</v>
      </c>
      <c r="B2123" s="1" t="n">
        <v>74</v>
      </c>
      <c r="C2123" s="1" t="n">
        <v>162</v>
      </c>
      <c r="D2123" s="1" t="s">
        <v>868</v>
      </c>
      <c r="E2123" s="1" t="n">
        <v>-33999.207</v>
      </c>
      <c r="F2123" s="1" t="n">
        <v>17.658</v>
      </c>
      <c r="G2123" s="1" t="n">
        <f aca="false">IF(ISNUMBER(E2123),E2123,VALUE(SUBSTITUTE(E2123,"#",".01")))</f>
        <v>-33999.207</v>
      </c>
    </row>
    <row r="2124" customFormat="false" ht="12.75" hidden="false" customHeight="false" outlineLevel="0" collapsed="false">
      <c r="A2124" s="1" t="n">
        <v>87</v>
      </c>
      <c r="B2124" s="1" t="n">
        <v>75</v>
      </c>
      <c r="C2124" s="1" t="n">
        <v>162</v>
      </c>
      <c r="D2124" s="1" t="s">
        <v>877</v>
      </c>
      <c r="E2124" s="1" t="s">
        <v>891</v>
      </c>
      <c r="F2124" s="1" t="s">
        <v>333</v>
      </c>
      <c r="G2124" s="1" t="n">
        <f aca="false">IF(ISNUMBER(E2124),E2124,VALUE(SUBSTITUTE(E2124,"#",".01")))</f>
        <v>-22501.01</v>
      </c>
    </row>
    <row r="2125" customFormat="false" ht="12.75" hidden="false" customHeight="false" outlineLevel="0" collapsed="false">
      <c r="A2125" s="1" t="n">
        <v>86</v>
      </c>
      <c r="B2125" s="1" t="n">
        <v>76</v>
      </c>
      <c r="C2125" s="1" t="n">
        <v>162</v>
      </c>
      <c r="D2125" s="1" t="s">
        <v>887</v>
      </c>
      <c r="E2125" s="1" t="s">
        <v>892</v>
      </c>
      <c r="F2125" s="1" t="s">
        <v>371</v>
      </c>
      <c r="G2125" s="1" t="n">
        <f aca="false">IF(ISNUMBER(E2125),E2125,VALUE(SUBSTITUTE(E2125,"#",".01")))</f>
        <v>-14440.01</v>
      </c>
    </row>
    <row r="2126" customFormat="false" ht="12.75" hidden="false" customHeight="false" outlineLevel="0" collapsed="false">
      <c r="A2126" s="1" t="n">
        <v>102</v>
      </c>
      <c r="B2126" s="1" t="n">
        <v>61</v>
      </c>
      <c r="C2126" s="1" t="n">
        <v>163</v>
      </c>
      <c r="D2126" s="1" t="s">
        <v>736</v>
      </c>
      <c r="E2126" s="1" t="s">
        <v>893</v>
      </c>
      <c r="F2126" s="1" t="s">
        <v>378</v>
      </c>
      <c r="G2126" s="1" t="n">
        <f aca="false">IF(ISNUMBER(E2126),E2126,VALUE(SUBSTITUTE(E2126,"#",".01")))</f>
        <v>-43249.01</v>
      </c>
    </row>
    <row r="2127" customFormat="false" ht="12.75" hidden="false" customHeight="false" outlineLevel="0" collapsed="false">
      <c r="A2127" s="1" t="n">
        <v>101</v>
      </c>
      <c r="B2127" s="1" t="n">
        <v>62</v>
      </c>
      <c r="C2127" s="1" t="n">
        <v>163</v>
      </c>
      <c r="D2127" s="1" t="s">
        <v>747</v>
      </c>
      <c r="E2127" s="1" t="s">
        <v>587</v>
      </c>
      <c r="F2127" s="1" t="s">
        <v>360</v>
      </c>
      <c r="G2127" s="1" t="n">
        <f aca="false">IF(ISNUMBER(E2127),E2127,VALUE(SUBSTITUTE(E2127,"#",".01")))</f>
        <v>-50720.01</v>
      </c>
    </row>
    <row r="2128" customFormat="false" ht="12.75" hidden="false" customHeight="false" outlineLevel="0" collapsed="false">
      <c r="A2128" s="1" t="n">
        <v>100</v>
      </c>
      <c r="B2128" s="1" t="n">
        <v>63</v>
      </c>
      <c r="C2128" s="1" t="n">
        <v>163</v>
      </c>
      <c r="D2128" s="1" t="s">
        <v>757</v>
      </c>
      <c r="E2128" s="1" t="n">
        <v>-56484.886</v>
      </c>
      <c r="F2128" s="1" t="n">
        <v>65.544</v>
      </c>
      <c r="G2128" s="1" t="n">
        <f aca="false">IF(ISNUMBER(E2128),E2128,VALUE(SUBSTITUTE(E2128,"#",".01")))</f>
        <v>-56484.886</v>
      </c>
    </row>
    <row r="2129" customFormat="false" ht="12.75" hidden="false" customHeight="false" outlineLevel="0" collapsed="false">
      <c r="A2129" s="1" t="n">
        <v>99</v>
      </c>
      <c r="B2129" s="1" t="n">
        <v>64</v>
      </c>
      <c r="C2129" s="1" t="n">
        <v>163</v>
      </c>
      <c r="D2129" s="1" t="s">
        <v>771</v>
      </c>
      <c r="E2129" s="1" t="n">
        <v>-61313.886</v>
      </c>
      <c r="F2129" s="1" t="n">
        <v>8.426</v>
      </c>
      <c r="G2129" s="1" t="n">
        <f aca="false">IF(ISNUMBER(E2129),E2129,VALUE(SUBSTITUTE(E2129,"#",".01")))</f>
        <v>-61313.886</v>
      </c>
    </row>
    <row r="2130" customFormat="false" ht="12.75" hidden="false" customHeight="false" outlineLevel="0" collapsed="false">
      <c r="A2130" s="1" t="n">
        <v>98</v>
      </c>
      <c r="B2130" s="1" t="n">
        <v>65</v>
      </c>
      <c r="C2130" s="1" t="n">
        <v>163</v>
      </c>
      <c r="D2130" s="1" t="s">
        <v>780</v>
      </c>
      <c r="E2130" s="1" t="n">
        <v>-64596.071</v>
      </c>
      <c r="F2130" s="1" t="n">
        <v>4.073</v>
      </c>
      <c r="G2130" s="1" t="n">
        <f aca="false">IF(ISNUMBER(E2130),E2130,VALUE(SUBSTITUTE(E2130,"#",".01")))</f>
        <v>-64596.071</v>
      </c>
    </row>
    <row r="2131" customFormat="false" ht="12.75" hidden="false" customHeight="false" outlineLevel="0" collapsed="false">
      <c r="A2131" s="1" t="n">
        <v>97</v>
      </c>
      <c r="B2131" s="1" t="n">
        <v>66</v>
      </c>
      <c r="C2131" s="1" t="n">
        <v>163</v>
      </c>
      <c r="D2131" s="1" t="s">
        <v>794</v>
      </c>
      <c r="E2131" s="1" t="n">
        <v>-66381.17</v>
      </c>
      <c r="F2131" s="1" t="n">
        <v>0.765</v>
      </c>
      <c r="G2131" s="1" t="n">
        <f aca="false">IF(ISNUMBER(E2131),E2131,VALUE(SUBSTITUTE(E2131,"#",".01")))</f>
        <v>-66381.17</v>
      </c>
    </row>
    <row r="2132" customFormat="false" ht="12.75" hidden="false" customHeight="false" outlineLevel="0" collapsed="false">
      <c r="A2132" s="1" t="n">
        <v>96</v>
      </c>
      <c r="B2132" s="1" t="n">
        <v>67</v>
      </c>
      <c r="C2132" s="1" t="n">
        <v>163</v>
      </c>
      <c r="D2132" s="1" t="s">
        <v>802</v>
      </c>
      <c r="E2132" s="1" t="n">
        <v>-66378.335</v>
      </c>
      <c r="F2132" s="1" t="n">
        <v>0.765</v>
      </c>
      <c r="G2132" s="1" t="n">
        <f aca="false">IF(ISNUMBER(E2132),E2132,VALUE(SUBSTITUTE(E2132,"#",".01")))</f>
        <v>-66378.335</v>
      </c>
    </row>
    <row r="2133" customFormat="false" ht="12.75" hidden="false" customHeight="false" outlineLevel="0" collapsed="false">
      <c r="A2133" s="1" t="n">
        <v>95</v>
      </c>
      <c r="B2133" s="1" t="n">
        <v>68</v>
      </c>
      <c r="C2133" s="1" t="n">
        <v>163</v>
      </c>
      <c r="D2133" s="1" t="s">
        <v>17</v>
      </c>
      <c r="E2133" s="1" t="n">
        <v>-65167.723</v>
      </c>
      <c r="F2133" s="1" t="n">
        <v>4.639</v>
      </c>
      <c r="G2133" s="1" t="n">
        <f aca="false">IF(ISNUMBER(E2133),E2133,VALUE(SUBSTITUTE(E2133,"#",".01")))</f>
        <v>-65167.723</v>
      </c>
    </row>
    <row r="2134" customFormat="false" ht="12.75" hidden="false" customHeight="false" outlineLevel="0" collapsed="false">
      <c r="A2134" s="1" t="n">
        <v>94</v>
      </c>
      <c r="B2134" s="1" t="n">
        <v>69</v>
      </c>
      <c r="C2134" s="1" t="n">
        <v>163</v>
      </c>
      <c r="D2134" s="1" t="s">
        <v>819</v>
      </c>
      <c r="E2134" s="1" t="n">
        <v>-62728.723</v>
      </c>
      <c r="F2134" s="1" t="n">
        <v>5.524</v>
      </c>
      <c r="G2134" s="1" t="n">
        <f aca="false">IF(ISNUMBER(E2134),E2134,VALUE(SUBSTITUTE(E2134,"#",".01")))</f>
        <v>-62728.723</v>
      </c>
    </row>
    <row r="2135" customFormat="false" ht="12.75" hidden="false" customHeight="false" outlineLevel="0" collapsed="false">
      <c r="A2135" s="1" t="n">
        <v>93</v>
      </c>
      <c r="B2135" s="1" t="n">
        <v>70</v>
      </c>
      <c r="C2135" s="1" t="n">
        <v>163</v>
      </c>
      <c r="D2135" s="1" t="s">
        <v>827</v>
      </c>
      <c r="E2135" s="1" t="n">
        <v>-59299.094</v>
      </c>
      <c r="F2135" s="1" t="n">
        <v>15.364</v>
      </c>
      <c r="G2135" s="1" t="n">
        <f aca="false">IF(ISNUMBER(E2135),E2135,VALUE(SUBSTITUTE(E2135,"#",".01")))</f>
        <v>-59299.094</v>
      </c>
    </row>
    <row r="2136" customFormat="false" ht="12.75" hidden="false" customHeight="false" outlineLevel="0" collapsed="false">
      <c r="A2136" s="1" t="n">
        <v>92</v>
      </c>
      <c r="B2136" s="1" t="n">
        <v>71</v>
      </c>
      <c r="C2136" s="1" t="n">
        <v>163</v>
      </c>
      <c r="D2136" s="1" t="s">
        <v>836</v>
      </c>
      <c r="E2136" s="1" t="n">
        <v>-54791.409</v>
      </c>
      <c r="F2136" s="1" t="n">
        <v>27.945</v>
      </c>
      <c r="G2136" s="1" t="n">
        <f aca="false">IF(ISNUMBER(E2136),E2136,VALUE(SUBSTITUTE(E2136,"#",".01")))</f>
        <v>-54791.409</v>
      </c>
    </row>
    <row r="2137" customFormat="false" ht="12.75" hidden="false" customHeight="false" outlineLevel="0" collapsed="false">
      <c r="A2137" s="1" t="n">
        <v>91</v>
      </c>
      <c r="B2137" s="1" t="n">
        <v>72</v>
      </c>
      <c r="C2137" s="1" t="n">
        <v>163</v>
      </c>
      <c r="D2137" s="1" t="s">
        <v>850</v>
      </c>
      <c r="E2137" s="1" t="n">
        <v>-49263.682</v>
      </c>
      <c r="F2137" s="1" t="n">
        <v>24.778</v>
      </c>
      <c r="G2137" s="1" t="n">
        <f aca="false">IF(ISNUMBER(E2137),E2137,VALUE(SUBSTITUTE(E2137,"#",".01")))</f>
        <v>-49263.682</v>
      </c>
    </row>
    <row r="2138" customFormat="false" ht="12.75" hidden="false" customHeight="false" outlineLevel="0" collapsed="false">
      <c r="A2138" s="1" t="n">
        <v>90</v>
      </c>
      <c r="B2138" s="1" t="n">
        <v>73</v>
      </c>
      <c r="C2138" s="1" t="n">
        <v>163</v>
      </c>
      <c r="D2138" s="1" t="s">
        <v>859</v>
      </c>
      <c r="E2138" s="1" t="n">
        <v>-42534.629</v>
      </c>
      <c r="F2138" s="1" t="n">
        <v>38.061</v>
      </c>
      <c r="G2138" s="1" t="n">
        <f aca="false">IF(ISNUMBER(E2138),E2138,VALUE(SUBSTITUTE(E2138,"#",".01")))</f>
        <v>-42534.629</v>
      </c>
    </row>
    <row r="2139" customFormat="false" ht="12.75" hidden="false" customHeight="false" outlineLevel="0" collapsed="false">
      <c r="A2139" s="1" t="n">
        <v>89</v>
      </c>
      <c r="B2139" s="1" t="n">
        <v>74</v>
      </c>
      <c r="C2139" s="1" t="n">
        <v>163</v>
      </c>
      <c r="D2139" s="1" t="s">
        <v>868</v>
      </c>
      <c r="E2139" s="1" t="n">
        <v>-34908.193</v>
      </c>
      <c r="F2139" s="1" t="n">
        <v>52.751</v>
      </c>
      <c r="G2139" s="1" t="n">
        <f aca="false">IF(ISNUMBER(E2139),E2139,VALUE(SUBSTITUTE(E2139,"#",".01")))</f>
        <v>-34908.193</v>
      </c>
    </row>
    <row r="2140" customFormat="false" ht="12.75" hidden="false" customHeight="false" outlineLevel="0" collapsed="false">
      <c r="A2140" s="1" t="n">
        <v>88</v>
      </c>
      <c r="B2140" s="1" t="n">
        <v>75</v>
      </c>
      <c r="C2140" s="1" t="n">
        <v>163</v>
      </c>
      <c r="D2140" s="1" t="s">
        <v>877</v>
      </c>
      <c r="E2140" s="1" t="n">
        <v>-26002.244</v>
      </c>
      <c r="F2140" s="1" t="n">
        <v>18.534</v>
      </c>
      <c r="G2140" s="1" t="n">
        <f aca="false">IF(ISNUMBER(E2140),E2140,VALUE(SUBSTITUTE(E2140,"#",".01")))</f>
        <v>-26002.244</v>
      </c>
    </row>
    <row r="2141" customFormat="false" ht="12.75" hidden="false" customHeight="false" outlineLevel="0" collapsed="false">
      <c r="A2141" s="1" t="n">
        <v>87</v>
      </c>
      <c r="B2141" s="1" t="n">
        <v>76</v>
      </c>
      <c r="C2141" s="1" t="n">
        <v>163</v>
      </c>
      <c r="D2141" s="1" t="s">
        <v>887</v>
      </c>
      <c r="E2141" s="1" t="s">
        <v>894</v>
      </c>
      <c r="F2141" s="1" t="s">
        <v>360</v>
      </c>
      <c r="G2141" s="1" t="n">
        <f aca="false">IF(ISNUMBER(E2141),E2141,VALUE(SUBSTITUTE(E2141,"#",".01")))</f>
        <v>-16192.01</v>
      </c>
    </row>
    <row r="2142" customFormat="false" ht="12.75" hidden="false" customHeight="false" outlineLevel="0" collapsed="false">
      <c r="A2142" s="1" t="n">
        <v>103</v>
      </c>
      <c r="B2142" s="1" t="n">
        <v>61</v>
      </c>
      <c r="C2142" s="1" t="n">
        <v>164</v>
      </c>
      <c r="D2142" s="1" t="s">
        <v>736</v>
      </c>
      <c r="E2142" s="1" t="s">
        <v>895</v>
      </c>
      <c r="F2142" s="1" t="s">
        <v>378</v>
      </c>
      <c r="G2142" s="1" t="n">
        <f aca="false">IF(ISNUMBER(E2142),E2142,VALUE(SUBSTITUTE(E2142,"#",".01")))</f>
        <v>-38870.01</v>
      </c>
    </row>
    <row r="2143" customFormat="false" ht="12.75" hidden="false" customHeight="false" outlineLevel="0" collapsed="false">
      <c r="A2143" s="1" t="n">
        <v>102</v>
      </c>
      <c r="B2143" s="1" t="n">
        <v>62</v>
      </c>
      <c r="C2143" s="1" t="n">
        <v>164</v>
      </c>
      <c r="D2143" s="1" t="s">
        <v>747</v>
      </c>
      <c r="E2143" s="1" t="s">
        <v>896</v>
      </c>
      <c r="F2143" s="1" t="s">
        <v>360</v>
      </c>
      <c r="G2143" s="1" t="n">
        <f aca="false">IF(ISNUMBER(E2143),E2143,VALUE(SUBSTITUTE(E2143,"#",".01")))</f>
        <v>-48102.01</v>
      </c>
    </row>
    <row r="2144" customFormat="false" ht="12.75" hidden="false" customHeight="false" outlineLevel="0" collapsed="false">
      <c r="A2144" s="1" t="n">
        <v>101</v>
      </c>
      <c r="B2144" s="1" t="n">
        <v>63</v>
      </c>
      <c r="C2144" s="1" t="n">
        <v>164</v>
      </c>
      <c r="D2144" s="1" t="s">
        <v>757</v>
      </c>
      <c r="E2144" s="1" t="s">
        <v>897</v>
      </c>
      <c r="F2144" s="1" t="s">
        <v>898</v>
      </c>
      <c r="G2144" s="1" t="n">
        <f aca="false">IF(ISNUMBER(E2144),E2144,VALUE(SUBSTITUTE(E2144,"#",".01")))</f>
        <v>-53381.01</v>
      </c>
    </row>
    <row r="2145" customFormat="false" ht="12.75" hidden="false" customHeight="false" outlineLevel="0" collapsed="false">
      <c r="A2145" s="1" t="n">
        <v>100</v>
      </c>
      <c r="B2145" s="1" t="n">
        <v>64</v>
      </c>
      <c r="C2145" s="1" t="n">
        <v>164</v>
      </c>
      <c r="D2145" s="1" t="s">
        <v>771</v>
      </c>
      <c r="E2145" s="1" t="s">
        <v>899</v>
      </c>
      <c r="F2145" s="1" t="s">
        <v>677</v>
      </c>
      <c r="G2145" s="1" t="n">
        <f aca="false">IF(ISNUMBER(E2145),E2145,VALUE(SUBSTITUTE(E2145,"#",".01")))</f>
        <v>-59774.01</v>
      </c>
    </row>
    <row r="2146" customFormat="false" ht="12.75" hidden="false" customHeight="false" outlineLevel="0" collapsed="false">
      <c r="A2146" s="1" t="n">
        <v>99</v>
      </c>
      <c r="B2146" s="1" t="n">
        <v>65</v>
      </c>
      <c r="C2146" s="1" t="n">
        <v>164</v>
      </c>
      <c r="D2146" s="1" t="s">
        <v>780</v>
      </c>
      <c r="E2146" s="1" t="n">
        <v>-62077.965</v>
      </c>
      <c r="F2146" s="1" t="n">
        <v>100.003</v>
      </c>
      <c r="G2146" s="1" t="n">
        <f aca="false">IF(ISNUMBER(E2146),E2146,VALUE(SUBSTITUTE(E2146,"#",".01")))</f>
        <v>-62077.965</v>
      </c>
    </row>
    <row r="2147" customFormat="false" ht="12.75" hidden="false" customHeight="false" outlineLevel="0" collapsed="false">
      <c r="A2147" s="1" t="n">
        <v>98</v>
      </c>
      <c r="B2147" s="1" t="n">
        <v>66</v>
      </c>
      <c r="C2147" s="1" t="n">
        <v>164</v>
      </c>
      <c r="D2147" s="1" t="s">
        <v>794</v>
      </c>
      <c r="E2147" s="1" t="n">
        <v>-65967.965</v>
      </c>
      <c r="F2147" s="1" t="n">
        <v>0.767</v>
      </c>
      <c r="G2147" s="1" t="n">
        <f aca="false">IF(ISNUMBER(E2147),E2147,VALUE(SUBSTITUTE(E2147,"#",".01")))</f>
        <v>-65967.965</v>
      </c>
    </row>
    <row r="2148" customFormat="false" ht="12.75" hidden="false" customHeight="false" outlineLevel="0" collapsed="false">
      <c r="A2148" s="1" t="n">
        <v>97</v>
      </c>
      <c r="B2148" s="1" t="n">
        <v>67</v>
      </c>
      <c r="C2148" s="1" t="n">
        <v>164</v>
      </c>
      <c r="D2148" s="1" t="s">
        <v>802</v>
      </c>
      <c r="E2148" s="1" t="n">
        <v>-64981.503</v>
      </c>
      <c r="F2148" s="1" t="n">
        <v>1.528</v>
      </c>
      <c r="G2148" s="1" t="n">
        <f aca="false">IF(ISNUMBER(E2148),E2148,VALUE(SUBSTITUTE(E2148,"#",".01")))</f>
        <v>-64981.503</v>
      </c>
    </row>
    <row r="2149" customFormat="false" ht="12.75" hidden="false" customHeight="false" outlineLevel="0" collapsed="false">
      <c r="A2149" s="1" t="n">
        <v>96</v>
      </c>
      <c r="B2149" s="1" t="n">
        <v>68</v>
      </c>
      <c r="C2149" s="1" t="n">
        <v>164</v>
      </c>
      <c r="D2149" s="1" t="s">
        <v>17</v>
      </c>
      <c r="E2149" s="1" t="n">
        <v>-65942.89</v>
      </c>
      <c r="F2149" s="1" t="n">
        <v>0.775</v>
      </c>
      <c r="G2149" s="1" t="n">
        <f aca="false">IF(ISNUMBER(E2149),E2149,VALUE(SUBSTITUTE(E2149,"#",".01")))</f>
        <v>-65942.89</v>
      </c>
    </row>
    <row r="2150" customFormat="false" ht="12.75" hidden="false" customHeight="false" outlineLevel="0" collapsed="false">
      <c r="A2150" s="1" t="n">
        <v>95</v>
      </c>
      <c r="B2150" s="1" t="n">
        <v>69</v>
      </c>
      <c r="C2150" s="1" t="n">
        <v>164</v>
      </c>
      <c r="D2150" s="1" t="s">
        <v>819</v>
      </c>
      <c r="E2150" s="1" t="n">
        <v>-61904.035</v>
      </c>
      <c r="F2150" s="1" t="n">
        <v>24.394</v>
      </c>
      <c r="G2150" s="1" t="n">
        <f aca="false">IF(ISNUMBER(E2150),E2150,VALUE(SUBSTITUTE(E2150,"#",".01")))</f>
        <v>-61904.035</v>
      </c>
    </row>
    <row r="2151" customFormat="false" ht="12.75" hidden="false" customHeight="false" outlineLevel="0" collapsed="false">
      <c r="A2151" s="1" t="n">
        <v>94</v>
      </c>
      <c r="B2151" s="1" t="n">
        <v>70</v>
      </c>
      <c r="C2151" s="1" t="n">
        <v>164</v>
      </c>
      <c r="D2151" s="1" t="s">
        <v>827</v>
      </c>
      <c r="E2151" s="1" t="n">
        <v>-61017.418</v>
      </c>
      <c r="F2151" s="1" t="n">
        <v>15.369</v>
      </c>
      <c r="G2151" s="1" t="n">
        <f aca="false">IF(ISNUMBER(E2151),E2151,VALUE(SUBSTITUTE(E2151,"#",".01")))</f>
        <v>-61017.418</v>
      </c>
    </row>
    <row r="2152" customFormat="false" ht="12.75" hidden="false" customHeight="false" outlineLevel="0" collapsed="false">
      <c r="A2152" s="1" t="n">
        <v>93</v>
      </c>
      <c r="B2152" s="1" t="n">
        <v>71</v>
      </c>
      <c r="C2152" s="1" t="n">
        <v>164</v>
      </c>
      <c r="D2152" s="1" t="s">
        <v>836</v>
      </c>
      <c r="E2152" s="1" t="n">
        <v>-54642.37</v>
      </c>
      <c r="F2152" s="1" t="n">
        <v>27.945</v>
      </c>
      <c r="G2152" s="1" t="n">
        <f aca="false">IF(ISNUMBER(E2152),E2152,VALUE(SUBSTITUTE(E2152,"#",".01")))</f>
        <v>-54642.37</v>
      </c>
    </row>
    <row r="2153" customFormat="false" ht="12.75" hidden="false" customHeight="false" outlineLevel="0" collapsed="false">
      <c r="A2153" s="1" t="n">
        <v>92</v>
      </c>
      <c r="B2153" s="1" t="n">
        <v>72</v>
      </c>
      <c r="C2153" s="1" t="n">
        <v>164</v>
      </c>
      <c r="D2153" s="1" t="s">
        <v>850</v>
      </c>
      <c r="E2153" s="1" t="n">
        <v>-51818.505</v>
      </c>
      <c r="F2153" s="1" t="n">
        <v>15.82</v>
      </c>
      <c r="G2153" s="1" t="n">
        <f aca="false">IF(ISNUMBER(E2153),E2153,VALUE(SUBSTITUTE(E2153,"#",".01")))</f>
        <v>-51818.505</v>
      </c>
    </row>
    <row r="2154" customFormat="false" ht="12.75" hidden="false" customHeight="false" outlineLevel="0" collapsed="false">
      <c r="A2154" s="1" t="n">
        <v>91</v>
      </c>
      <c r="B2154" s="1" t="n">
        <v>73</v>
      </c>
      <c r="C2154" s="1" t="n">
        <v>164</v>
      </c>
      <c r="D2154" s="1" t="s">
        <v>859</v>
      </c>
      <c r="E2154" s="1" t="n">
        <v>-43282.8</v>
      </c>
      <c r="F2154" s="1" t="n">
        <v>27.945</v>
      </c>
      <c r="G2154" s="1" t="n">
        <f aca="false">IF(ISNUMBER(E2154),E2154,VALUE(SUBSTITUTE(E2154,"#",".01")))</f>
        <v>-43282.8</v>
      </c>
    </row>
    <row r="2155" customFormat="false" ht="12.75" hidden="false" customHeight="false" outlineLevel="0" collapsed="false">
      <c r="A2155" s="1" t="n">
        <v>90</v>
      </c>
      <c r="B2155" s="1" t="n">
        <v>74</v>
      </c>
      <c r="C2155" s="1" t="n">
        <v>164</v>
      </c>
      <c r="D2155" s="1" t="s">
        <v>868</v>
      </c>
      <c r="E2155" s="1" t="n">
        <v>-38235.759</v>
      </c>
      <c r="F2155" s="1" t="n">
        <v>9.674</v>
      </c>
      <c r="G2155" s="1" t="n">
        <f aca="false">IF(ISNUMBER(E2155),E2155,VALUE(SUBSTITUTE(E2155,"#",".01")))</f>
        <v>-38235.759</v>
      </c>
    </row>
    <row r="2156" customFormat="false" ht="12.75" hidden="false" customHeight="false" outlineLevel="0" collapsed="false">
      <c r="A2156" s="1" t="n">
        <v>89</v>
      </c>
      <c r="B2156" s="1" t="n">
        <v>75</v>
      </c>
      <c r="C2156" s="1" t="n">
        <v>164</v>
      </c>
      <c r="D2156" s="1" t="s">
        <v>877</v>
      </c>
      <c r="E2156" s="1" t="n">
        <v>-27472.436</v>
      </c>
      <c r="F2156" s="1" t="n">
        <v>54.555</v>
      </c>
      <c r="G2156" s="1" t="n">
        <f aca="false">IF(ISNUMBER(E2156),E2156,VALUE(SUBSTITUTE(E2156,"#",".01")))</f>
        <v>-27472.436</v>
      </c>
    </row>
    <row r="2157" customFormat="false" ht="12.75" hidden="false" customHeight="false" outlineLevel="0" collapsed="false">
      <c r="A2157" s="1" t="n">
        <v>88</v>
      </c>
      <c r="B2157" s="1" t="n">
        <v>76</v>
      </c>
      <c r="C2157" s="1" t="n">
        <v>164</v>
      </c>
      <c r="D2157" s="1" t="s">
        <v>887</v>
      </c>
      <c r="E2157" s="1" t="n">
        <v>-20422.106</v>
      </c>
      <c r="F2157" s="1" t="n">
        <v>149.919</v>
      </c>
      <c r="G2157" s="1" t="n">
        <f aca="false">IF(ISNUMBER(E2157),E2157,VALUE(SUBSTITUTE(E2157,"#",".01")))</f>
        <v>-20422.106</v>
      </c>
    </row>
    <row r="2158" customFormat="false" ht="12.75" hidden="false" customHeight="false" outlineLevel="0" collapsed="false">
      <c r="A2158" s="1" t="n">
        <v>87</v>
      </c>
      <c r="B2158" s="1" t="n">
        <v>77</v>
      </c>
      <c r="C2158" s="1" t="n">
        <v>164</v>
      </c>
      <c r="D2158" s="1" t="s">
        <v>900</v>
      </c>
      <c r="E2158" s="1" t="s">
        <v>901</v>
      </c>
      <c r="F2158" s="1" t="s">
        <v>902</v>
      </c>
      <c r="G2158" s="1" t="n">
        <f aca="false">IF(ISNUMBER(E2158),E2158,VALUE(SUBSTITUTE(E2158,"#",".01")))</f>
        <v>-7344.01</v>
      </c>
    </row>
    <row r="2159" customFormat="false" ht="12.75" hidden="false" customHeight="false" outlineLevel="0" collapsed="false">
      <c r="A2159" s="1" t="n">
        <v>103</v>
      </c>
      <c r="B2159" s="1" t="n">
        <v>62</v>
      </c>
      <c r="C2159" s="1" t="n">
        <v>165</v>
      </c>
      <c r="D2159" s="1" t="s">
        <v>747</v>
      </c>
      <c r="E2159" s="1" t="s">
        <v>903</v>
      </c>
      <c r="F2159" s="1" t="s">
        <v>320</v>
      </c>
      <c r="G2159" s="1" t="n">
        <f aca="false">IF(ISNUMBER(E2159),E2159,VALUE(SUBSTITUTE(E2159,"#",".01")))</f>
        <v>-43808.01</v>
      </c>
    </row>
    <row r="2160" customFormat="false" ht="12.75" hidden="false" customHeight="false" outlineLevel="0" collapsed="false">
      <c r="A2160" s="1" t="n">
        <v>102</v>
      </c>
      <c r="B2160" s="1" t="n">
        <v>63</v>
      </c>
      <c r="C2160" s="1" t="n">
        <v>165</v>
      </c>
      <c r="D2160" s="1" t="s">
        <v>757</v>
      </c>
      <c r="E2160" s="1" t="s">
        <v>904</v>
      </c>
      <c r="F2160" s="1" t="s">
        <v>905</v>
      </c>
      <c r="G2160" s="1" t="n">
        <f aca="false">IF(ISNUMBER(E2160),E2160,VALUE(SUBSTITUTE(E2160,"#",".01")))</f>
        <v>-50724.01</v>
      </c>
    </row>
    <row r="2161" customFormat="false" ht="12.75" hidden="false" customHeight="false" outlineLevel="0" collapsed="false">
      <c r="A2161" s="1" t="n">
        <v>101</v>
      </c>
      <c r="B2161" s="1" t="n">
        <v>64</v>
      </c>
      <c r="C2161" s="1" t="n">
        <v>165</v>
      </c>
      <c r="D2161" s="1" t="s">
        <v>771</v>
      </c>
      <c r="E2161" s="1" t="s">
        <v>906</v>
      </c>
      <c r="F2161" s="1" t="s">
        <v>907</v>
      </c>
      <c r="G2161" s="1" t="n">
        <f aca="false">IF(ISNUMBER(E2161),E2161,VALUE(SUBSTITUTE(E2161,"#",".01")))</f>
        <v>-56453.01</v>
      </c>
    </row>
    <row r="2162" customFormat="false" ht="12.75" hidden="false" customHeight="false" outlineLevel="0" collapsed="false">
      <c r="A2162" s="1" t="n">
        <v>100</v>
      </c>
      <c r="B2162" s="1" t="n">
        <v>65</v>
      </c>
      <c r="C2162" s="1" t="n">
        <v>165</v>
      </c>
      <c r="D2162" s="1" t="s">
        <v>780</v>
      </c>
      <c r="E2162" s="1" t="s">
        <v>908</v>
      </c>
      <c r="F2162" s="1" t="s">
        <v>677</v>
      </c>
      <c r="G2162" s="1" t="n">
        <f aca="false">IF(ISNUMBER(E2162),E2162,VALUE(SUBSTITUTE(E2162,"#",".01")))</f>
        <v>-60566.01</v>
      </c>
    </row>
    <row r="2163" customFormat="false" ht="12.75" hidden="false" customHeight="false" outlineLevel="0" collapsed="false">
      <c r="A2163" s="1" t="n">
        <v>99</v>
      </c>
      <c r="B2163" s="1" t="n">
        <v>66</v>
      </c>
      <c r="C2163" s="1" t="n">
        <v>165</v>
      </c>
      <c r="D2163" s="1" t="s">
        <v>794</v>
      </c>
      <c r="E2163" s="1" t="n">
        <v>-63612.606</v>
      </c>
      <c r="F2163" s="1" t="n">
        <v>0.769</v>
      </c>
      <c r="G2163" s="1" t="n">
        <f aca="false">IF(ISNUMBER(E2163),E2163,VALUE(SUBSTITUTE(E2163,"#",".01")))</f>
        <v>-63612.606</v>
      </c>
    </row>
    <row r="2164" customFormat="false" ht="12.75" hidden="false" customHeight="false" outlineLevel="0" collapsed="false">
      <c r="A2164" s="1" t="n">
        <v>98</v>
      </c>
      <c r="B2164" s="1" t="n">
        <v>67</v>
      </c>
      <c r="C2164" s="1" t="n">
        <v>165</v>
      </c>
      <c r="D2164" s="1" t="s">
        <v>802</v>
      </c>
      <c r="E2164" s="1" t="n">
        <v>-64899.006</v>
      </c>
      <c r="F2164" s="1" t="n">
        <v>1.01</v>
      </c>
      <c r="G2164" s="1" t="n">
        <f aca="false">IF(ISNUMBER(E2164),E2164,VALUE(SUBSTITUTE(E2164,"#",".01")))</f>
        <v>-64899.006</v>
      </c>
    </row>
    <row r="2165" customFormat="false" ht="12.75" hidden="false" customHeight="false" outlineLevel="0" collapsed="false">
      <c r="A2165" s="1" t="n">
        <v>97</v>
      </c>
      <c r="B2165" s="1" t="n">
        <v>68</v>
      </c>
      <c r="C2165" s="1" t="n">
        <v>165</v>
      </c>
      <c r="D2165" s="1" t="s">
        <v>17</v>
      </c>
      <c r="E2165" s="1" t="n">
        <v>-64521.61</v>
      </c>
      <c r="F2165" s="1" t="n">
        <v>0.964</v>
      </c>
      <c r="G2165" s="1" t="n">
        <f aca="false">IF(ISNUMBER(E2165),E2165,VALUE(SUBSTITUTE(E2165,"#",".01")))</f>
        <v>-64521.61</v>
      </c>
    </row>
    <row r="2166" customFormat="false" ht="12.75" hidden="false" customHeight="false" outlineLevel="0" collapsed="false">
      <c r="A2166" s="1" t="n">
        <v>96</v>
      </c>
      <c r="B2166" s="1" t="n">
        <v>69</v>
      </c>
      <c r="C2166" s="1" t="n">
        <v>165</v>
      </c>
      <c r="D2166" s="1" t="s">
        <v>819</v>
      </c>
      <c r="E2166" s="1" t="n">
        <v>-62929.621</v>
      </c>
      <c r="F2166" s="1" t="n">
        <v>1.671</v>
      </c>
      <c r="G2166" s="1" t="n">
        <f aca="false">IF(ISNUMBER(E2166),E2166,VALUE(SUBSTITUTE(E2166,"#",".01")))</f>
        <v>-62929.621</v>
      </c>
    </row>
    <row r="2167" customFormat="false" ht="12.75" hidden="false" customHeight="false" outlineLevel="0" collapsed="false">
      <c r="A2167" s="1" t="n">
        <v>95</v>
      </c>
      <c r="B2167" s="1" t="n">
        <v>70</v>
      </c>
      <c r="C2167" s="1" t="n">
        <v>165</v>
      </c>
      <c r="D2167" s="1" t="s">
        <v>827</v>
      </c>
      <c r="E2167" s="1" t="n">
        <v>-60295.382</v>
      </c>
      <c r="F2167" s="1" t="n">
        <v>26.539</v>
      </c>
      <c r="G2167" s="1" t="n">
        <f aca="false">IF(ISNUMBER(E2167),E2167,VALUE(SUBSTITUTE(E2167,"#",".01")))</f>
        <v>-60295.382</v>
      </c>
    </row>
    <row r="2168" customFormat="false" ht="12.75" hidden="false" customHeight="false" outlineLevel="0" collapsed="false">
      <c r="A2168" s="1" t="n">
        <v>94</v>
      </c>
      <c r="B2168" s="1" t="n">
        <v>71</v>
      </c>
      <c r="C2168" s="1" t="n">
        <v>165</v>
      </c>
      <c r="D2168" s="1" t="s">
        <v>836</v>
      </c>
      <c r="E2168" s="1" t="n">
        <v>-56442.242</v>
      </c>
      <c r="F2168" s="1" t="n">
        <v>26.539</v>
      </c>
      <c r="G2168" s="1" t="n">
        <f aca="false">IF(ISNUMBER(E2168),E2168,VALUE(SUBSTITUTE(E2168,"#",".01")))</f>
        <v>-56442.242</v>
      </c>
    </row>
    <row r="2169" customFormat="false" ht="12.75" hidden="false" customHeight="false" outlineLevel="0" collapsed="false">
      <c r="A2169" s="1" t="n">
        <v>93</v>
      </c>
      <c r="B2169" s="1" t="n">
        <v>72</v>
      </c>
      <c r="C2169" s="1" t="n">
        <v>165</v>
      </c>
      <c r="D2169" s="1" t="s">
        <v>850</v>
      </c>
      <c r="E2169" s="1" t="n">
        <v>-51635.507</v>
      </c>
      <c r="F2169" s="1" t="n">
        <v>27.945</v>
      </c>
      <c r="G2169" s="1" t="n">
        <f aca="false">IF(ISNUMBER(E2169),E2169,VALUE(SUBSTITUTE(E2169,"#",".01")))</f>
        <v>-51635.507</v>
      </c>
    </row>
    <row r="2170" customFormat="false" ht="12.75" hidden="false" customHeight="false" outlineLevel="0" collapsed="false">
      <c r="A2170" s="1" t="n">
        <v>92</v>
      </c>
      <c r="B2170" s="1" t="n">
        <v>73</v>
      </c>
      <c r="C2170" s="1" t="n">
        <v>165</v>
      </c>
      <c r="D2170" s="1" t="s">
        <v>859</v>
      </c>
      <c r="E2170" s="1" t="n">
        <v>-45847.853</v>
      </c>
      <c r="F2170" s="1" t="n">
        <v>13.863</v>
      </c>
      <c r="G2170" s="1" t="n">
        <f aca="false">IF(ISNUMBER(E2170),E2170,VALUE(SUBSTITUTE(E2170,"#",".01")))</f>
        <v>-45847.853</v>
      </c>
    </row>
    <row r="2171" customFormat="false" ht="12.75" hidden="false" customHeight="false" outlineLevel="0" collapsed="false">
      <c r="A2171" s="1" t="n">
        <v>91</v>
      </c>
      <c r="B2171" s="1" t="n">
        <v>74</v>
      </c>
      <c r="C2171" s="1" t="n">
        <v>165</v>
      </c>
      <c r="D2171" s="1" t="s">
        <v>868</v>
      </c>
      <c r="E2171" s="1" t="n">
        <v>-38861.022</v>
      </c>
      <c r="F2171" s="1" t="n">
        <v>24.977</v>
      </c>
      <c r="G2171" s="1" t="n">
        <f aca="false">IF(ISNUMBER(E2171),E2171,VALUE(SUBSTITUTE(E2171,"#",".01")))</f>
        <v>-38861.022</v>
      </c>
    </row>
    <row r="2172" customFormat="false" ht="12.75" hidden="false" customHeight="false" outlineLevel="0" collapsed="false">
      <c r="A2172" s="1" t="n">
        <v>90</v>
      </c>
      <c r="B2172" s="1" t="n">
        <v>75</v>
      </c>
      <c r="C2172" s="1" t="n">
        <v>165</v>
      </c>
      <c r="D2172" s="1" t="s">
        <v>877</v>
      </c>
      <c r="E2172" s="1" t="n">
        <v>-30659.776</v>
      </c>
      <c r="F2172" s="1" t="n">
        <v>23.594</v>
      </c>
      <c r="G2172" s="1" t="n">
        <f aca="false">IF(ISNUMBER(E2172),E2172,VALUE(SUBSTITUTE(E2172,"#",".01")))</f>
        <v>-30659.776</v>
      </c>
    </row>
    <row r="2173" customFormat="false" ht="12.75" hidden="false" customHeight="false" outlineLevel="0" collapsed="false">
      <c r="A2173" s="1" t="n">
        <v>89</v>
      </c>
      <c r="B2173" s="1" t="n">
        <v>76</v>
      </c>
      <c r="C2173" s="1" t="n">
        <v>165</v>
      </c>
      <c r="D2173" s="1" t="s">
        <v>887</v>
      </c>
      <c r="E2173" s="1" t="s">
        <v>909</v>
      </c>
      <c r="F2173" s="1" t="s">
        <v>333</v>
      </c>
      <c r="G2173" s="1" t="n">
        <f aca="false">IF(ISNUMBER(E2173),E2173,VALUE(SUBSTITUTE(E2173,"#",".01")))</f>
        <v>-21795.01</v>
      </c>
    </row>
    <row r="2174" customFormat="false" ht="12.75" hidden="false" customHeight="false" outlineLevel="0" collapsed="false">
      <c r="A2174" s="1" t="n">
        <v>88</v>
      </c>
      <c r="B2174" s="1" t="n">
        <v>77</v>
      </c>
      <c r="C2174" s="1" t="n">
        <v>165</v>
      </c>
      <c r="D2174" s="1" t="s">
        <v>900</v>
      </c>
      <c r="E2174" s="1" t="s">
        <v>910</v>
      </c>
      <c r="F2174" s="1" t="s">
        <v>911</v>
      </c>
      <c r="G2174" s="1" t="n">
        <f aca="false">IF(ISNUMBER(E2174),E2174,VALUE(SUBSTITUTE(E2174,"#",".01")))</f>
        <v>-11593.01</v>
      </c>
    </row>
    <row r="2175" customFormat="false" ht="12.75" hidden="false" customHeight="false" outlineLevel="0" collapsed="false">
      <c r="A2175" s="1" t="n">
        <v>104</v>
      </c>
      <c r="B2175" s="1" t="n">
        <v>62</v>
      </c>
      <c r="C2175" s="1" t="n">
        <v>166</v>
      </c>
      <c r="D2175" s="1" t="s">
        <v>747</v>
      </c>
      <c r="E2175" s="1" t="s">
        <v>912</v>
      </c>
      <c r="F2175" s="1" t="s">
        <v>378</v>
      </c>
      <c r="G2175" s="1" t="n">
        <f aca="false">IF(ISNUMBER(E2175),E2175,VALUE(SUBSTITUTE(E2175,"#",".01")))</f>
        <v>-40730.01</v>
      </c>
    </row>
    <row r="2176" customFormat="false" ht="12.75" hidden="false" customHeight="false" outlineLevel="0" collapsed="false">
      <c r="A2176" s="1" t="n">
        <v>103</v>
      </c>
      <c r="B2176" s="1" t="n">
        <v>63</v>
      </c>
      <c r="C2176" s="1" t="n">
        <v>166</v>
      </c>
      <c r="D2176" s="1" t="s">
        <v>757</v>
      </c>
      <c r="E2176" s="1" t="s">
        <v>849</v>
      </c>
      <c r="F2176" s="1" t="s">
        <v>913</v>
      </c>
      <c r="G2176" s="1" t="n">
        <f aca="false">IF(ISNUMBER(E2176),E2176,VALUE(SUBSTITUTE(E2176,"#",".01")))</f>
        <v>-47208.01</v>
      </c>
    </row>
    <row r="2177" customFormat="false" ht="12.75" hidden="false" customHeight="false" outlineLevel="0" collapsed="false">
      <c r="A2177" s="1" t="n">
        <v>102</v>
      </c>
      <c r="B2177" s="1" t="n">
        <v>64</v>
      </c>
      <c r="C2177" s="1" t="n">
        <v>166</v>
      </c>
      <c r="D2177" s="1" t="s">
        <v>771</v>
      </c>
      <c r="E2177" s="1" t="s">
        <v>890</v>
      </c>
      <c r="F2177" s="1" t="s">
        <v>333</v>
      </c>
      <c r="G2177" s="1" t="n">
        <f aca="false">IF(ISNUMBER(E2177),E2177,VALUE(SUBSTITUTE(E2177,"#",".01")))</f>
        <v>-54530.01</v>
      </c>
    </row>
    <row r="2178" customFormat="false" ht="12.75" hidden="false" customHeight="false" outlineLevel="0" collapsed="false">
      <c r="A2178" s="1" t="n">
        <v>101</v>
      </c>
      <c r="B2178" s="1" t="n">
        <v>65</v>
      </c>
      <c r="C2178" s="1" t="n">
        <v>166</v>
      </c>
      <c r="D2178" s="1" t="s">
        <v>780</v>
      </c>
      <c r="E2178" s="1" t="n">
        <v>-57884.789</v>
      </c>
      <c r="F2178" s="1" t="n">
        <v>70.005</v>
      </c>
      <c r="G2178" s="1" t="n">
        <f aca="false">IF(ISNUMBER(E2178),E2178,VALUE(SUBSTITUTE(E2178,"#",".01")))</f>
        <v>-57884.789</v>
      </c>
    </row>
    <row r="2179" customFormat="false" ht="12.75" hidden="false" customHeight="false" outlineLevel="0" collapsed="false">
      <c r="A2179" s="1" t="n">
        <v>100</v>
      </c>
      <c r="B2179" s="1" t="n">
        <v>66</v>
      </c>
      <c r="C2179" s="1" t="n">
        <v>166</v>
      </c>
      <c r="D2179" s="1" t="s">
        <v>794</v>
      </c>
      <c r="E2179" s="1" t="n">
        <v>-62584.789</v>
      </c>
      <c r="F2179" s="1" t="n">
        <v>0.867</v>
      </c>
      <c r="G2179" s="1" t="n">
        <f aca="false">IF(ISNUMBER(E2179),E2179,VALUE(SUBSTITUTE(E2179,"#",".01")))</f>
        <v>-62584.789</v>
      </c>
    </row>
    <row r="2180" customFormat="false" ht="12.75" hidden="false" customHeight="false" outlineLevel="0" collapsed="false">
      <c r="A2180" s="1" t="n">
        <v>99</v>
      </c>
      <c r="B2180" s="1" t="n">
        <v>67</v>
      </c>
      <c r="C2180" s="1" t="n">
        <v>166</v>
      </c>
      <c r="D2180" s="1" t="s">
        <v>802</v>
      </c>
      <c r="E2180" s="1" t="n">
        <v>-63071.329</v>
      </c>
      <c r="F2180" s="1" t="n">
        <v>1.01</v>
      </c>
      <c r="G2180" s="1" t="n">
        <f aca="false">IF(ISNUMBER(E2180),E2180,VALUE(SUBSTITUTE(E2180,"#",".01")))</f>
        <v>-63071.329</v>
      </c>
    </row>
    <row r="2181" customFormat="false" ht="12.75" hidden="false" customHeight="false" outlineLevel="0" collapsed="false">
      <c r="A2181" s="1" t="n">
        <v>98</v>
      </c>
      <c r="B2181" s="1" t="n">
        <v>68</v>
      </c>
      <c r="C2181" s="1" t="n">
        <v>166</v>
      </c>
      <c r="D2181" s="1" t="s">
        <v>17</v>
      </c>
      <c r="E2181" s="1" t="n">
        <v>-64926.042</v>
      </c>
      <c r="F2181" s="1" t="n">
        <v>1.165</v>
      </c>
      <c r="G2181" s="1" t="n">
        <f aca="false">IF(ISNUMBER(E2181),E2181,VALUE(SUBSTITUTE(E2181,"#",".01")))</f>
        <v>-64926.042</v>
      </c>
    </row>
    <row r="2182" customFormat="false" ht="12.75" hidden="false" customHeight="false" outlineLevel="0" collapsed="false">
      <c r="A2182" s="1" t="n">
        <v>97</v>
      </c>
      <c r="B2182" s="1" t="n">
        <v>69</v>
      </c>
      <c r="C2182" s="1" t="n">
        <v>166</v>
      </c>
      <c r="D2182" s="1" t="s">
        <v>819</v>
      </c>
      <c r="E2182" s="1" t="n">
        <v>-61888.375</v>
      </c>
      <c r="F2182" s="1" t="n">
        <v>11.606</v>
      </c>
      <c r="G2182" s="1" t="n">
        <f aca="false">IF(ISNUMBER(E2182),E2182,VALUE(SUBSTITUTE(E2182,"#",".01")))</f>
        <v>-61888.375</v>
      </c>
    </row>
    <row r="2183" customFormat="false" ht="12.75" hidden="false" customHeight="false" outlineLevel="0" collapsed="false">
      <c r="A2183" s="1" t="n">
        <v>96</v>
      </c>
      <c r="B2183" s="1" t="n">
        <v>70</v>
      </c>
      <c r="C2183" s="1" t="n">
        <v>166</v>
      </c>
      <c r="D2183" s="1" t="s">
        <v>827</v>
      </c>
      <c r="E2183" s="1" t="n">
        <v>-61595.74</v>
      </c>
      <c r="F2183" s="1" t="n">
        <v>7.101</v>
      </c>
      <c r="G2183" s="1" t="n">
        <f aca="false">IF(ISNUMBER(E2183),E2183,VALUE(SUBSTITUTE(E2183,"#",".01")))</f>
        <v>-61595.74</v>
      </c>
    </row>
    <row r="2184" customFormat="false" ht="12.75" hidden="false" customHeight="false" outlineLevel="0" collapsed="false">
      <c r="A2184" s="1" t="n">
        <v>95</v>
      </c>
      <c r="B2184" s="1" t="n">
        <v>71</v>
      </c>
      <c r="C2184" s="1" t="n">
        <v>166</v>
      </c>
      <c r="D2184" s="1" t="s">
        <v>836</v>
      </c>
      <c r="E2184" s="1" t="n">
        <v>-56020.981</v>
      </c>
      <c r="F2184" s="1" t="n">
        <v>29.808</v>
      </c>
      <c r="G2184" s="1" t="n">
        <f aca="false">IF(ISNUMBER(E2184),E2184,VALUE(SUBSTITUTE(E2184,"#",".01")))</f>
        <v>-56020.981</v>
      </c>
    </row>
    <row r="2185" customFormat="false" ht="12.75" hidden="false" customHeight="false" outlineLevel="0" collapsed="false">
      <c r="A2185" s="1" t="n">
        <v>94</v>
      </c>
      <c r="B2185" s="1" t="n">
        <v>72</v>
      </c>
      <c r="C2185" s="1" t="n">
        <v>166</v>
      </c>
      <c r="D2185" s="1" t="s">
        <v>850</v>
      </c>
      <c r="E2185" s="1" t="n">
        <v>-53858.983</v>
      </c>
      <c r="F2185" s="1" t="n">
        <v>27.945</v>
      </c>
      <c r="G2185" s="1" t="n">
        <f aca="false">IF(ISNUMBER(E2185),E2185,VALUE(SUBSTITUTE(E2185,"#",".01")))</f>
        <v>-53858.983</v>
      </c>
    </row>
    <row r="2186" customFormat="false" ht="12.75" hidden="false" customHeight="false" outlineLevel="0" collapsed="false">
      <c r="A2186" s="1" t="n">
        <v>93</v>
      </c>
      <c r="B2186" s="1" t="n">
        <v>73</v>
      </c>
      <c r="C2186" s="1" t="n">
        <v>166</v>
      </c>
      <c r="D2186" s="1" t="s">
        <v>859</v>
      </c>
      <c r="E2186" s="1" t="n">
        <v>-46097.775</v>
      </c>
      <c r="F2186" s="1" t="n">
        <v>27.945</v>
      </c>
      <c r="G2186" s="1" t="n">
        <f aca="false">IF(ISNUMBER(E2186),E2186,VALUE(SUBSTITUTE(E2186,"#",".01")))</f>
        <v>-46097.775</v>
      </c>
    </row>
    <row r="2187" customFormat="false" ht="12.75" hidden="false" customHeight="false" outlineLevel="0" collapsed="false">
      <c r="A2187" s="1" t="n">
        <v>92</v>
      </c>
      <c r="B2187" s="1" t="n">
        <v>74</v>
      </c>
      <c r="C2187" s="1" t="n">
        <v>166</v>
      </c>
      <c r="D2187" s="1" t="s">
        <v>868</v>
      </c>
      <c r="E2187" s="1" t="n">
        <v>-41888.031</v>
      </c>
      <c r="F2187" s="1" t="n">
        <v>9.478</v>
      </c>
      <c r="G2187" s="1" t="n">
        <f aca="false">IF(ISNUMBER(E2187),E2187,VALUE(SUBSTITUTE(E2187,"#",".01")))</f>
        <v>-41888.031</v>
      </c>
    </row>
    <row r="2188" customFormat="false" ht="12.75" hidden="false" customHeight="false" outlineLevel="0" collapsed="false">
      <c r="A2188" s="1" t="n">
        <v>91</v>
      </c>
      <c r="B2188" s="1" t="n">
        <v>75</v>
      </c>
      <c r="C2188" s="1" t="n">
        <v>166</v>
      </c>
      <c r="D2188" s="1" t="s">
        <v>877</v>
      </c>
      <c r="E2188" s="1" t="n">
        <v>-31893.478</v>
      </c>
      <c r="F2188" s="1" t="n">
        <v>72.31</v>
      </c>
      <c r="G2188" s="1" t="n">
        <f aca="false">IF(ISNUMBER(E2188),E2188,VALUE(SUBSTITUTE(E2188,"#",".01")))</f>
        <v>-31893.478</v>
      </c>
    </row>
    <row r="2189" customFormat="false" ht="12.75" hidden="false" customHeight="false" outlineLevel="0" collapsed="false">
      <c r="A2189" s="1" t="n">
        <v>90</v>
      </c>
      <c r="B2189" s="1" t="n">
        <v>76</v>
      </c>
      <c r="C2189" s="1" t="n">
        <v>166</v>
      </c>
      <c r="D2189" s="1" t="s">
        <v>887</v>
      </c>
      <c r="E2189" s="1" t="n">
        <v>-25431.517</v>
      </c>
      <c r="F2189" s="1" t="n">
        <v>17.966</v>
      </c>
      <c r="G2189" s="1" t="n">
        <f aca="false">IF(ISNUMBER(E2189),E2189,VALUE(SUBSTITUTE(E2189,"#",".01")))</f>
        <v>-25431.517</v>
      </c>
    </row>
    <row r="2190" customFormat="false" ht="12.75" hidden="false" customHeight="false" outlineLevel="0" collapsed="false">
      <c r="A2190" s="1" t="n">
        <v>89</v>
      </c>
      <c r="B2190" s="1" t="n">
        <v>77</v>
      </c>
      <c r="C2190" s="1" t="n">
        <v>166</v>
      </c>
      <c r="D2190" s="1" t="s">
        <v>900</v>
      </c>
      <c r="E2190" s="1" t="s">
        <v>914</v>
      </c>
      <c r="F2190" s="1" t="s">
        <v>333</v>
      </c>
      <c r="G2190" s="1" t="n">
        <f aca="false">IF(ISNUMBER(E2190),E2190,VALUE(SUBSTITUTE(E2190,"#",".01")))</f>
        <v>-13354.01</v>
      </c>
    </row>
    <row r="2191" customFormat="false" ht="12.75" hidden="false" customHeight="false" outlineLevel="0" collapsed="false">
      <c r="A2191" s="1" t="n">
        <v>88</v>
      </c>
      <c r="B2191" s="1" t="n">
        <v>78</v>
      </c>
      <c r="C2191" s="1" t="n">
        <v>166</v>
      </c>
      <c r="D2191" s="1" t="s">
        <v>915</v>
      </c>
      <c r="E2191" s="1" t="s">
        <v>916</v>
      </c>
      <c r="F2191" s="1" t="s">
        <v>371</v>
      </c>
      <c r="G2191" s="1" t="n">
        <f aca="false">IF(ISNUMBER(E2191),E2191,VALUE(SUBSTITUTE(E2191,"#",".01")))</f>
        <v>-4730.01</v>
      </c>
    </row>
    <row r="2192" customFormat="false" ht="12.75" hidden="false" customHeight="false" outlineLevel="0" collapsed="false">
      <c r="A2192" s="1" t="n">
        <v>104</v>
      </c>
      <c r="B2192" s="1" t="n">
        <v>63</v>
      </c>
      <c r="C2192" s="1" t="n">
        <v>167</v>
      </c>
      <c r="D2192" s="1" t="s">
        <v>757</v>
      </c>
      <c r="E2192" s="1" t="s">
        <v>917</v>
      </c>
      <c r="F2192" s="1" t="s">
        <v>378</v>
      </c>
      <c r="G2192" s="1" t="n">
        <f aca="false">IF(ISNUMBER(E2192),E2192,VALUE(SUBSTITUTE(E2192,"#",".01")))</f>
        <v>-44010.01</v>
      </c>
    </row>
    <row r="2193" customFormat="false" ht="12.75" hidden="false" customHeight="false" outlineLevel="0" collapsed="false">
      <c r="A2193" s="1" t="n">
        <v>103</v>
      </c>
      <c r="B2193" s="1" t="n">
        <v>64</v>
      </c>
      <c r="C2193" s="1" t="n">
        <v>167</v>
      </c>
      <c r="D2193" s="1" t="s">
        <v>771</v>
      </c>
      <c r="E2193" s="1" t="s">
        <v>918</v>
      </c>
      <c r="F2193" s="1" t="s">
        <v>360</v>
      </c>
      <c r="G2193" s="1" t="n">
        <f aca="false">IF(ISNUMBER(E2193),E2193,VALUE(SUBSTITUTE(E2193,"#",".01")))</f>
        <v>-50813.01</v>
      </c>
    </row>
    <row r="2194" customFormat="false" ht="12.75" hidden="false" customHeight="false" outlineLevel="0" collapsed="false">
      <c r="A2194" s="1" t="n">
        <v>102</v>
      </c>
      <c r="B2194" s="1" t="n">
        <v>65</v>
      </c>
      <c r="C2194" s="1" t="n">
        <v>167</v>
      </c>
      <c r="D2194" s="1" t="s">
        <v>780</v>
      </c>
      <c r="E2194" s="1" t="s">
        <v>919</v>
      </c>
      <c r="F2194" s="1" t="s">
        <v>333</v>
      </c>
      <c r="G2194" s="1" t="n">
        <f aca="false">IF(ISNUMBER(E2194),E2194,VALUE(SUBSTITUTE(E2194,"#",".01")))</f>
        <v>-55927.01</v>
      </c>
    </row>
    <row r="2195" customFormat="false" ht="12.75" hidden="false" customHeight="false" outlineLevel="0" collapsed="false">
      <c r="A2195" s="1" t="n">
        <v>101</v>
      </c>
      <c r="B2195" s="1" t="n">
        <v>66</v>
      </c>
      <c r="C2195" s="1" t="n">
        <v>167</v>
      </c>
      <c r="D2195" s="1" t="s">
        <v>794</v>
      </c>
      <c r="E2195" s="1" t="n">
        <v>-59930.626</v>
      </c>
      <c r="F2195" s="1" t="n">
        <v>60.228</v>
      </c>
      <c r="G2195" s="1" t="n">
        <f aca="false">IF(ISNUMBER(E2195),E2195,VALUE(SUBSTITUTE(E2195,"#",".01")))</f>
        <v>-59930.626</v>
      </c>
    </row>
    <row r="2196" customFormat="false" ht="12.75" hidden="false" customHeight="false" outlineLevel="0" collapsed="false">
      <c r="A2196" s="1" t="n">
        <v>100</v>
      </c>
      <c r="B2196" s="1" t="n">
        <v>67</v>
      </c>
      <c r="C2196" s="1" t="n">
        <v>167</v>
      </c>
      <c r="D2196" s="1" t="s">
        <v>802</v>
      </c>
      <c r="E2196" s="1" t="n">
        <v>-62280.626</v>
      </c>
      <c r="F2196" s="1" t="n">
        <v>5.234</v>
      </c>
      <c r="G2196" s="1" t="n">
        <f aca="false">IF(ISNUMBER(E2196),E2196,VALUE(SUBSTITUTE(E2196,"#",".01")))</f>
        <v>-62280.626</v>
      </c>
    </row>
    <row r="2197" customFormat="false" ht="12.75" hidden="false" customHeight="false" outlineLevel="0" collapsed="false">
      <c r="A2197" s="1" t="n">
        <v>99</v>
      </c>
      <c r="B2197" s="1" t="n">
        <v>68</v>
      </c>
      <c r="C2197" s="1" t="n">
        <v>167</v>
      </c>
      <c r="D2197" s="1" t="s">
        <v>17</v>
      </c>
      <c r="E2197" s="1" t="n">
        <v>-63291.18</v>
      </c>
      <c r="F2197" s="1" t="n">
        <v>1.166</v>
      </c>
      <c r="G2197" s="1" t="n">
        <f aca="false">IF(ISNUMBER(E2197),E2197,VALUE(SUBSTITUTE(E2197,"#",".01")))</f>
        <v>-63291.18</v>
      </c>
    </row>
    <row r="2198" customFormat="false" ht="12.75" hidden="false" customHeight="false" outlineLevel="0" collapsed="false">
      <c r="A2198" s="1" t="n">
        <v>98</v>
      </c>
      <c r="B2198" s="1" t="n">
        <v>69</v>
      </c>
      <c r="C2198" s="1" t="n">
        <v>167</v>
      </c>
      <c r="D2198" s="1" t="s">
        <v>819</v>
      </c>
      <c r="E2198" s="1" t="n">
        <v>-62543.641</v>
      </c>
      <c r="F2198" s="1" t="n">
        <v>1.298</v>
      </c>
      <c r="G2198" s="1" t="n">
        <f aca="false">IF(ISNUMBER(E2198),E2198,VALUE(SUBSTITUTE(E2198,"#",".01")))</f>
        <v>-62543.641</v>
      </c>
    </row>
    <row r="2199" customFormat="false" ht="12.75" hidden="false" customHeight="false" outlineLevel="0" collapsed="false">
      <c r="A2199" s="1" t="n">
        <v>97</v>
      </c>
      <c r="B2199" s="1" t="n">
        <v>70</v>
      </c>
      <c r="C2199" s="1" t="n">
        <v>167</v>
      </c>
      <c r="D2199" s="1" t="s">
        <v>827</v>
      </c>
      <c r="E2199" s="1" t="n">
        <v>-60590.576</v>
      </c>
      <c r="F2199" s="1" t="n">
        <v>3.981</v>
      </c>
      <c r="G2199" s="1" t="n">
        <f aca="false">IF(ISNUMBER(E2199),E2199,VALUE(SUBSTITUTE(E2199,"#",".01")))</f>
        <v>-60590.576</v>
      </c>
    </row>
    <row r="2200" customFormat="false" ht="12.75" hidden="false" customHeight="false" outlineLevel="0" collapsed="false">
      <c r="A2200" s="1" t="n">
        <v>96</v>
      </c>
      <c r="B2200" s="1" t="n">
        <v>71</v>
      </c>
      <c r="C2200" s="1" t="n">
        <v>167</v>
      </c>
      <c r="D2200" s="1" t="s">
        <v>836</v>
      </c>
      <c r="E2200" s="1" t="n">
        <v>-57501.125</v>
      </c>
      <c r="F2200" s="1" t="n">
        <v>31.671</v>
      </c>
      <c r="G2200" s="1" t="n">
        <f aca="false">IF(ISNUMBER(E2200),E2200,VALUE(SUBSTITUTE(E2200,"#",".01")))</f>
        <v>-57501.125</v>
      </c>
    </row>
    <row r="2201" customFormat="false" ht="12.75" hidden="false" customHeight="false" outlineLevel="0" collapsed="false">
      <c r="A2201" s="1" t="n">
        <v>95</v>
      </c>
      <c r="B2201" s="1" t="n">
        <v>72</v>
      </c>
      <c r="C2201" s="1" t="n">
        <v>167</v>
      </c>
      <c r="D2201" s="1" t="s">
        <v>850</v>
      </c>
      <c r="E2201" s="1" t="n">
        <v>-53467.756</v>
      </c>
      <c r="F2201" s="1" t="n">
        <v>27.945</v>
      </c>
      <c r="G2201" s="1" t="n">
        <f aca="false">IF(ISNUMBER(E2201),E2201,VALUE(SUBSTITUTE(E2201,"#",".01")))</f>
        <v>-53467.756</v>
      </c>
    </row>
    <row r="2202" customFormat="false" ht="12.75" hidden="false" customHeight="false" outlineLevel="0" collapsed="false">
      <c r="A2202" s="1" t="n">
        <v>94</v>
      </c>
      <c r="B2202" s="1" t="n">
        <v>73</v>
      </c>
      <c r="C2202" s="1" t="n">
        <v>167</v>
      </c>
      <c r="D2202" s="1" t="s">
        <v>859</v>
      </c>
      <c r="E2202" s="1" t="n">
        <v>-48351.059</v>
      </c>
      <c r="F2202" s="1" t="n">
        <v>27.945</v>
      </c>
      <c r="G2202" s="1" t="n">
        <f aca="false">IF(ISNUMBER(E2202),E2202,VALUE(SUBSTITUTE(E2202,"#",".01")))</f>
        <v>-48351.059</v>
      </c>
    </row>
    <row r="2203" customFormat="false" ht="12.75" hidden="false" customHeight="false" outlineLevel="0" collapsed="false">
      <c r="A2203" s="1" t="n">
        <v>93</v>
      </c>
      <c r="B2203" s="1" t="n">
        <v>74</v>
      </c>
      <c r="C2203" s="1" t="n">
        <v>167</v>
      </c>
      <c r="D2203" s="1" t="s">
        <v>868</v>
      </c>
      <c r="E2203" s="1" t="n">
        <v>-42098.058</v>
      </c>
      <c r="F2203" s="1" t="n">
        <v>18.261</v>
      </c>
      <c r="G2203" s="1" t="n">
        <f aca="false">IF(ISNUMBER(E2203),E2203,VALUE(SUBSTITUTE(E2203,"#",".01")))</f>
        <v>-42098.058</v>
      </c>
    </row>
    <row r="2204" customFormat="false" ht="12.75" hidden="false" customHeight="false" outlineLevel="0" collapsed="false">
      <c r="A2204" s="1" t="n">
        <v>92</v>
      </c>
      <c r="B2204" s="1" t="n">
        <v>75</v>
      </c>
      <c r="C2204" s="1" t="n">
        <v>167</v>
      </c>
      <c r="D2204" s="1" t="s">
        <v>877</v>
      </c>
      <c r="E2204" s="1" t="s">
        <v>920</v>
      </c>
      <c r="F2204" s="1" t="s">
        <v>921</v>
      </c>
      <c r="G2204" s="1" t="n">
        <f aca="false">IF(ISNUMBER(E2204),E2204,VALUE(SUBSTITUTE(E2204,"#",".01")))</f>
        <v>-34831.01</v>
      </c>
    </row>
    <row r="2205" customFormat="false" ht="12.75" hidden="false" customHeight="false" outlineLevel="0" collapsed="false">
      <c r="A2205" s="1" t="n">
        <v>91</v>
      </c>
      <c r="B2205" s="1" t="n">
        <v>76</v>
      </c>
      <c r="C2205" s="1" t="n">
        <v>167</v>
      </c>
      <c r="D2205" s="1" t="s">
        <v>887</v>
      </c>
      <c r="E2205" s="1" t="n">
        <v>-26501.993</v>
      </c>
      <c r="F2205" s="1" t="n">
        <v>72.682</v>
      </c>
      <c r="G2205" s="1" t="n">
        <f aca="false">IF(ISNUMBER(E2205),E2205,VALUE(SUBSTITUTE(E2205,"#",".01")))</f>
        <v>-26501.993</v>
      </c>
    </row>
    <row r="2206" customFormat="false" ht="12.75" hidden="false" customHeight="false" outlineLevel="0" collapsed="false">
      <c r="A2206" s="1" t="n">
        <v>90</v>
      </c>
      <c r="B2206" s="1" t="n">
        <v>77</v>
      </c>
      <c r="C2206" s="1" t="n">
        <v>167</v>
      </c>
      <c r="D2206" s="1" t="s">
        <v>900</v>
      </c>
      <c r="E2206" s="1" t="n">
        <v>-17072.44</v>
      </c>
      <c r="F2206" s="1" t="n">
        <v>18.346</v>
      </c>
      <c r="G2206" s="1" t="n">
        <f aca="false">IF(ISNUMBER(E2206),E2206,VALUE(SUBSTITUTE(E2206,"#",".01")))</f>
        <v>-17072.44</v>
      </c>
    </row>
    <row r="2207" customFormat="false" ht="12.75" hidden="false" customHeight="false" outlineLevel="0" collapsed="false">
      <c r="A2207" s="1" t="n">
        <v>89</v>
      </c>
      <c r="B2207" s="1" t="n">
        <v>78</v>
      </c>
      <c r="C2207" s="1" t="n">
        <v>167</v>
      </c>
      <c r="D2207" s="1" t="s">
        <v>915</v>
      </c>
      <c r="E2207" s="1" t="s">
        <v>922</v>
      </c>
      <c r="F2207" s="1" t="s">
        <v>923</v>
      </c>
      <c r="G2207" s="1" t="n">
        <f aca="false">IF(ISNUMBER(E2207),E2207,VALUE(SUBSTITUTE(E2207,"#",".01")))</f>
        <v>-6612.01</v>
      </c>
    </row>
    <row r="2208" customFormat="false" ht="12.75" hidden="false" customHeight="false" outlineLevel="0" collapsed="false">
      <c r="A2208" s="1" t="n">
        <v>105</v>
      </c>
      <c r="B2208" s="1" t="n">
        <v>63</v>
      </c>
      <c r="C2208" s="1" t="n">
        <v>168</v>
      </c>
      <c r="D2208" s="1" t="s">
        <v>757</v>
      </c>
      <c r="E2208" s="1" t="s">
        <v>924</v>
      </c>
      <c r="F2208" s="1" t="s">
        <v>337</v>
      </c>
      <c r="G2208" s="1" t="n">
        <f aca="false">IF(ISNUMBER(E2208),E2208,VALUE(SUBSTITUTE(E2208,"#",".01")))</f>
        <v>-39740.01</v>
      </c>
    </row>
    <row r="2209" customFormat="false" ht="12.75" hidden="false" customHeight="false" outlineLevel="0" collapsed="false">
      <c r="A2209" s="1" t="n">
        <v>104</v>
      </c>
      <c r="B2209" s="1" t="n">
        <v>64</v>
      </c>
      <c r="C2209" s="1" t="n">
        <v>168</v>
      </c>
      <c r="D2209" s="1" t="s">
        <v>771</v>
      </c>
      <c r="E2209" s="1" t="s">
        <v>925</v>
      </c>
      <c r="F2209" s="1" t="s">
        <v>320</v>
      </c>
      <c r="G2209" s="1" t="n">
        <f aca="false">IF(ISNUMBER(E2209),E2209,VALUE(SUBSTITUTE(E2209,"#",".01")))</f>
        <v>-48363.01</v>
      </c>
    </row>
    <row r="2210" customFormat="false" ht="12.75" hidden="false" customHeight="false" outlineLevel="0" collapsed="false">
      <c r="A2210" s="1" t="n">
        <v>103</v>
      </c>
      <c r="B2210" s="1" t="n">
        <v>65</v>
      </c>
      <c r="C2210" s="1" t="n">
        <v>168</v>
      </c>
      <c r="D2210" s="1" t="s">
        <v>780</v>
      </c>
      <c r="E2210" s="1" t="s">
        <v>926</v>
      </c>
      <c r="F2210" s="1" t="s">
        <v>360</v>
      </c>
      <c r="G2210" s="1" t="n">
        <f aca="false">IF(ISNUMBER(E2210),E2210,VALUE(SUBSTITUTE(E2210,"#",".01")))</f>
        <v>-52723.01</v>
      </c>
    </row>
    <row r="2211" customFormat="false" ht="12.75" hidden="false" customHeight="false" outlineLevel="0" collapsed="false">
      <c r="A2211" s="1" t="n">
        <v>102</v>
      </c>
      <c r="B2211" s="1" t="n">
        <v>66</v>
      </c>
      <c r="C2211" s="1" t="n">
        <v>168</v>
      </c>
      <c r="D2211" s="1" t="s">
        <v>794</v>
      </c>
      <c r="E2211" s="1" t="n">
        <v>-58559.566</v>
      </c>
      <c r="F2211" s="1" t="n">
        <v>140.009</v>
      </c>
      <c r="G2211" s="1" t="n">
        <f aca="false">IF(ISNUMBER(E2211),E2211,VALUE(SUBSTITUTE(E2211,"#",".01")))</f>
        <v>-58559.566</v>
      </c>
    </row>
    <row r="2212" customFormat="false" ht="12.75" hidden="false" customHeight="false" outlineLevel="0" collapsed="false">
      <c r="A2212" s="1" t="n">
        <v>101</v>
      </c>
      <c r="B2212" s="1" t="n">
        <v>67</v>
      </c>
      <c r="C2212" s="1" t="n">
        <v>168</v>
      </c>
      <c r="D2212" s="1" t="s">
        <v>802</v>
      </c>
      <c r="E2212" s="1" t="n">
        <v>-60061.171</v>
      </c>
      <c r="F2212" s="1" t="n">
        <v>30.023</v>
      </c>
      <c r="G2212" s="1" t="n">
        <f aca="false">IF(ISNUMBER(E2212),E2212,VALUE(SUBSTITUTE(E2212,"#",".01")))</f>
        <v>-60061.171</v>
      </c>
    </row>
    <row r="2213" customFormat="false" ht="12.75" hidden="false" customHeight="false" outlineLevel="0" collapsed="false">
      <c r="A2213" s="1" t="n">
        <v>100</v>
      </c>
      <c r="B2213" s="1" t="n">
        <v>68</v>
      </c>
      <c r="C2213" s="1" t="n">
        <v>168</v>
      </c>
      <c r="D2213" s="1" t="s">
        <v>17</v>
      </c>
      <c r="E2213" s="1" t="n">
        <v>-62991.171</v>
      </c>
      <c r="F2213" s="1" t="n">
        <v>1.168</v>
      </c>
      <c r="G2213" s="1" t="n">
        <f aca="false">IF(ISNUMBER(E2213),E2213,VALUE(SUBSTITUTE(E2213,"#",".01")))</f>
        <v>-62991.171</v>
      </c>
    </row>
    <row r="2214" customFormat="false" ht="12.75" hidden="false" customHeight="false" outlineLevel="0" collapsed="false">
      <c r="A2214" s="1" t="n">
        <v>99</v>
      </c>
      <c r="B2214" s="1" t="n">
        <v>69</v>
      </c>
      <c r="C2214" s="1" t="n">
        <v>168</v>
      </c>
      <c r="D2214" s="1" t="s">
        <v>819</v>
      </c>
      <c r="E2214" s="1" t="n">
        <v>-61312.921</v>
      </c>
      <c r="F2214" s="1" t="n">
        <v>1.709</v>
      </c>
      <c r="G2214" s="1" t="n">
        <f aca="false">IF(ISNUMBER(E2214),E2214,VALUE(SUBSTITUTE(E2214,"#",".01")))</f>
        <v>-61312.921</v>
      </c>
    </row>
    <row r="2215" customFormat="false" ht="12.75" hidden="false" customHeight="false" outlineLevel="0" collapsed="false">
      <c r="A2215" s="1" t="n">
        <v>98</v>
      </c>
      <c r="B2215" s="1" t="n">
        <v>70</v>
      </c>
      <c r="C2215" s="1" t="n">
        <v>168</v>
      </c>
      <c r="D2215" s="1" t="s">
        <v>827</v>
      </c>
      <c r="E2215" s="1" t="n">
        <v>-61581.901</v>
      </c>
      <c r="F2215" s="1" t="n">
        <v>1.195</v>
      </c>
      <c r="G2215" s="1" t="n">
        <f aca="false">IF(ISNUMBER(E2215),E2215,VALUE(SUBSTITUTE(E2215,"#",".01")))</f>
        <v>-61581.901</v>
      </c>
    </row>
    <row r="2216" customFormat="false" ht="12.75" hidden="false" customHeight="false" outlineLevel="0" collapsed="false">
      <c r="A2216" s="1" t="n">
        <v>97</v>
      </c>
      <c r="B2216" s="1" t="n">
        <v>71</v>
      </c>
      <c r="C2216" s="1" t="n">
        <v>168</v>
      </c>
      <c r="D2216" s="1" t="s">
        <v>836</v>
      </c>
      <c r="E2216" s="1" t="n">
        <v>-57067.85</v>
      </c>
      <c r="F2216" s="1" t="n">
        <v>39.266</v>
      </c>
      <c r="G2216" s="1" t="n">
        <f aca="false">IF(ISNUMBER(E2216),E2216,VALUE(SUBSTITUTE(E2216,"#",".01")))</f>
        <v>-57067.85</v>
      </c>
    </row>
    <row r="2217" customFormat="false" ht="12.75" hidden="false" customHeight="false" outlineLevel="0" collapsed="false">
      <c r="A2217" s="1" t="n">
        <v>96</v>
      </c>
      <c r="B2217" s="1" t="n">
        <v>72</v>
      </c>
      <c r="C2217" s="1" t="n">
        <v>168</v>
      </c>
      <c r="D2217" s="1" t="s">
        <v>850</v>
      </c>
      <c r="E2217" s="1" t="n">
        <v>-55360.552</v>
      </c>
      <c r="F2217" s="1" t="n">
        <v>27.945</v>
      </c>
      <c r="G2217" s="1" t="n">
        <f aca="false">IF(ISNUMBER(E2217),E2217,VALUE(SUBSTITUTE(E2217,"#",".01")))</f>
        <v>-55360.552</v>
      </c>
    </row>
    <row r="2218" customFormat="false" ht="12.75" hidden="false" customHeight="false" outlineLevel="0" collapsed="false">
      <c r="A2218" s="1" t="n">
        <v>95</v>
      </c>
      <c r="B2218" s="1" t="n">
        <v>73</v>
      </c>
      <c r="C2218" s="1" t="n">
        <v>168</v>
      </c>
      <c r="D2218" s="1" t="s">
        <v>859</v>
      </c>
      <c r="E2218" s="1" t="n">
        <v>-48393.908</v>
      </c>
      <c r="F2218" s="1" t="n">
        <v>27.945</v>
      </c>
      <c r="G2218" s="1" t="n">
        <f aca="false">IF(ISNUMBER(E2218),E2218,VALUE(SUBSTITUTE(E2218,"#",".01")))</f>
        <v>-48393.908</v>
      </c>
    </row>
    <row r="2219" customFormat="false" ht="12.75" hidden="false" customHeight="false" outlineLevel="0" collapsed="false">
      <c r="A2219" s="1" t="n">
        <v>94</v>
      </c>
      <c r="B2219" s="1" t="n">
        <v>74</v>
      </c>
      <c r="C2219" s="1" t="n">
        <v>168</v>
      </c>
      <c r="D2219" s="1" t="s">
        <v>868</v>
      </c>
      <c r="E2219" s="1" t="n">
        <v>-44893.109</v>
      </c>
      <c r="F2219" s="1" t="n">
        <v>13.271</v>
      </c>
      <c r="G2219" s="1" t="n">
        <f aca="false">IF(ISNUMBER(E2219),E2219,VALUE(SUBSTITUTE(E2219,"#",".01")))</f>
        <v>-44893.109</v>
      </c>
    </row>
    <row r="2220" customFormat="false" ht="12.75" hidden="false" customHeight="false" outlineLevel="0" collapsed="false">
      <c r="A2220" s="1" t="n">
        <v>93</v>
      </c>
      <c r="B2220" s="1" t="n">
        <v>75</v>
      </c>
      <c r="C2220" s="1" t="n">
        <v>168</v>
      </c>
      <c r="D2220" s="1" t="s">
        <v>877</v>
      </c>
      <c r="E2220" s="1" t="n">
        <v>-35794.885</v>
      </c>
      <c r="F2220" s="1" t="n">
        <v>30.821</v>
      </c>
      <c r="G2220" s="1" t="n">
        <f aca="false">IF(ISNUMBER(E2220),E2220,VALUE(SUBSTITUTE(E2220,"#",".01")))</f>
        <v>-35794.885</v>
      </c>
    </row>
    <row r="2221" customFormat="false" ht="12.75" hidden="false" customHeight="false" outlineLevel="0" collapsed="false">
      <c r="A2221" s="1" t="n">
        <v>92</v>
      </c>
      <c r="B2221" s="1" t="n">
        <v>76</v>
      </c>
      <c r="C2221" s="1" t="n">
        <v>168</v>
      </c>
      <c r="D2221" s="1" t="s">
        <v>887</v>
      </c>
      <c r="E2221" s="1" t="n">
        <v>-29995.213</v>
      </c>
      <c r="F2221" s="1" t="n">
        <v>9.904</v>
      </c>
      <c r="G2221" s="1" t="n">
        <f aca="false">IF(ISNUMBER(E2221),E2221,VALUE(SUBSTITUTE(E2221,"#",".01")))</f>
        <v>-29995.213</v>
      </c>
    </row>
    <row r="2222" customFormat="false" ht="12.75" hidden="false" customHeight="false" outlineLevel="0" collapsed="false">
      <c r="A2222" s="1" t="n">
        <v>91</v>
      </c>
      <c r="B2222" s="1" t="n">
        <v>77</v>
      </c>
      <c r="C2222" s="1" t="n">
        <v>168</v>
      </c>
      <c r="D2222" s="1" t="s">
        <v>900</v>
      </c>
      <c r="E2222" s="1" t="n">
        <v>-18666.226</v>
      </c>
      <c r="F2222" s="1" t="n">
        <v>55.216</v>
      </c>
      <c r="G2222" s="1" t="n">
        <f aca="false">IF(ISNUMBER(E2222),E2222,VALUE(SUBSTITUTE(E2222,"#",".01")))</f>
        <v>-18666.226</v>
      </c>
    </row>
    <row r="2223" customFormat="false" ht="12.75" hidden="false" customHeight="false" outlineLevel="0" collapsed="false">
      <c r="A2223" s="1" t="n">
        <v>90</v>
      </c>
      <c r="B2223" s="1" t="n">
        <v>78</v>
      </c>
      <c r="C2223" s="1" t="n">
        <v>168</v>
      </c>
      <c r="D2223" s="1" t="s">
        <v>915</v>
      </c>
      <c r="E2223" s="1" t="n">
        <v>-11007.46</v>
      </c>
      <c r="F2223" s="1" t="n">
        <v>149.951</v>
      </c>
      <c r="G2223" s="1" t="n">
        <f aca="false">IF(ISNUMBER(E2223),E2223,VALUE(SUBSTITUTE(E2223,"#",".01")))</f>
        <v>-11007.46</v>
      </c>
    </row>
    <row r="2224" customFormat="false" ht="12.75" hidden="false" customHeight="false" outlineLevel="0" collapsed="false">
      <c r="A2224" s="1" t="n">
        <v>105</v>
      </c>
      <c r="B2224" s="1" t="n">
        <v>64</v>
      </c>
      <c r="C2224" s="1" t="n">
        <v>169</v>
      </c>
      <c r="D2224" s="1" t="s">
        <v>771</v>
      </c>
      <c r="E2224" s="1" t="s">
        <v>927</v>
      </c>
      <c r="F2224" s="1" t="s">
        <v>323</v>
      </c>
      <c r="G2224" s="1" t="n">
        <f aca="false">IF(ISNUMBER(E2224),E2224,VALUE(SUBSTITUTE(E2224,"#",".01")))</f>
        <v>-44153.01</v>
      </c>
    </row>
    <row r="2225" customFormat="false" ht="12.75" hidden="false" customHeight="false" outlineLevel="0" collapsed="false">
      <c r="A2225" s="1" t="n">
        <v>104</v>
      </c>
      <c r="B2225" s="1" t="n">
        <v>65</v>
      </c>
      <c r="C2225" s="1" t="n">
        <v>169</v>
      </c>
      <c r="D2225" s="1" t="s">
        <v>780</v>
      </c>
      <c r="E2225" s="1" t="s">
        <v>928</v>
      </c>
      <c r="F2225" s="1" t="s">
        <v>360</v>
      </c>
      <c r="G2225" s="1" t="n">
        <f aca="false">IF(ISNUMBER(E2225),E2225,VALUE(SUBSTITUTE(E2225,"#",".01")))</f>
        <v>-50329.01</v>
      </c>
    </row>
    <row r="2226" customFormat="false" ht="12.75" hidden="false" customHeight="false" outlineLevel="0" collapsed="false">
      <c r="A2226" s="1" t="n">
        <v>103</v>
      </c>
      <c r="B2226" s="1" t="n">
        <v>66</v>
      </c>
      <c r="C2226" s="1" t="n">
        <v>169</v>
      </c>
      <c r="D2226" s="1" t="s">
        <v>794</v>
      </c>
      <c r="E2226" s="1" t="n">
        <v>-55597.177</v>
      </c>
      <c r="F2226" s="1" t="n">
        <v>300.67</v>
      </c>
      <c r="G2226" s="1" t="n">
        <f aca="false">IF(ISNUMBER(E2226),E2226,VALUE(SUBSTITUTE(E2226,"#",".01")))</f>
        <v>-55597.177</v>
      </c>
    </row>
    <row r="2227" customFormat="false" ht="12.75" hidden="false" customHeight="false" outlineLevel="0" collapsed="false">
      <c r="A2227" s="1" t="n">
        <v>102</v>
      </c>
      <c r="B2227" s="1" t="n">
        <v>67</v>
      </c>
      <c r="C2227" s="1" t="n">
        <v>169</v>
      </c>
      <c r="D2227" s="1" t="s">
        <v>802</v>
      </c>
      <c r="E2227" s="1" t="n">
        <v>-58797.177</v>
      </c>
      <c r="F2227" s="1" t="n">
        <v>20.06</v>
      </c>
      <c r="G2227" s="1" t="n">
        <f aca="false">IF(ISNUMBER(E2227),E2227,VALUE(SUBSTITUTE(E2227,"#",".01")))</f>
        <v>-58797.177</v>
      </c>
    </row>
    <row r="2228" customFormat="false" ht="12.75" hidden="false" customHeight="false" outlineLevel="0" collapsed="false">
      <c r="A2228" s="1" t="n">
        <v>101</v>
      </c>
      <c r="B2228" s="1" t="n">
        <v>68</v>
      </c>
      <c r="C2228" s="1" t="n">
        <v>169</v>
      </c>
      <c r="D2228" s="1" t="s">
        <v>17</v>
      </c>
      <c r="E2228" s="1" t="n">
        <v>-60923.104</v>
      </c>
      <c r="F2228" s="1" t="n">
        <v>1.179</v>
      </c>
      <c r="G2228" s="1" t="n">
        <f aca="false">IF(ISNUMBER(E2228),E2228,VALUE(SUBSTITUTE(E2228,"#",".01")))</f>
        <v>-60923.104</v>
      </c>
    </row>
    <row r="2229" customFormat="false" ht="12.75" hidden="false" customHeight="false" outlineLevel="0" collapsed="false">
      <c r="A2229" s="1" t="n">
        <v>100</v>
      </c>
      <c r="B2229" s="1" t="n">
        <v>69</v>
      </c>
      <c r="C2229" s="1" t="n">
        <v>169</v>
      </c>
      <c r="D2229" s="1" t="s">
        <v>819</v>
      </c>
      <c r="E2229" s="1" t="n">
        <v>-61275.212</v>
      </c>
      <c r="F2229" s="1" t="n">
        <v>0.812</v>
      </c>
      <c r="G2229" s="1" t="n">
        <f aca="false">IF(ISNUMBER(E2229),E2229,VALUE(SUBSTITUTE(E2229,"#",".01")))</f>
        <v>-61275.212</v>
      </c>
    </row>
    <row r="2230" customFormat="false" ht="12.75" hidden="false" customHeight="false" outlineLevel="0" collapsed="false">
      <c r="A2230" s="1" t="n">
        <v>99</v>
      </c>
      <c r="B2230" s="1" t="n">
        <v>70</v>
      </c>
      <c r="C2230" s="1" t="n">
        <v>169</v>
      </c>
      <c r="D2230" s="1" t="s">
        <v>827</v>
      </c>
      <c r="E2230" s="1" t="n">
        <v>-60377.563</v>
      </c>
      <c r="F2230" s="1" t="n">
        <v>1.205</v>
      </c>
      <c r="G2230" s="1" t="n">
        <f aca="false">IF(ISNUMBER(E2230),E2230,VALUE(SUBSTITUTE(E2230,"#",".01")))</f>
        <v>-60377.563</v>
      </c>
    </row>
    <row r="2231" customFormat="false" ht="12.75" hidden="false" customHeight="false" outlineLevel="0" collapsed="false">
      <c r="A2231" s="1" t="n">
        <v>98</v>
      </c>
      <c r="B2231" s="1" t="n">
        <v>71</v>
      </c>
      <c r="C2231" s="1" t="n">
        <v>169</v>
      </c>
      <c r="D2231" s="1" t="s">
        <v>836</v>
      </c>
      <c r="E2231" s="1" t="n">
        <v>-58084.563</v>
      </c>
      <c r="F2231" s="1" t="n">
        <v>3.233</v>
      </c>
      <c r="G2231" s="1" t="n">
        <f aca="false">IF(ISNUMBER(E2231),E2231,VALUE(SUBSTITUTE(E2231,"#",".01")))</f>
        <v>-58084.563</v>
      </c>
    </row>
    <row r="2232" customFormat="false" ht="12.75" hidden="false" customHeight="false" outlineLevel="0" collapsed="false">
      <c r="A2232" s="1" t="n">
        <v>97</v>
      </c>
      <c r="B2232" s="1" t="n">
        <v>72</v>
      </c>
      <c r="C2232" s="1" t="n">
        <v>169</v>
      </c>
      <c r="D2232" s="1" t="s">
        <v>850</v>
      </c>
      <c r="E2232" s="1" t="n">
        <v>-54716.889</v>
      </c>
      <c r="F2232" s="1" t="n">
        <v>27.945</v>
      </c>
      <c r="G2232" s="1" t="n">
        <f aca="false">IF(ISNUMBER(E2232),E2232,VALUE(SUBSTITUTE(E2232,"#",".01")))</f>
        <v>-54716.889</v>
      </c>
    </row>
    <row r="2233" customFormat="false" ht="12.75" hidden="false" customHeight="false" outlineLevel="0" collapsed="false">
      <c r="A2233" s="1" t="n">
        <v>96</v>
      </c>
      <c r="B2233" s="1" t="n">
        <v>73</v>
      </c>
      <c r="C2233" s="1" t="n">
        <v>169</v>
      </c>
      <c r="D2233" s="1" t="s">
        <v>859</v>
      </c>
      <c r="E2233" s="1" t="n">
        <v>-50290.43</v>
      </c>
      <c r="F2233" s="1" t="n">
        <v>27.945</v>
      </c>
      <c r="G2233" s="1" t="n">
        <f aca="false">IF(ISNUMBER(E2233),E2233,VALUE(SUBSTITUTE(E2233,"#",".01")))</f>
        <v>-50290.43</v>
      </c>
    </row>
    <row r="2234" customFormat="false" ht="12.75" hidden="false" customHeight="false" outlineLevel="0" collapsed="false">
      <c r="A2234" s="1" t="n">
        <v>95</v>
      </c>
      <c r="B2234" s="1" t="n">
        <v>74</v>
      </c>
      <c r="C2234" s="1" t="n">
        <v>169</v>
      </c>
      <c r="D2234" s="1" t="s">
        <v>868</v>
      </c>
      <c r="E2234" s="1" t="n">
        <v>-44917.873</v>
      </c>
      <c r="F2234" s="1" t="n">
        <v>15.436</v>
      </c>
      <c r="G2234" s="1" t="n">
        <f aca="false">IF(ISNUMBER(E2234),E2234,VALUE(SUBSTITUTE(E2234,"#",".01")))</f>
        <v>-44917.873</v>
      </c>
    </row>
    <row r="2235" customFormat="false" ht="12.75" hidden="false" customHeight="false" outlineLevel="0" collapsed="false">
      <c r="A2235" s="1" t="n">
        <v>94</v>
      </c>
      <c r="B2235" s="1" t="n">
        <v>75</v>
      </c>
      <c r="C2235" s="1" t="n">
        <v>169</v>
      </c>
      <c r="D2235" s="1" t="s">
        <v>877</v>
      </c>
      <c r="E2235" s="1" t="n">
        <v>-38409.232</v>
      </c>
      <c r="F2235" s="1" t="n">
        <v>11.374</v>
      </c>
      <c r="G2235" s="1" t="n">
        <f aca="false">IF(ISNUMBER(E2235),E2235,VALUE(SUBSTITUTE(E2235,"#",".01")))</f>
        <v>-38409.232</v>
      </c>
    </row>
    <row r="2236" customFormat="false" ht="12.75" hidden="false" customHeight="false" outlineLevel="0" collapsed="false">
      <c r="A2236" s="1" t="n">
        <v>93</v>
      </c>
      <c r="B2236" s="1" t="n">
        <v>76</v>
      </c>
      <c r="C2236" s="1" t="n">
        <v>169</v>
      </c>
      <c r="D2236" s="1" t="s">
        <v>887</v>
      </c>
      <c r="E2236" s="1" t="n">
        <v>-30722.691</v>
      </c>
      <c r="F2236" s="1" t="n">
        <v>25.167</v>
      </c>
      <c r="G2236" s="1" t="n">
        <f aca="false">IF(ISNUMBER(E2236),E2236,VALUE(SUBSTITUTE(E2236,"#",".01")))</f>
        <v>-30722.691</v>
      </c>
    </row>
    <row r="2237" customFormat="false" ht="12.75" hidden="false" customHeight="false" outlineLevel="0" collapsed="false">
      <c r="A2237" s="1" t="n">
        <v>92</v>
      </c>
      <c r="B2237" s="1" t="n">
        <v>77</v>
      </c>
      <c r="C2237" s="1" t="n">
        <v>169</v>
      </c>
      <c r="D2237" s="1" t="s">
        <v>900</v>
      </c>
      <c r="E2237" s="1" t="n">
        <v>-22093.839</v>
      </c>
      <c r="F2237" s="1" t="n">
        <v>23.308</v>
      </c>
      <c r="G2237" s="1" t="n">
        <f aca="false">IF(ISNUMBER(E2237),E2237,VALUE(SUBSTITUTE(E2237,"#",".01")))</f>
        <v>-22093.839</v>
      </c>
    </row>
    <row r="2238" customFormat="false" ht="12.75" hidden="false" customHeight="false" outlineLevel="0" collapsed="false">
      <c r="A2238" s="1" t="n">
        <v>91</v>
      </c>
      <c r="B2238" s="1" t="n">
        <v>78</v>
      </c>
      <c r="C2238" s="1" t="n">
        <v>169</v>
      </c>
      <c r="D2238" s="1" t="s">
        <v>915</v>
      </c>
      <c r="E2238" s="1" t="s">
        <v>929</v>
      </c>
      <c r="F2238" s="1" t="s">
        <v>333</v>
      </c>
      <c r="G2238" s="1" t="n">
        <f aca="false">IF(ISNUMBER(E2238),E2238,VALUE(SUBSTITUTE(E2238,"#",".01")))</f>
        <v>-12512.01</v>
      </c>
    </row>
    <row r="2239" customFormat="false" ht="12.75" hidden="false" customHeight="false" outlineLevel="0" collapsed="false">
      <c r="A2239" s="1" t="n">
        <v>90</v>
      </c>
      <c r="B2239" s="1" t="n">
        <v>79</v>
      </c>
      <c r="C2239" s="1" t="n">
        <v>169</v>
      </c>
      <c r="D2239" s="1" t="s">
        <v>930</v>
      </c>
      <c r="E2239" s="1" t="s">
        <v>931</v>
      </c>
      <c r="F2239" s="1" t="s">
        <v>360</v>
      </c>
      <c r="G2239" s="1" t="n">
        <f aca="false">IF(ISNUMBER(E2239),E2239,VALUE(SUBSTITUTE(E2239,"#",".01")))</f>
        <v>-1788.01</v>
      </c>
    </row>
    <row r="2240" customFormat="false" ht="12.75" hidden="false" customHeight="false" outlineLevel="0" collapsed="false">
      <c r="A2240" s="1" t="n">
        <v>106</v>
      </c>
      <c r="B2240" s="1" t="n">
        <v>64</v>
      </c>
      <c r="C2240" s="1" t="n">
        <v>170</v>
      </c>
      <c r="D2240" s="1" t="s">
        <v>771</v>
      </c>
      <c r="E2240" s="1" t="s">
        <v>932</v>
      </c>
      <c r="F2240" s="1" t="s">
        <v>316</v>
      </c>
      <c r="G2240" s="1" t="n">
        <f aca="false">IF(ISNUMBER(E2240),E2240,VALUE(SUBSTITUTE(E2240,"#",".01")))</f>
        <v>-41380.01</v>
      </c>
    </row>
    <row r="2241" customFormat="false" ht="12.75" hidden="false" customHeight="false" outlineLevel="0" collapsed="false">
      <c r="A2241" s="1" t="n">
        <v>105</v>
      </c>
      <c r="B2241" s="1" t="n">
        <v>65</v>
      </c>
      <c r="C2241" s="1" t="n">
        <v>170</v>
      </c>
      <c r="D2241" s="1" t="s">
        <v>780</v>
      </c>
      <c r="E2241" s="1" t="s">
        <v>605</v>
      </c>
      <c r="F2241" s="1" t="s">
        <v>320</v>
      </c>
      <c r="G2241" s="1" t="n">
        <f aca="false">IF(ISNUMBER(E2241),E2241,VALUE(SUBSTITUTE(E2241,"#",".01")))</f>
        <v>-46724.01</v>
      </c>
    </row>
    <row r="2242" customFormat="false" ht="12.75" hidden="false" customHeight="false" outlineLevel="0" collapsed="false">
      <c r="A2242" s="1" t="n">
        <v>104</v>
      </c>
      <c r="B2242" s="1" t="n">
        <v>66</v>
      </c>
      <c r="C2242" s="1" t="n">
        <v>170</v>
      </c>
      <c r="D2242" s="1" t="s">
        <v>794</v>
      </c>
      <c r="E2242" s="1" t="s">
        <v>933</v>
      </c>
      <c r="F2242" s="1" t="s">
        <v>333</v>
      </c>
      <c r="G2242" s="1" t="n">
        <f aca="false">IF(ISNUMBER(E2242),E2242,VALUE(SUBSTITUTE(E2242,"#",".01")))</f>
        <v>-53663.01</v>
      </c>
    </row>
    <row r="2243" customFormat="false" ht="12.75" hidden="false" customHeight="false" outlineLevel="0" collapsed="false">
      <c r="A2243" s="1" t="n">
        <v>103</v>
      </c>
      <c r="B2243" s="1" t="n">
        <v>67</v>
      </c>
      <c r="C2243" s="1" t="n">
        <v>170</v>
      </c>
      <c r="D2243" s="1" t="s">
        <v>802</v>
      </c>
      <c r="E2243" s="1" t="n">
        <v>-56238.681</v>
      </c>
      <c r="F2243" s="1" t="n">
        <v>50.024</v>
      </c>
      <c r="G2243" s="1" t="n">
        <f aca="false">IF(ISNUMBER(E2243),E2243,VALUE(SUBSTITUTE(E2243,"#",".01")))</f>
        <v>-56238.681</v>
      </c>
    </row>
    <row r="2244" customFormat="false" ht="12.75" hidden="false" customHeight="false" outlineLevel="0" collapsed="false">
      <c r="A2244" s="1" t="n">
        <v>102</v>
      </c>
      <c r="B2244" s="1" t="n">
        <v>68</v>
      </c>
      <c r="C2244" s="1" t="n">
        <v>170</v>
      </c>
      <c r="D2244" s="1" t="s">
        <v>17</v>
      </c>
      <c r="E2244" s="1" t="n">
        <v>-60108.681</v>
      </c>
      <c r="F2244" s="1" t="n">
        <v>1.546</v>
      </c>
      <c r="G2244" s="1" t="n">
        <f aca="false">IF(ISNUMBER(E2244),E2244,VALUE(SUBSTITUTE(E2244,"#",".01")))</f>
        <v>-60108.681</v>
      </c>
    </row>
    <row r="2245" customFormat="false" ht="12.75" hidden="false" customHeight="false" outlineLevel="0" collapsed="false">
      <c r="A2245" s="1" t="n">
        <v>101</v>
      </c>
      <c r="B2245" s="1" t="n">
        <v>69</v>
      </c>
      <c r="C2245" s="1" t="n">
        <v>170</v>
      </c>
      <c r="D2245" s="1" t="s">
        <v>819</v>
      </c>
      <c r="E2245" s="1" t="n">
        <v>-59795.853</v>
      </c>
      <c r="F2245" s="1" t="n">
        <v>0.801</v>
      </c>
      <c r="G2245" s="1" t="n">
        <f aca="false">IF(ISNUMBER(E2245),E2245,VALUE(SUBSTITUTE(E2245,"#",".01")))</f>
        <v>-59795.853</v>
      </c>
    </row>
    <row r="2246" customFormat="false" ht="12.75" hidden="false" customHeight="false" outlineLevel="0" collapsed="false">
      <c r="A2246" s="1" t="n">
        <v>100</v>
      </c>
      <c r="B2246" s="1" t="n">
        <v>70</v>
      </c>
      <c r="C2246" s="1" t="n">
        <v>170</v>
      </c>
      <c r="D2246" s="1" t="s">
        <v>827</v>
      </c>
      <c r="E2246" s="1" t="n">
        <v>-60763.919</v>
      </c>
      <c r="F2246" s="1" t="n">
        <v>0.01</v>
      </c>
      <c r="G2246" s="1" t="n">
        <f aca="false">IF(ISNUMBER(E2246),E2246,VALUE(SUBSTITUTE(E2246,"#",".01")))</f>
        <v>-60763.919</v>
      </c>
    </row>
    <row r="2247" customFormat="false" ht="12.75" hidden="false" customHeight="false" outlineLevel="0" collapsed="false">
      <c r="A2247" s="1" t="n">
        <v>99</v>
      </c>
      <c r="B2247" s="1" t="n">
        <v>71</v>
      </c>
      <c r="C2247" s="1" t="n">
        <v>170</v>
      </c>
      <c r="D2247" s="1" t="s">
        <v>836</v>
      </c>
      <c r="E2247" s="1" t="n">
        <v>-57306.224</v>
      </c>
      <c r="F2247" s="1" t="n">
        <v>16.843</v>
      </c>
      <c r="G2247" s="1" t="n">
        <f aca="false">IF(ISNUMBER(E2247),E2247,VALUE(SUBSTITUTE(E2247,"#",".01")))</f>
        <v>-57306.224</v>
      </c>
    </row>
    <row r="2248" customFormat="false" ht="12.75" hidden="false" customHeight="false" outlineLevel="0" collapsed="false">
      <c r="A2248" s="1" t="n">
        <v>98</v>
      </c>
      <c r="B2248" s="1" t="n">
        <v>72</v>
      </c>
      <c r="C2248" s="1" t="n">
        <v>170</v>
      </c>
      <c r="D2248" s="1" t="s">
        <v>850</v>
      </c>
      <c r="E2248" s="1" t="n">
        <v>-56253.854</v>
      </c>
      <c r="F2248" s="1" t="n">
        <v>27.945</v>
      </c>
      <c r="G2248" s="1" t="n">
        <f aca="false">IF(ISNUMBER(E2248),E2248,VALUE(SUBSTITUTE(E2248,"#",".01")))</f>
        <v>-56253.854</v>
      </c>
    </row>
    <row r="2249" customFormat="false" ht="12.75" hidden="false" customHeight="false" outlineLevel="0" collapsed="false">
      <c r="A2249" s="1" t="n">
        <v>97</v>
      </c>
      <c r="B2249" s="1" t="n">
        <v>73</v>
      </c>
      <c r="C2249" s="1" t="n">
        <v>170</v>
      </c>
      <c r="D2249" s="1" t="s">
        <v>859</v>
      </c>
      <c r="E2249" s="1" t="n">
        <v>-50137.665</v>
      </c>
      <c r="F2249" s="1" t="n">
        <v>27.945</v>
      </c>
      <c r="G2249" s="1" t="n">
        <f aca="false">IF(ISNUMBER(E2249),E2249,VALUE(SUBSTITUTE(E2249,"#",".01")))</f>
        <v>-50137.665</v>
      </c>
    </row>
    <row r="2250" customFormat="false" ht="12.75" hidden="false" customHeight="false" outlineLevel="0" collapsed="false">
      <c r="A2250" s="1" t="n">
        <v>96</v>
      </c>
      <c r="B2250" s="1" t="n">
        <v>74</v>
      </c>
      <c r="C2250" s="1" t="n">
        <v>170</v>
      </c>
      <c r="D2250" s="1" t="s">
        <v>868</v>
      </c>
      <c r="E2250" s="1" t="n">
        <v>-47290.832</v>
      </c>
      <c r="F2250" s="1" t="n">
        <v>13.195</v>
      </c>
      <c r="G2250" s="1" t="n">
        <f aca="false">IF(ISNUMBER(E2250),E2250,VALUE(SUBSTITUTE(E2250,"#",".01")))</f>
        <v>-47290.832</v>
      </c>
    </row>
    <row r="2251" customFormat="false" ht="12.75" hidden="false" customHeight="false" outlineLevel="0" collapsed="false">
      <c r="A2251" s="1" t="n">
        <v>95</v>
      </c>
      <c r="B2251" s="1" t="n">
        <v>75</v>
      </c>
      <c r="C2251" s="1" t="n">
        <v>170</v>
      </c>
      <c r="D2251" s="1" t="s">
        <v>877</v>
      </c>
      <c r="E2251" s="1" t="n">
        <v>-38913.193</v>
      </c>
      <c r="F2251" s="1" t="n">
        <v>23.109</v>
      </c>
      <c r="G2251" s="1" t="n">
        <f aca="false">IF(ISNUMBER(E2251),E2251,VALUE(SUBSTITUTE(E2251,"#",".01")))</f>
        <v>-38913.193</v>
      </c>
    </row>
    <row r="2252" customFormat="false" ht="12.75" hidden="false" customHeight="false" outlineLevel="0" collapsed="false">
      <c r="A2252" s="1" t="n">
        <v>94</v>
      </c>
      <c r="B2252" s="1" t="n">
        <v>76</v>
      </c>
      <c r="C2252" s="1" t="n">
        <v>170</v>
      </c>
      <c r="D2252" s="1" t="s">
        <v>887</v>
      </c>
      <c r="E2252" s="1" t="n">
        <v>-33926.247</v>
      </c>
      <c r="F2252" s="1" t="n">
        <v>9.773</v>
      </c>
      <c r="G2252" s="1" t="n">
        <f aca="false">IF(ISNUMBER(E2252),E2252,VALUE(SUBSTITUTE(E2252,"#",".01")))</f>
        <v>-33926.247</v>
      </c>
    </row>
    <row r="2253" customFormat="false" ht="12.75" hidden="false" customHeight="false" outlineLevel="0" collapsed="false">
      <c r="A2253" s="1" t="n">
        <v>93</v>
      </c>
      <c r="B2253" s="1" t="n">
        <v>77</v>
      </c>
      <c r="C2253" s="1" t="n">
        <v>170</v>
      </c>
      <c r="D2253" s="1" t="s">
        <v>900</v>
      </c>
      <c r="E2253" s="1" t="s">
        <v>934</v>
      </c>
      <c r="F2253" s="1" t="s">
        <v>935</v>
      </c>
      <c r="G2253" s="1" t="n">
        <f aca="false">IF(ISNUMBER(E2253),E2253,VALUE(SUBSTITUTE(E2253,"#",".01")))</f>
        <v>-23360.01</v>
      </c>
    </row>
    <row r="2254" customFormat="false" ht="12.75" hidden="false" customHeight="false" outlineLevel="0" collapsed="false">
      <c r="A2254" s="1" t="n">
        <v>92</v>
      </c>
      <c r="B2254" s="1" t="n">
        <v>78</v>
      </c>
      <c r="C2254" s="1" t="n">
        <v>170</v>
      </c>
      <c r="D2254" s="1" t="s">
        <v>915</v>
      </c>
      <c r="E2254" s="1" t="n">
        <v>-16299.193</v>
      </c>
      <c r="F2254" s="1" t="n">
        <v>18.247</v>
      </c>
      <c r="G2254" s="1" t="n">
        <f aca="false">IF(ISNUMBER(E2254),E2254,VALUE(SUBSTITUTE(E2254,"#",".01")))</f>
        <v>-16299.193</v>
      </c>
    </row>
    <row r="2255" customFormat="false" ht="12.75" hidden="false" customHeight="false" outlineLevel="0" collapsed="false">
      <c r="A2255" s="1" t="n">
        <v>91</v>
      </c>
      <c r="B2255" s="1" t="n">
        <v>79</v>
      </c>
      <c r="C2255" s="1" t="n">
        <v>170</v>
      </c>
      <c r="D2255" s="1" t="s">
        <v>930</v>
      </c>
      <c r="E2255" s="1" t="s">
        <v>936</v>
      </c>
      <c r="F2255" s="1" t="s">
        <v>333</v>
      </c>
      <c r="G2255" s="1" t="n">
        <f aca="false">IF(ISNUMBER(E2255),E2255,VALUE(SUBSTITUTE(E2255,"#",".01")))</f>
        <v>-3752.01</v>
      </c>
    </row>
    <row r="2256" customFormat="false" ht="12.75" hidden="false" customHeight="false" outlineLevel="0" collapsed="false">
      <c r="A2256" s="1" t="n">
        <v>106</v>
      </c>
      <c r="B2256" s="1" t="n">
        <v>65</v>
      </c>
      <c r="C2256" s="1" t="n">
        <v>171</v>
      </c>
      <c r="D2256" s="1" t="s">
        <v>780</v>
      </c>
      <c r="E2256" s="1" t="s">
        <v>937</v>
      </c>
      <c r="F2256" s="1" t="s">
        <v>323</v>
      </c>
      <c r="G2256" s="1" t="n">
        <f aca="false">IF(ISNUMBER(E2256),E2256,VALUE(SUBSTITUTE(E2256,"#",".01")))</f>
        <v>-44032.01</v>
      </c>
    </row>
    <row r="2257" customFormat="false" ht="12.75" hidden="false" customHeight="false" outlineLevel="0" collapsed="false">
      <c r="A2257" s="1" t="n">
        <v>105</v>
      </c>
      <c r="B2257" s="1" t="n">
        <v>66</v>
      </c>
      <c r="C2257" s="1" t="n">
        <v>171</v>
      </c>
      <c r="D2257" s="1" t="s">
        <v>794</v>
      </c>
      <c r="E2257" s="1" t="s">
        <v>938</v>
      </c>
      <c r="F2257" s="1" t="s">
        <v>360</v>
      </c>
      <c r="G2257" s="1" t="n">
        <f aca="false">IF(ISNUMBER(E2257),E2257,VALUE(SUBSTITUTE(E2257,"#",".01")))</f>
        <v>-50189.01</v>
      </c>
    </row>
    <row r="2258" customFormat="false" ht="12.75" hidden="false" customHeight="false" outlineLevel="0" collapsed="false">
      <c r="A2258" s="1" t="n">
        <v>104</v>
      </c>
      <c r="B2258" s="1" t="n">
        <v>67</v>
      </c>
      <c r="C2258" s="1" t="n">
        <v>171</v>
      </c>
      <c r="D2258" s="1" t="s">
        <v>802</v>
      </c>
      <c r="E2258" s="1" t="n">
        <v>-54518.956</v>
      </c>
      <c r="F2258" s="1" t="n">
        <v>600.002</v>
      </c>
      <c r="G2258" s="1" t="n">
        <f aca="false">IF(ISNUMBER(E2258),E2258,VALUE(SUBSTITUTE(E2258,"#",".01")))</f>
        <v>-54518.956</v>
      </c>
    </row>
    <row r="2259" customFormat="false" ht="12.75" hidden="false" customHeight="false" outlineLevel="0" collapsed="false">
      <c r="A2259" s="1" t="n">
        <v>103</v>
      </c>
      <c r="B2259" s="1" t="n">
        <v>68</v>
      </c>
      <c r="C2259" s="1" t="n">
        <v>171</v>
      </c>
      <c r="D2259" s="1" t="s">
        <v>17</v>
      </c>
      <c r="E2259" s="1" t="n">
        <v>-57718.956</v>
      </c>
      <c r="F2259" s="1" t="n">
        <v>1.557</v>
      </c>
      <c r="G2259" s="1" t="n">
        <f aca="false">IF(ISNUMBER(E2259),E2259,VALUE(SUBSTITUTE(E2259,"#",".01")))</f>
        <v>-57718.956</v>
      </c>
    </row>
    <row r="2260" customFormat="false" ht="12.75" hidden="false" customHeight="false" outlineLevel="0" collapsed="false">
      <c r="A2260" s="1" t="n">
        <v>102</v>
      </c>
      <c r="B2260" s="1" t="n">
        <v>69</v>
      </c>
      <c r="C2260" s="1" t="n">
        <v>171</v>
      </c>
      <c r="D2260" s="1" t="s">
        <v>819</v>
      </c>
      <c r="E2260" s="1" t="n">
        <v>-59210.298</v>
      </c>
      <c r="F2260" s="1" t="n">
        <v>0.972</v>
      </c>
      <c r="G2260" s="1" t="n">
        <f aca="false">IF(ISNUMBER(E2260),E2260,VALUE(SUBSTITUTE(E2260,"#",".01")))</f>
        <v>-59210.298</v>
      </c>
    </row>
    <row r="2261" customFormat="false" ht="12.75" hidden="false" customHeight="false" outlineLevel="0" collapsed="false">
      <c r="A2261" s="1" t="n">
        <v>101</v>
      </c>
      <c r="B2261" s="1" t="n">
        <v>70</v>
      </c>
      <c r="C2261" s="1" t="n">
        <v>171</v>
      </c>
      <c r="D2261" s="1" t="s">
        <v>827</v>
      </c>
      <c r="E2261" s="1" t="n">
        <v>-59306.81</v>
      </c>
      <c r="F2261" s="1" t="n">
        <v>0.013</v>
      </c>
      <c r="G2261" s="1" t="n">
        <f aca="false">IF(ISNUMBER(E2261),E2261,VALUE(SUBSTITUTE(E2261,"#",".01")))</f>
        <v>-59306.81</v>
      </c>
    </row>
    <row r="2262" customFormat="false" ht="12.75" hidden="false" customHeight="false" outlineLevel="0" collapsed="false">
      <c r="A2262" s="1" t="n">
        <v>100</v>
      </c>
      <c r="B2262" s="1" t="n">
        <v>71</v>
      </c>
      <c r="C2262" s="1" t="n">
        <v>171</v>
      </c>
      <c r="D2262" s="1" t="s">
        <v>836</v>
      </c>
      <c r="E2262" s="1" t="n">
        <v>-57828.395</v>
      </c>
      <c r="F2262" s="1" t="n">
        <v>1.862</v>
      </c>
      <c r="G2262" s="1" t="n">
        <f aca="false">IF(ISNUMBER(E2262),E2262,VALUE(SUBSTITUTE(E2262,"#",".01")))</f>
        <v>-57828.395</v>
      </c>
    </row>
    <row r="2263" customFormat="false" ht="12.75" hidden="false" customHeight="false" outlineLevel="0" collapsed="false">
      <c r="A2263" s="1" t="n">
        <v>99</v>
      </c>
      <c r="B2263" s="1" t="n">
        <v>72</v>
      </c>
      <c r="C2263" s="1" t="n">
        <v>171</v>
      </c>
      <c r="D2263" s="1" t="s">
        <v>850</v>
      </c>
      <c r="E2263" s="1" t="n">
        <v>-55431.345</v>
      </c>
      <c r="F2263" s="1" t="n">
        <v>28.876</v>
      </c>
      <c r="G2263" s="1" t="n">
        <f aca="false">IF(ISNUMBER(E2263),E2263,VALUE(SUBSTITUTE(E2263,"#",".01")))</f>
        <v>-55431.345</v>
      </c>
    </row>
    <row r="2264" customFormat="false" ht="12.75" hidden="false" customHeight="false" outlineLevel="0" collapsed="false">
      <c r="A2264" s="1" t="n">
        <v>98</v>
      </c>
      <c r="B2264" s="1" t="n">
        <v>73</v>
      </c>
      <c r="C2264" s="1" t="n">
        <v>171</v>
      </c>
      <c r="D2264" s="1" t="s">
        <v>859</v>
      </c>
      <c r="E2264" s="1" t="n">
        <v>-51720.273</v>
      </c>
      <c r="F2264" s="1" t="n">
        <v>27.945</v>
      </c>
      <c r="G2264" s="1" t="n">
        <f aca="false">IF(ISNUMBER(E2264),E2264,VALUE(SUBSTITUTE(E2264,"#",".01")))</f>
        <v>-51720.273</v>
      </c>
    </row>
    <row r="2265" customFormat="false" ht="12.75" hidden="false" customHeight="false" outlineLevel="0" collapsed="false">
      <c r="A2265" s="1" t="n">
        <v>97</v>
      </c>
      <c r="B2265" s="1" t="n">
        <v>74</v>
      </c>
      <c r="C2265" s="1" t="n">
        <v>171</v>
      </c>
      <c r="D2265" s="1" t="s">
        <v>868</v>
      </c>
      <c r="E2265" s="1" t="n">
        <v>-47086.09</v>
      </c>
      <c r="F2265" s="1" t="n">
        <v>27.945</v>
      </c>
      <c r="G2265" s="1" t="n">
        <f aca="false">IF(ISNUMBER(E2265),E2265,VALUE(SUBSTITUTE(E2265,"#",".01")))</f>
        <v>-47086.09</v>
      </c>
    </row>
    <row r="2266" customFormat="false" ht="12.75" hidden="false" customHeight="false" outlineLevel="0" collapsed="false">
      <c r="A2266" s="1" t="n">
        <v>96</v>
      </c>
      <c r="B2266" s="1" t="n">
        <v>75</v>
      </c>
      <c r="C2266" s="1" t="n">
        <v>171</v>
      </c>
      <c r="D2266" s="1" t="s">
        <v>877</v>
      </c>
      <c r="E2266" s="1" t="n">
        <v>-41250.28</v>
      </c>
      <c r="F2266" s="1" t="n">
        <v>27.945</v>
      </c>
      <c r="G2266" s="1" t="n">
        <f aca="false">IF(ISNUMBER(E2266),E2266,VALUE(SUBSTITUTE(E2266,"#",".01")))</f>
        <v>-41250.28</v>
      </c>
    </row>
    <row r="2267" customFormat="false" ht="12.75" hidden="false" customHeight="false" outlineLevel="0" collapsed="false">
      <c r="A2267" s="1" t="n">
        <v>95</v>
      </c>
      <c r="B2267" s="1" t="n">
        <v>76</v>
      </c>
      <c r="C2267" s="1" t="n">
        <v>171</v>
      </c>
      <c r="D2267" s="1" t="s">
        <v>887</v>
      </c>
      <c r="E2267" s="1" t="n">
        <v>-34301.942</v>
      </c>
      <c r="F2267" s="1" t="n">
        <v>17.823</v>
      </c>
      <c r="G2267" s="1" t="n">
        <f aca="false">IF(ISNUMBER(E2267),E2267,VALUE(SUBSTITUTE(E2267,"#",".01")))</f>
        <v>-34301.942</v>
      </c>
    </row>
    <row r="2268" customFormat="false" ht="12.75" hidden="false" customHeight="false" outlineLevel="0" collapsed="false">
      <c r="A2268" s="1" t="n">
        <v>94</v>
      </c>
      <c r="B2268" s="1" t="n">
        <v>77</v>
      </c>
      <c r="C2268" s="1" t="n">
        <v>171</v>
      </c>
      <c r="D2268" s="1" t="s">
        <v>900</v>
      </c>
      <c r="E2268" s="1" t="n">
        <v>-26412.025</v>
      </c>
      <c r="F2268" s="1" t="n">
        <v>38.466</v>
      </c>
      <c r="G2268" s="1" t="n">
        <f aca="false">IF(ISNUMBER(E2268),E2268,VALUE(SUBSTITUTE(E2268,"#",".01")))</f>
        <v>-26412.025</v>
      </c>
    </row>
    <row r="2269" customFormat="false" ht="12.75" hidden="false" customHeight="false" outlineLevel="0" collapsed="false">
      <c r="A2269" s="1" t="n">
        <v>93</v>
      </c>
      <c r="B2269" s="1" t="n">
        <v>78</v>
      </c>
      <c r="C2269" s="1" t="n">
        <v>171</v>
      </c>
      <c r="D2269" s="1" t="s">
        <v>915</v>
      </c>
      <c r="E2269" s="1" t="n">
        <v>-17469.702</v>
      </c>
      <c r="F2269" s="1" t="n">
        <v>72.747</v>
      </c>
      <c r="G2269" s="1" t="n">
        <f aca="false">IF(ISNUMBER(E2269),E2269,VALUE(SUBSTITUTE(E2269,"#",".01")))</f>
        <v>-17469.702</v>
      </c>
    </row>
    <row r="2270" customFormat="false" ht="12.75" hidden="false" customHeight="false" outlineLevel="0" collapsed="false">
      <c r="A2270" s="1" t="n">
        <v>92</v>
      </c>
      <c r="B2270" s="1" t="n">
        <v>79</v>
      </c>
      <c r="C2270" s="1" t="n">
        <v>171</v>
      </c>
      <c r="D2270" s="1" t="s">
        <v>930</v>
      </c>
      <c r="E2270" s="1" t="n">
        <v>-7562.295</v>
      </c>
      <c r="F2270" s="1" t="n">
        <v>20.713</v>
      </c>
      <c r="G2270" s="1" t="n">
        <f aca="false">IF(ISNUMBER(E2270),E2270,VALUE(SUBSTITUTE(E2270,"#",".01")))</f>
        <v>-7562.295</v>
      </c>
    </row>
    <row r="2271" customFormat="false" ht="12.75" hidden="false" customHeight="false" outlineLevel="0" collapsed="false">
      <c r="A2271" s="1" t="n">
        <v>91</v>
      </c>
      <c r="B2271" s="1" t="n">
        <v>80</v>
      </c>
      <c r="C2271" s="1" t="n">
        <v>171</v>
      </c>
      <c r="D2271" s="1" t="s">
        <v>939</v>
      </c>
      <c r="E2271" s="1" t="s">
        <v>940</v>
      </c>
      <c r="F2271" s="1" t="s">
        <v>941</v>
      </c>
      <c r="G2271" s="1" t="n">
        <f aca="false">IF(ISNUMBER(E2271),E2271,VALUE(SUBSTITUTE(E2271,"#",".01")))</f>
        <v>3480.01</v>
      </c>
    </row>
    <row r="2272" customFormat="false" ht="12.75" hidden="false" customHeight="false" outlineLevel="0" collapsed="false">
      <c r="A2272" s="1" t="n">
        <v>107</v>
      </c>
      <c r="B2272" s="1" t="n">
        <v>65</v>
      </c>
      <c r="C2272" s="1" t="n">
        <v>172</v>
      </c>
      <c r="D2272" s="1" t="s">
        <v>780</v>
      </c>
      <c r="E2272" s="1" t="s">
        <v>942</v>
      </c>
      <c r="F2272" s="1" t="s">
        <v>323</v>
      </c>
      <c r="G2272" s="1" t="n">
        <f aca="false">IF(ISNUMBER(E2272),E2272,VALUE(SUBSTITUTE(E2272,"#",".01")))</f>
        <v>-39850.01</v>
      </c>
    </row>
    <row r="2273" customFormat="false" ht="12.75" hidden="false" customHeight="false" outlineLevel="0" collapsed="false">
      <c r="A2273" s="1" t="n">
        <v>106</v>
      </c>
      <c r="B2273" s="1" t="n">
        <v>66</v>
      </c>
      <c r="C2273" s="1" t="n">
        <v>172</v>
      </c>
      <c r="D2273" s="1" t="s">
        <v>794</v>
      </c>
      <c r="E2273" s="1" t="s">
        <v>943</v>
      </c>
      <c r="F2273" s="1" t="s">
        <v>360</v>
      </c>
      <c r="G2273" s="1" t="n">
        <f aca="false">IF(ISNUMBER(E2273),E2273,VALUE(SUBSTITUTE(E2273,"#",".01")))</f>
        <v>-48009.01</v>
      </c>
    </row>
    <row r="2274" customFormat="false" ht="12.75" hidden="false" customHeight="false" outlineLevel="0" collapsed="false">
      <c r="A2274" s="1" t="n">
        <v>105</v>
      </c>
      <c r="B2274" s="1" t="n">
        <v>67</v>
      </c>
      <c r="C2274" s="1" t="n">
        <v>172</v>
      </c>
      <c r="D2274" s="1" t="s">
        <v>802</v>
      </c>
      <c r="E2274" s="1" t="s">
        <v>944</v>
      </c>
      <c r="F2274" s="1" t="s">
        <v>333</v>
      </c>
      <c r="G2274" s="1" t="n">
        <f aca="false">IF(ISNUMBER(E2274),E2274,VALUE(SUBSTITUTE(E2274,"#",".01")))</f>
        <v>-51484.01</v>
      </c>
    </row>
    <row r="2275" customFormat="false" ht="12.75" hidden="false" customHeight="false" outlineLevel="0" collapsed="false">
      <c r="A2275" s="1" t="n">
        <v>104</v>
      </c>
      <c r="B2275" s="1" t="n">
        <v>68</v>
      </c>
      <c r="C2275" s="1" t="n">
        <v>172</v>
      </c>
      <c r="D2275" s="1" t="s">
        <v>17</v>
      </c>
      <c r="E2275" s="1" t="n">
        <v>-56483.612</v>
      </c>
      <c r="F2275" s="1" t="n">
        <v>4.008</v>
      </c>
      <c r="G2275" s="1" t="n">
        <f aca="false">IF(ISNUMBER(E2275),E2275,VALUE(SUBSTITUTE(E2275,"#",".01")))</f>
        <v>-56483.612</v>
      </c>
    </row>
    <row r="2276" customFormat="false" ht="12.75" hidden="false" customHeight="false" outlineLevel="0" collapsed="false">
      <c r="A2276" s="1" t="n">
        <v>103</v>
      </c>
      <c r="B2276" s="1" t="n">
        <v>69</v>
      </c>
      <c r="C2276" s="1" t="n">
        <v>172</v>
      </c>
      <c r="D2276" s="1" t="s">
        <v>819</v>
      </c>
      <c r="E2276" s="1" t="n">
        <v>-57374.379</v>
      </c>
      <c r="F2276" s="1" t="n">
        <v>5.503</v>
      </c>
      <c r="G2276" s="1" t="n">
        <f aca="false">IF(ISNUMBER(E2276),E2276,VALUE(SUBSTITUTE(E2276,"#",".01")))</f>
        <v>-57374.379</v>
      </c>
    </row>
    <row r="2277" customFormat="false" ht="12.75" hidden="false" customHeight="false" outlineLevel="0" collapsed="false">
      <c r="A2277" s="1" t="n">
        <v>102</v>
      </c>
      <c r="B2277" s="1" t="n">
        <v>70</v>
      </c>
      <c r="C2277" s="1" t="n">
        <v>172</v>
      </c>
      <c r="D2277" s="1" t="s">
        <v>827</v>
      </c>
      <c r="E2277" s="1" t="n">
        <v>-59255.446</v>
      </c>
      <c r="F2277" s="1" t="n">
        <v>0.014</v>
      </c>
      <c r="G2277" s="1" t="n">
        <f aca="false">IF(ISNUMBER(E2277),E2277,VALUE(SUBSTITUTE(E2277,"#",".01")))</f>
        <v>-59255.446</v>
      </c>
    </row>
    <row r="2278" customFormat="false" ht="12.75" hidden="false" customHeight="false" outlineLevel="0" collapsed="false">
      <c r="A2278" s="1" t="n">
        <v>101</v>
      </c>
      <c r="B2278" s="1" t="n">
        <v>71</v>
      </c>
      <c r="C2278" s="1" t="n">
        <v>172</v>
      </c>
      <c r="D2278" s="1" t="s">
        <v>836</v>
      </c>
      <c r="E2278" s="1" t="n">
        <v>-56735.98</v>
      </c>
      <c r="F2278" s="1" t="n">
        <v>2.336</v>
      </c>
      <c r="G2278" s="1" t="n">
        <f aca="false">IF(ISNUMBER(E2278),E2278,VALUE(SUBSTITUTE(E2278,"#",".01")))</f>
        <v>-56735.98</v>
      </c>
    </row>
    <row r="2279" customFormat="false" ht="12.75" hidden="false" customHeight="false" outlineLevel="0" collapsed="false">
      <c r="A2279" s="1" t="n">
        <v>100</v>
      </c>
      <c r="B2279" s="1" t="n">
        <v>72</v>
      </c>
      <c r="C2279" s="1" t="n">
        <v>172</v>
      </c>
      <c r="D2279" s="1" t="s">
        <v>850</v>
      </c>
      <c r="E2279" s="1" t="n">
        <v>-56402.226</v>
      </c>
      <c r="F2279" s="1" t="n">
        <v>24.428</v>
      </c>
      <c r="G2279" s="1" t="n">
        <f aca="false">IF(ISNUMBER(E2279),E2279,VALUE(SUBSTITUTE(E2279,"#",".01")))</f>
        <v>-56402.226</v>
      </c>
    </row>
    <row r="2280" customFormat="false" ht="12.75" hidden="false" customHeight="false" outlineLevel="0" collapsed="false">
      <c r="A2280" s="1" t="n">
        <v>99</v>
      </c>
      <c r="B2280" s="1" t="n">
        <v>73</v>
      </c>
      <c r="C2280" s="1" t="n">
        <v>172</v>
      </c>
      <c r="D2280" s="1" t="s">
        <v>859</v>
      </c>
      <c r="E2280" s="1" t="n">
        <v>-51329.977</v>
      </c>
      <c r="F2280" s="1" t="n">
        <v>27.945</v>
      </c>
      <c r="G2280" s="1" t="n">
        <f aca="false">IF(ISNUMBER(E2280),E2280,VALUE(SUBSTITUTE(E2280,"#",".01")))</f>
        <v>-51329.977</v>
      </c>
    </row>
    <row r="2281" customFormat="false" ht="12.75" hidden="false" customHeight="false" outlineLevel="0" collapsed="false">
      <c r="A2281" s="1" t="n">
        <v>98</v>
      </c>
      <c r="B2281" s="1" t="n">
        <v>74</v>
      </c>
      <c r="C2281" s="1" t="n">
        <v>172</v>
      </c>
      <c r="D2281" s="1" t="s">
        <v>868</v>
      </c>
      <c r="E2281" s="1" t="n">
        <v>-49097.186</v>
      </c>
      <c r="F2281" s="1" t="n">
        <v>27.945</v>
      </c>
      <c r="G2281" s="1" t="n">
        <f aca="false">IF(ISNUMBER(E2281),E2281,VALUE(SUBSTITUTE(E2281,"#",".01")))</f>
        <v>-49097.186</v>
      </c>
    </row>
    <row r="2282" customFormat="false" ht="12.75" hidden="false" customHeight="false" outlineLevel="0" collapsed="false">
      <c r="A2282" s="1" t="n">
        <v>97</v>
      </c>
      <c r="B2282" s="1" t="n">
        <v>75</v>
      </c>
      <c r="C2282" s="1" t="n">
        <v>172</v>
      </c>
      <c r="D2282" s="1" t="s">
        <v>877</v>
      </c>
      <c r="E2282" s="1" t="n">
        <v>-41537.106</v>
      </c>
      <c r="F2282" s="1" t="n">
        <v>38.995</v>
      </c>
      <c r="G2282" s="1" t="n">
        <f aca="false">IF(ISNUMBER(E2282),E2282,VALUE(SUBSTITUTE(E2282,"#",".01")))</f>
        <v>-41537.106</v>
      </c>
    </row>
    <row r="2283" customFormat="false" ht="12.75" hidden="false" customHeight="false" outlineLevel="0" collapsed="false">
      <c r="A2283" s="1" t="n">
        <v>96</v>
      </c>
      <c r="B2283" s="1" t="n">
        <v>76</v>
      </c>
      <c r="C2283" s="1" t="n">
        <v>172</v>
      </c>
      <c r="D2283" s="1" t="s">
        <v>887</v>
      </c>
      <c r="E2283" s="1" t="n">
        <v>-37243.842</v>
      </c>
      <c r="F2283" s="1" t="n">
        <v>12.782</v>
      </c>
      <c r="G2283" s="1" t="n">
        <f aca="false">IF(ISNUMBER(E2283),E2283,VALUE(SUBSTITUTE(E2283,"#",".01")))</f>
        <v>-37243.842</v>
      </c>
    </row>
    <row r="2284" customFormat="false" ht="12.75" hidden="false" customHeight="false" outlineLevel="0" collapsed="false">
      <c r="A2284" s="1" t="n">
        <v>95</v>
      </c>
      <c r="B2284" s="1" t="n">
        <v>77</v>
      </c>
      <c r="C2284" s="1" t="n">
        <v>172</v>
      </c>
      <c r="D2284" s="1" t="s">
        <v>900</v>
      </c>
      <c r="E2284" s="1" t="n">
        <v>-27379.369</v>
      </c>
      <c r="F2284" s="1" t="n">
        <v>32.402</v>
      </c>
      <c r="G2284" s="1" t="n">
        <f aca="false">IF(ISNUMBER(E2284),E2284,VALUE(SUBSTITUTE(E2284,"#",".01")))</f>
        <v>-27379.369</v>
      </c>
    </row>
    <row r="2285" customFormat="false" ht="12.75" hidden="false" customHeight="false" outlineLevel="0" collapsed="false">
      <c r="A2285" s="1" t="n">
        <v>94</v>
      </c>
      <c r="B2285" s="1" t="n">
        <v>78</v>
      </c>
      <c r="C2285" s="1" t="n">
        <v>172</v>
      </c>
      <c r="D2285" s="1" t="s">
        <v>915</v>
      </c>
      <c r="E2285" s="1" t="n">
        <v>-21106.92</v>
      </c>
      <c r="F2285" s="1" t="n">
        <v>10.377</v>
      </c>
      <c r="G2285" s="1" t="n">
        <f aca="false">IF(ISNUMBER(E2285),E2285,VALUE(SUBSTITUTE(E2285,"#",".01")))</f>
        <v>-21106.92</v>
      </c>
    </row>
    <row r="2286" customFormat="false" ht="12.75" hidden="false" customHeight="false" outlineLevel="0" collapsed="false">
      <c r="A2286" s="1" t="n">
        <v>93</v>
      </c>
      <c r="B2286" s="1" t="n">
        <v>79</v>
      </c>
      <c r="C2286" s="1" t="n">
        <v>172</v>
      </c>
      <c r="D2286" s="1" t="s">
        <v>930</v>
      </c>
      <c r="E2286" s="1" t="n">
        <v>-9318.006</v>
      </c>
      <c r="F2286" s="1" t="n">
        <v>56.158</v>
      </c>
      <c r="G2286" s="1" t="n">
        <f aca="false">IF(ISNUMBER(E2286),E2286,VALUE(SUBSTITUTE(E2286,"#",".01")))</f>
        <v>-9318.006</v>
      </c>
    </row>
    <row r="2287" customFormat="false" ht="12.75" hidden="false" customHeight="false" outlineLevel="0" collapsed="false">
      <c r="A2287" s="1" t="n">
        <v>92</v>
      </c>
      <c r="B2287" s="1" t="n">
        <v>80</v>
      </c>
      <c r="C2287" s="1" t="n">
        <v>172</v>
      </c>
      <c r="D2287" s="1" t="s">
        <v>939</v>
      </c>
      <c r="E2287" s="1" t="n">
        <v>-1058.744</v>
      </c>
      <c r="F2287" s="1" t="n">
        <v>150.079</v>
      </c>
      <c r="G2287" s="1" t="n">
        <f aca="false">IF(ISNUMBER(E2287),E2287,VALUE(SUBSTITUTE(E2287,"#",".01")))</f>
        <v>-1058.744</v>
      </c>
    </row>
    <row r="2288" customFormat="false" ht="12.75" hidden="false" customHeight="false" outlineLevel="0" collapsed="false">
      <c r="A2288" s="1" t="n">
        <v>107</v>
      </c>
      <c r="B2288" s="1" t="n">
        <v>66</v>
      </c>
      <c r="C2288" s="1" t="n">
        <v>173</v>
      </c>
      <c r="D2288" s="1" t="s">
        <v>794</v>
      </c>
      <c r="E2288" s="1" t="s">
        <v>800</v>
      </c>
      <c r="F2288" s="1" t="s">
        <v>320</v>
      </c>
      <c r="G2288" s="1" t="n">
        <f aca="false">IF(ISNUMBER(E2288),E2288,VALUE(SUBSTITUTE(E2288,"#",".01")))</f>
        <v>-43939.01</v>
      </c>
    </row>
    <row r="2289" customFormat="false" ht="12.75" hidden="false" customHeight="false" outlineLevel="0" collapsed="false">
      <c r="A2289" s="1" t="n">
        <v>106</v>
      </c>
      <c r="B2289" s="1" t="n">
        <v>67</v>
      </c>
      <c r="C2289" s="1" t="n">
        <v>173</v>
      </c>
      <c r="D2289" s="1" t="s">
        <v>802</v>
      </c>
      <c r="E2289" s="1" t="s">
        <v>945</v>
      </c>
      <c r="F2289" s="1" t="s">
        <v>360</v>
      </c>
      <c r="G2289" s="1" t="n">
        <f aca="false">IF(ISNUMBER(E2289),E2289,VALUE(SUBSTITUTE(E2289,"#",".01")))</f>
        <v>-49351.01</v>
      </c>
    </row>
    <row r="2290" customFormat="false" ht="12.75" hidden="false" customHeight="false" outlineLevel="0" collapsed="false">
      <c r="A2290" s="1" t="n">
        <v>105</v>
      </c>
      <c r="B2290" s="1" t="n">
        <v>68</v>
      </c>
      <c r="C2290" s="1" t="n">
        <v>173</v>
      </c>
      <c r="D2290" s="1" t="s">
        <v>17</v>
      </c>
      <c r="E2290" s="1" t="s">
        <v>946</v>
      </c>
      <c r="F2290" s="1" t="s">
        <v>333</v>
      </c>
      <c r="G2290" s="1" t="n">
        <f aca="false">IF(ISNUMBER(E2290),E2290,VALUE(SUBSTITUTE(E2290,"#",".01")))</f>
        <v>-53654.01</v>
      </c>
    </row>
    <row r="2291" customFormat="false" ht="12.75" hidden="false" customHeight="false" outlineLevel="0" collapsed="false">
      <c r="A2291" s="1" t="n">
        <v>104</v>
      </c>
      <c r="B2291" s="1" t="n">
        <v>69</v>
      </c>
      <c r="C2291" s="1" t="n">
        <v>173</v>
      </c>
      <c r="D2291" s="1" t="s">
        <v>819</v>
      </c>
      <c r="E2291" s="1" t="n">
        <v>-56256.059</v>
      </c>
      <c r="F2291" s="1" t="n">
        <v>4.4</v>
      </c>
      <c r="G2291" s="1" t="n">
        <f aca="false">IF(ISNUMBER(E2291),E2291,VALUE(SUBSTITUTE(E2291,"#",".01")))</f>
        <v>-56256.059</v>
      </c>
    </row>
    <row r="2292" customFormat="false" ht="12.75" hidden="false" customHeight="false" outlineLevel="0" collapsed="false">
      <c r="A2292" s="1" t="n">
        <v>103</v>
      </c>
      <c r="B2292" s="1" t="n">
        <v>70</v>
      </c>
      <c r="C2292" s="1" t="n">
        <v>173</v>
      </c>
      <c r="D2292" s="1" t="s">
        <v>827</v>
      </c>
      <c r="E2292" s="1" t="n">
        <v>-57551.225</v>
      </c>
      <c r="F2292" s="1" t="n">
        <v>0.011</v>
      </c>
      <c r="G2292" s="1" t="n">
        <f aca="false">IF(ISNUMBER(E2292),E2292,VALUE(SUBSTITUTE(E2292,"#",".01")))</f>
        <v>-57551.225</v>
      </c>
    </row>
    <row r="2293" customFormat="false" ht="12.75" hidden="false" customHeight="false" outlineLevel="0" collapsed="false">
      <c r="A2293" s="1" t="n">
        <v>102</v>
      </c>
      <c r="B2293" s="1" t="n">
        <v>71</v>
      </c>
      <c r="C2293" s="1" t="n">
        <v>173</v>
      </c>
      <c r="D2293" s="1" t="s">
        <v>836</v>
      </c>
      <c r="E2293" s="1" t="n">
        <v>-56880.916</v>
      </c>
      <c r="F2293" s="1" t="n">
        <v>1.567</v>
      </c>
      <c r="G2293" s="1" t="n">
        <f aca="false">IF(ISNUMBER(E2293),E2293,VALUE(SUBSTITUTE(E2293,"#",".01")))</f>
        <v>-56880.916</v>
      </c>
    </row>
    <row r="2294" customFormat="false" ht="12.75" hidden="false" customHeight="false" outlineLevel="0" collapsed="false">
      <c r="A2294" s="1" t="n">
        <v>101</v>
      </c>
      <c r="B2294" s="1" t="n">
        <v>72</v>
      </c>
      <c r="C2294" s="1" t="n">
        <v>173</v>
      </c>
      <c r="D2294" s="1" t="s">
        <v>850</v>
      </c>
      <c r="E2294" s="1" t="n">
        <v>-55411.784</v>
      </c>
      <c r="F2294" s="1" t="n">
        <v>27.945</v>
      </c>
      <c r="G2294" s="1" t="n">
        <f aca="false">IF(ISNUMBER(E2294),E2294,VALUE(SUBSTITUTE(E2294,"#",".01")))</f>
        <v>-55411.784</v>
      </c>
    </row>
    <row r="2295" customFormat="false" ht="12.75" hidden="false" customHeight="false" outlineLevel="0" collapsed="false">
      <c r="A2295" s="1" t="n">
        <v>100</v>
      </c>
      <c r="B2295" s="1" t="n">
        <v>73</v>
      </c>
      <c r="C2295" s="1" t="n">
        <v>173</v>
      </c>
      <c r="D2295" s="1" t="s">
        <v>859</v>
      </c>
      <c r="E2295" s="1" t="n">
        <v>-52396.538</v>
      </c>
      <c r="F2295" s="1" t="n">
        <v>27.945</v>
      </c>
      <c r="G2295" s="1" t="n">
        <f aca="false">IF(ISNUMBER(E2295),E2295,VALUE(SUBSTITUTE(E2295,"#",".01")))</f>
        <v>-52396.538</v>
      </c>
    </row>
    <row r="2296" customFormat="false" ht="12.75" hidden="false" customHeight="false" outlineLevel="0" collapsed="false">
      <c r="A2296" s="1" t="n">
        <v>99</v>
      </c>
      <c r="B2296" s="1" t="n">
        <v>74</v>
      </c>
      <c r="C2296" s="1" t="n">
        <v>173</v>
      </c>
      <c r="D2296" s="1" t="s">
        <v>868</v>
      </c>
      <c r="E2296" s="1" t="n">
        <v>-48727.383</v>
      </c>
      <c r="F2296" s="1" t="n">
        <v>27.945</v>
      </c>
      <c r="G2296" s="1" t="n">
        <f aca="false">IF(ISNUMBER(E2296),E2296,VALUE(SUBSTITUTE(E2296,"#",".01")))</f>
        <v>-48727.383</v>
      </c>
    </row>
    <row r="2297" customFormat="false" ht="12.75" hidden="false" customHeight="false" outlineLevel="0" collapsed="false">
      <c r="A2297" s="1" t="n">
        <v>98</v>
      </c>
      <c r="B2297" s="1" t="n">
        <v>75</v>
      </c>
      <c r="C2297" s="1" t="n">
        <v>173</v>
      </c>
      <c r="D2297" s="1" t="s">
        <v>877</v>
      </c>
      <c r="E2297" s="1" t="n">
        <v>-43553.865</v>
      </c>
      <c r="F2297" s="1" t="n">
        <v>27.945</v>
      </c>
      <c r="G2297" s="1" t="n">
        <f aca="false">IF(ISNUMBER(E2297),E2297,VALUE(SUBSTITUTE(E2297,"#",".01")))</f>
        <v>-43553.865</v>
      </c>
    </row>
    <row r="2298" customFormat="false" ht="12.75" hidden="false" customHeight="false" outlineLevel="0" collapsed="false">
      <c r="A2298" s="1" t="n">
        <v>97</v>
      </c>
      <c r="B2298" s="1" t="n">
        <v>76</v>
      </c>
      <c r="C2298" s="1" t="n">
        <v>173</v>
      </c>
      <c r="D2298" s="1" t="s">
        <v>887</v>
      </c>
      <c r="E2298" s="1" t="n">
        <v>-37438.257</v>
      </c>
      <c r="F2298" s="1" t="n">
        <v>14.959</v>
      </c>
      <c r="G2298" s="1" t="n">
        <f aca="false">IF(ISNUMBER(E2298),E2298,VALUE(SUBSTITUTE(E2298,"#",".01")))</f>
        <v>-37438.257</v>
      </c>
    </row>
    <row r="2299" customFormat="false" ht="12.75" hidden="false" customHeight="false" outlineLevel="0" collapsed="false">
      <c r="A2299" s="1" t="n">
        <v>96</v>
      </c>
      <c r="B2299" s="1" t="n">
        <v>77</v>
      </c>
      <c r="C2299" s="1" t="n">
        <v>173</v>
      </c>
      <c r="D2299" s="1" t="s">
        <v>900</v>
      </c>
      <c r="E2299" s="1" t="n">
        <v>-30268.435</v>
      </c>
      <c r="F2299" s="1" t="n">
        <v>11.026</v>
      </c>
      <c r="G2299" s="1" t="n">
        <f aca="false">IF(ISNUMBER(E2299),E2299,VALUE(SUBSTITUTE(E2299,"#",".01")))</f>
        <v>-30268.435</v>
      </c>
    </row>
    <row r="2300" customFormat="false" ht="12.75" hidden="false" customHeight="false" outlineLevel="0" collapsed="false">
      <c r="A2300" s="1" t="n">
        <v>95</v>
      </c>
      <c r="B2300" s="1" t="n">
        <v>78</v>
      </c>
      <c r="C2300" s="1" t="n">
        <v>173</v>
      </c>
      <c r="D2300" s="1" t="s">
        <v>915</v>
      </c>
      <c r="E2300" s="1" t="n">
        <v>-21942.911</v>
      </c>
      <c r="F2300" s="1" t="n">
        <v>55.977</v>
      </c>
      <c r="G2300" s="1" t="n">
        <f aca="false">IF(ISNUMBER(E2300),E2300,VALUE(SUBSTITUTE(E2300,"#",".01")))</f>
        <v>-21942.911</v>
      </c>
    </row>
    <row r="2301" customFormat="false" ht="12.75" hidden="false" customHeight="false" outlineLevel="0" collapsed="false">
      <c r="A2301" s="1" t="n">
        <v>94</v>
      </c>
      <c r="B2301" s="1" t="n">
        <v>79</v>
      </c>
      <c r="C2301" s="1" t="n">
        <v>173</v>
      </c>
      <c r="D2301" s="1" t="s">
        <v>930</v>
      </c>
      <c r="E2301" s="1" t="n">
        <v>-12832.44</v>
      </c>
      <c r="F2301" s="1" t="n">
        <v>22.784</v>
      </c>
      <c r="G2301" s="1" t="n">
        <f aca="false">IF(ISNUMBER(E2301),E2301,VALUE(SUBSTITUTE(E2301,"#",".01")))</f>
        <v>-12832.44</v>
      </c>
    </row>
    <row r="2302" customFormat="false" ht="12.75" hidden="false" customHeight="false" outlineLevel="0" collapsed="false">
      <c r="A2302" s="1" t="n">
        <v>93</v>
      </c>
      <c r="B2302" s="1" t="n">
        <v>80</v>
      </c>
      <c r="C2302" s="1" t="n">
        <v>173</v>
      </c>
      <c r="D2302" s="1" t="s">
        <v>939</v>
      </c>
      <c r="E2302" s="1" t="s">
        <v>947</v>
      </c>
      <c r="F2302" s="1" t="s">
        <v>333</v>
      </c>
      <c r="G2302" s="1" t="n">
        <f aca="false">IF(ISNUMBER(E2302),E2302,VALUE(SUBSTITUTE(E2302,"#",".01")))</f>
        <v>-2710.01</v>
      </c>
    </row>
    <row r="2303" customFormat="false" ht="12.75" hidden="false" customHeight="false" outlineLevel="0" collapsed="false">
      <c r="A2303" s="1" t="n">
        <v>108</v>
      </c>
      <c r="B2303" s="1" t="n">
        <v>66</v>
      </c>
      <c r="C2303" s="1" t="n">
        <v>174</v>
      </c>
      <c r="D2303" s="1" t="s">
        <v>794</v>
      </c>
      <c r="E2303" s="1" t="s">
        <v>948</v>
      </c>
      <c r="F2303" s="1" t="s">
        <v>323</v>
      </c>
      <c r="G2303" s="1" t="n">
        <f aca="false">IF(ISNUMBER(E2303),E2303,VALUE(SUBSTITUTE(E2303,"#",".01")))</f>
        <v>-41370.01</v>
      </c>
    </row>
    <row r="2304" customFormat="false" ht="12.75" hidden="false" customHeight="false" outlineLevel="0" collapsed="false">
      <c r="A2304" s="1" t="n">
        <v>107</v>
      </c>
      <c r="B2304" s="1" t="n">
        <v>67</v>
      </c>
      <c r="C2304" s="1" t="n">
        <v>174</v>
      </c>
      <c r="D2304" s="1" t="s">
        <v>802</v>
      </c>
      <c r="E2304" s="1" t="s">
        <v>949</v>
      </c>
      <c r="F2304" s="1" t="s">
        <v>360</v>
      </c>
      <c r="G2304" s="1" t="n">
        <f aca="false">IF(ISNUMBER(E2304),E2304,VALUE(SUBSTITUTE(E2304,"#",".01")))</f>
        <v>-45690.01</v>
      </c>
    </row>
    <row r="2305" customFormat="false" ht="12.75" hidden="false" customHeight="false" outlineLevel="0" collapsed="false">
      <c r="A2305" s="1" t="n">
        <v>106</v>
      </c>
      <c r="B2305" s="1" t="n">
        <v>68</v>
      </c>
      <c r="C2305" s="1" t="n">
        <v>174</v>
      </c>
      <c r="D2305" s="1" t="s">
        <v>17</v>
      </c>
      <c r="E2305" s="1" t="s">
        <v>950</v>
      </c>
      <c r="F2305" s="1" t="s">
        <v>360</v>
      </c>
      <c r="G2305" s="1" t="n">
        <f aca="false">IF(ISNUMBER(E2305),E2305,VALUE(SUBSTITUTE(E2305,"#",".01")))</f>
        <v>-51949.01</v>
      </c>
    </row>
    <row r="2306" customFormat="false" ht="12.75" hidden="false" customHeight="false" outlineLevel="0" collapsed="false">
      <c r="A2306" s="1" t="n">
        <v>105</v>
      </c>
      <c r="B2306" s="1" t="n">
        <v>69</v>
      </c>
      <c r="C2306" s="1" t="n">
        <v>174</v>
      </c>
      <c r="D2306" s="1" t="s">
        <v>819</v>
      </c>
      <c r="E2306" s="1" t="n">
        <v>-53864.512</v>
      </c>
      <c r="F2306" s="1" t="n">
        <v>44.721</v>
      </c>
      <c r="G2306" s="1" t="n">
        <f aca="false">IF(ISNUMBER(E2306),E2306,VALUE(SUBSTITUTE(E2306,"#",".01")))</f>
        <v>-53864.512</v>
      </c>
    </row>
    <row r="2307" customFormat="false" ht="12.75" hidden="false" customHeight="false" outlineLevel="0" collapsed="false">
      <c r="A2307" s="1" t="n">
        <v>104</v>
      </c>
      <c r="B2307" s="1" t="n">
        <v>70</v>
      </c>
      <c r="C2307" s="1" t="n">
        <v>174</v>
      </c>
      <c r="D2307" s="1" t="s">
        <v>827</v>
      </c>
      <c r="E2307" s="1" t="n">
        <v>-56944.512</v>
      </c>
      <c r="F2307" s="1" t="n">
        <v>0.011</v>
      </c>
      <c r="G2307" s="1" t="n">
        <f aca="false">IF(ISNUMBER(E2307),E2307,VALUE(SUBSTITUTE(E2307,"#",".01")))</f>
        <v>-56944.512</v>
      </c>
    </row>
    <row r="2308" customFormat="false" ht="12.75" hidden="false" customHeight="false" outlineLevel="0" collapsed="false">
      <c r="A2308" s="1" t="n">
        <v>103</v>
      </c>
      <c r="B2308" s="1" t="n">
        <v>71</v>
      </c>
      <c r="C2308" s="1" t="n">
        <v>174</v>
      </c>
      <c r="D2308" s="1" t="s">
        <v>836</v>
      </c>
      <c r="E2308" s="1" t="n">
        <v>-55570.195</v>
      </c>
      <c r="F2308" s="1" t="n">
        <v>1.567</v>
      </c>
      <c r="G2308" s="1" t="n">
        <f aca="false">IF(ISNUMBER(E2308),E2308,VALUE(SUBSTITUTE(E2308,"#",".01")))</f>
        <v>-55570.195</v>
      </c>
    </row>
    <row r="2309" customFormat="false" ht="12.75" hidden="false" customHeight="false" outlineLevel="0" collapsed="false">
      <c r="A2309" s="1" t="n">
        <v>102</v>
      </c>
      <c r="B2309" s="1" t="n">
        <v>72</v>
      </c>
      <c r="C2309" s="1" t="n">
        <v>174</v>
      </c>
      <c r="D2309" s="1" t="s">
        <v>850</v>
      </c>
      <c r="E2309" s="1" t="n">
        <v>-55844.481</v>
      </c>
      <c r="F2309" s="1" t="n">
        <v>2.259</v>
      </c>
      <c r="G2309" s="1" t="n">
        <f aca="false">IF(ISNUMBER(E2309),E2309,VALUE(SUBSTITUTE(E2309,"#",".01")))</f>
        <v>-55844.481</v>
      </c>
    </row>
    <row r="2310" customFormat="false" ht="12.75" hidden="false" customHeight="false" outlineLevel="0" collapsed="false">
      <c r="A2310" s="1" t="n">
        <v>101</v>
      </c>
      <c r="B2310" s="1" t="n">
        <v>73</v>
      </c>
      <c r="C2310" s="1" t="n">
        <v>174</v>
      </c>
      <c r="D2310" s="1" t="s">
        <v>859</v>
      </c>
      <c r="E2310" s="1" t="n">
        <v>-51740.766</v>
      </c>
      <c r="F2310" s="1" t="n">
        <v>27.945</v>
      </c>
      <c r="G2310" s="1" t="n">
        <f aca="false">IF(ISNUMBER(E2310),E2310,VALUE(SUBSTITUTE(E2310,"#",".01")))</f>
        <v>-51740.766</v>
      </c>
    </row>
    <row r="2311" customFormat="false" ht="12.75" hidden="false" customHeight="false" outlineLevel="0" collapsed="false">
      <c r="A2311" s="1" t="n">
        <v>100</v>
      </c>
      <c r="B2311" s="1" t="n">
        <v>74</v>
      </c>
      <c r="C2311" s="1" t="n">
        <v>174</v>
      </c>
      <c r="D2311" s="1" t="s">
        <v>868</v>
      </c>
      <c r="E2311" s="1" t="n">
        <v>-50227.088</v>
      </c>
      <c r="F2311" s="1" t="n">
        <v>27.945</v>
      </c>
      <c r="G2311" s="1" t="n">
        <f aca="false">IF(ISNUMBER(E2311),E2311,VALUE(SUBSTITUTE(E2311,"#",".01")))</f>
        <v>-50227.088</v>
      </c>
    </row>
    <row r="2312" customFormat="false" ht="12.75" hidden="false" customHeight="false" outlineLevel="0" collapsed="false">
      <c r="A2312" s="1" t="n">
        <v>99</v>
      </c>
      <c r="B2312" s="1" t="n">
        <v>75</v>
      </c>
      <c r="C2312" s="1" t="n">
        <v>174</v>
      </c>
      <c r="D2312" s="1" t="s">
        <v>877</v>
      </c>
      <c r="E2312" s="1" t="n">
        <v>-43673.096</v>
      </c>
      <c r="F2312" s="1" t="n">
        <v>27.945</v>
      </c>
      <c r="G2312" s="1" t="n">
        <f aca="false">IF(ISNUMBER(E2312),E2312,VALUE(SUBSTITUTE(E2312,"#",".01")))</f>
        <v>-43673.096</v>
      </c>
    </row>
    <row r="2313" customFormat="false" ht="12.75" hidden="false" customHeight="false" outlineLevel="0" collapsed="false">
      <c r="A2313" s="1" t="n">
        <v>98</v>
      </c>
      <c r="B2313" s="1" t="n">
        <v>76</v>
      </c>
      <c r="C2313" s="1" t="n">
        <v>174</v>
      </c>
      <c r="D2313" s="1" t="s">
        <v>887</v>
      </c>
      <c r="E2313" s="1" t="n">
        <v>-39995.416</v>
      </c>
      <c r="F2313" s="1" t="n">
        <v>10.254</v>
      </c>
      <c r="G2313" s="1" t="n">
        <f aca="false">IF(ISNUMBER(E2313),E2313,VALUE(SUBSTITUTE(E2313,"#",".01")))</f>
        <v>-39995.416</v>
      </c>
    </row>
    <row r="2314" customFormat="false" ht="12.75" hidden="false" customHeight="false" outlineLevel="0" collapsed="false">
      <c r="A2314" s="1" t="n">
        <v>97</v>
      </c>
      <c r="B2314" s="1" t="n">
        <v>77</v>
      </c>
      <c r="C2314" s="1" t="n">
        <v>174</v>
      </c>
      <c r="D2314" s="1" t="s">
        <v>900</v>
      </c>
      <c r="E2314" s="1" t="n">
        <v>-30863.492</v>
      </c>
      <c r="F2314" s="1" t="n">
        <v>24.322</v>
      </c>
      <c r="G2314" s="1" t="n">
        <f aca="false">IF(ISNUMBER(E2314),E2314,VALUE(SUBSTITUTE(E2314,"#",".01")))</f>
        <v>-30863.492</v>
      </c>
    </row>
    <row r="2315" customFormat="false" ht="12.75" hidden="false" customHeight="false" outlineLevel="0" collapsed="false">
      <c r="A2315" s="1" t="n">
        <v>96</v>
      </c>
      <c r="B2315" s="1" t="n">
        <v>78</v>
      </c>
      <c r="C2315" s="1" t="n">
        <v>174</v>
      </c>
      <c r="D2315" s="1" t="s">
        <v>915</v>
      </c>
      <c r="E2315" s="1" t="n">
        <v>-25318.163</v>
      </c>
      <c r="F2315" s="1" t="n">
        <v>10.351</v>
      </c>
      <c r="G2315" s="1" t="n">
        <f aca="false">IF(ISNUMBER(E2315),E2315,VALUE(SUBSTITUTE(E2315,"#",".01")))</f>
        <v>-25318.163</v>
      </c>
    </row>
    <row r="2316" customFormat="false" ht="12.75" hidden="false" customHeight="false" outlineLevel="0" collapsed="false">
      <c r="A2316" s="1" t="n">
        <v>95</v>
      </c>
      <c r="B2316" s="1" t="n">
        <v>79</v>
      </c>
      <c r="C2316" s="1" t="n">
        <v>174</v>
      </c>
      <c r="D2316" s="1" t="s">
        <v>930</v>
      </c>
      <c r="E2316" s="1" t="s">
        <v>951</v>
      </c>
      <c r="F2316" s="1" t="s">
        <v>935</v>
      </c>
      <c r="G2316" s="1" t="n">
        <f aca="false">IF(ISNUMBER(E2316),E2316,VALUE(SUBSTITUTE(E2316,"#",".01")))</f>
        <v>-14235.01</v>
      </c>
    </row>
    <row r="2317" customFormat="false" ht="12.75" hidden="false" customHeight="false" outlineLevel="0" collapsed="false">
      <c r="A2317" s="1" t="n">
        <v>94</v>
      </c>
      <c r="B2317" s="1" t="n">
        <v>80</v>
      </c>
      <c r="C2317" s="1" t="n">
        <v>174</v>
      </c>
      <c r="D2317" s="1" t="s">
        <v>939</v>
      </c>
      <c r="E2317" s="1" t="n">
        <v>-6641.009</v>
      </c>
      <c r="F2317" s="1" t="n">
        <v>19.211</v>
      </c>
      <c r="G2317" s="1" t="n">
        <f aca="false">IF(ISNUMBER(E2317),E2317,VALUE(SUBSTITUTE(E2317,"#",".01")))</f>
        <v>-6641.009</v>
      </c>
    </row>
    <row r="2318" customFormat="false" ht="12.75" hidden="false" customHeight="false" outlineLevel="0" collapsed="false">
      <c r="A2318" s="1" t="n">
        <v>108</v>
      </c>
      <c r="B2318" s="1" t="n">
        <v>67</v>
      </c>
      <c r="C2318" s="1" t="n">
        <v>175</v>
      </c>
      <c r="D2318" s="1" t="s">
        <v>802</v>
      </c>
      <c r="E2318" s="1" t="s">
        <v>952</v>
      </c>
      <c r="F2318" s="1" t="s">
        <v>320</v>
      </c>
      <c r="G2318" s="1" t="n">
        <f aca="false">IF(ISNUMBER(E2318),E2318,VALUE(SUBSTITUTE(E2318,"#",".01")))</f>
        <v>-43203.01</v>
      </c>
    </row>
    <row r="2319" customFormat="false" ht="12.75" hidden="false" customHeight="false" outlineLevel="0" collapsed="false">
      <c r="A2319" s="1" t="n">
        <v>107</v>
      </c>
      <c r="B2319" s="1" t="n">
        <v>68</v>
      </c>
      <c r="C2319" s="1" t="n">
        <v>175</v>
      </c>
      <c r="D2319" s="1" t="s">
        <v>17</v>
      </c>
      <c r="E2319" s="1" t="s">
        <v>953</v>
      </c>
      <c r="F2319" s="1" t="s">
        <v>320</v>
      </c>
      <c r="G2319" s="1" t="n">
        <f aca="false">IF(ISNUMBER(E2319),E2319,VALUE(SUBSTITUTE(E2319,"#",".01")))</f>
        <v>-48652.01</v>
      </c>
    </row>
    <row r="2320" customFormat="false" ht="12.75" hidden="false" customHeight="false" outlineLevel="0" collapsed="false">
      <c r="A2320" s="1" t="n">
        <v>106</v>
      </c>
      <c r="B2320" s="1" t="n">
        <v>69</v>
      </c>
      <c r="C2320" s="1" t="n">
        <v>175</v>
      </c>
      <c r="D2320" s="1" t="s">
        <v>819</v>
      </c>
      <c r="E2320" s="1" t="n">
        <v>-52310.549</v>
      </c>
      <c r="F2320" s="1" t="n">
        <v>50</v>
      </c>
      <c r="G2320" s="1" t="n">
        <f aca="false">IF(ISNUMBER(E2320),E2320,VALUE(SUBSTITUTE(E2320,"#",".01")))</f>
        <v>-52310.549</v>
      </c>
    </row>
    <row r="2321" customFormat="false" ht="12.75" hidden="false" customHeight="false" outlineLevel="0" collapsed="false">
      <c r="A2321" s="1" t="n">
        <v>105</v>
      </c>
      <c r="B2321" s="1" t="n">
        <v>70</v>
      </c>
      <c r="C2321" s="1" t="n">
        <v>175</v>
      </c>
      <c r="D2321" s="1" t="s">
        <v>827</v>
      </c>
      <c r="E2321" s="1" t="n">
        <v>-54695.549</v>
      </c>
      <c r="F2321" s="1" t="n">
        <v>0.071</v>
      </c>
      <c r="G2321" s="1" t="n">
        <f aca="false">IF(ISNUMBER(E2321),E2321,VALUE(SUBSTITUTE(E2321,"#",".01")))</f>
        <v>-54695.549</v>
      </c>
    </row>
    <row r="2322" customFormat="false" ht="12.75" hidden="false" customHeight="false" outlineLevel="0" collapsed="false">
      <c r="A2322" s="1" t="n">
        <v>104</v>
      </c>
      <c r="B2322" s="1" t="n">
        <v>71</v>
      </c>
      <c r="C2322" s="1" t="n">
        <v>175</v>
      </c>
      <c r="D2322" s="1" t="s">
        <v>836</v>
      </c>
      <c r="E2322" s="1" t="n">
        <v>-55165.582</v>
      </c>
      <c r="F2322" s="1" t="n">
        <v>1.207</v>
      </c>
      <c r="G2322" s="1" t="n">
        <f aca="false">IF(ISNUMBER(E2322),E2322,VALUE(SUBSTITUTE(E2322,"#",".01")))</f>
        <v>-55165.582</v>
      </c>
    </row>
    <row r="2323" customFormat="false" ht="12.75" hidden="false" customHeight="false" outlineLevel="0" collapsed="false">
      <c r="A2323" s="1" t="n">
        <v>103</v>
      </c>
      <c r="B2323" s="1" t="n">
        <v>72</v>
      </c>
      <c r="C2323" s="1" t="n">
        <v>175</v>
      </c>
      <c r="D2323" s="1" t="s">
        <v>850</v>
      </c>
      <c r="E2323" s="1" t="n">
        <v>-54481.662</v>
      </c>
      <c r="F2323" s="1" t="n">
        <v>2.282</v>
      </c>
      <c r="G2323" s="1" t="n">
        <f aca="false">IF(ISNUMBER(E2323),E2323,VALUE(SUBSTITUTE(E2323,"#",".01")))</f>
        <v>-54481.662</v>
      </c>
    </row>
    <row r="2324" customFormat="false" ht="12.75" hidden="false" customHeight="false" outlineLevel="0" collapsed="false">
      <c r="A2324" s="1" t="n">
        <v>102</v>
      </c>
      <c r="B2324" s="1" t="n">
        <v>73</v>
      </c>
      <c r="C2324" s="1" t="n">
        <v>175</v>
      </c>
      <c r="D2324" s="1" t="s">
        <v>859</v>
      </c>
      <c r="E2324" s="1" t="n">
        <v>-52408.647</v>
      </c>
      <c r="F2324" s="1" t="n">
        <v>27.945</v>
      </c>
      <c r="G2324" s="1" t="n">
        <f aca="false">IF(ISNUMBER(E2324),E2324,VALUE(SUBSTITUTE(E2324,"#",".01")))</f>
        <v>-52408.647</v>
      </c>
    </row>
    <row r="2325" customFormat="false" ht="12.75" hidden="false" customHeight="false" outlineLevel="0" collapsed="false">
      <c r="A2325" s="1" t="n">
        <v>101</v>
      </c>
      <c r="B2325" s="1" t="n">
        <v>74</v>
      </c>
      <c r="C2325" s="1" t="n">
        <v>175</v>
      </c>
      <c r="D2325" s="1" t="s">
        <v>868</v>
      </c>
      <c r="E2325" s="1" t="n">
        <v>-49632.795</v>
      </c>
      <c r="F2325" s="1" t="n">
        <v>27.945</v>
      </c>
      <c r="G2325" s="1" t="n">
        <f aca="false">IF(ISNUMBER(E2325),E2325,VALUE(SUBSTITUTE(E2325,"#",".01")))</f>
        <v>-49632.795</v>
      </c>
    </row>
    <row r="2326" customFormat="false" ht="12.75" hidden="false" customHeight="false" outlineLevel="0" collapsed="false">
      <c r="A2326" s="1" t="n">
        <v>100</v>
      </c>
      <c r="B2326" s="1" t="n">
        <v>75</v>
      </c>
      <c r="C2326" s="1" t="n">
        <v>175</v>
      </c>
      <c r="D2326" s="1" t="s">
        <v>877</v>
      </c>
      <c r="E2326" s="1" t="n">
        <v>-45288.307</v>
      </c>
      <c r="F2326" s="1" t="n">
        <v>27.945</v>
      </c>
      <c r="G2326" s="1" t="n">
        <f aca="false">IF(ISNUMBER(E2326),E2326,VALUE(SUBSTITUTE(E2326,"#",".01")))</f>
        <v>-45288.307</v>
      </c>
    </row>
    <row r="2327" customFormat="false" ht="12.75" hidden="false" customHeight="false" outlineLevel="0" collapsed="false">
      <c r="A2327" s="1" t="n">
        <v>99</v>
      </c>
      <c r="B2327" s="1" t="n">
        <v>76</v>
      </c>
      <c r="C2327" s="1" t="n">
        <v>175</v>
      </c>
      <c r="D2327" s="1" t="s">
        <v>887</v>
      </c>
      <c r="E2327" s="1" t="n">
        <v>-40105.376</v>
      </c>
      <c r="F2327" s="1" t="n">
        <v>11.775</v>
      </c>
      <c r="G2327" s="1" t="n">
        <f aca="false">IF(ISNUMBER(E2327),E2327,VALUE(SUBSTITUTE(E2327,"#",".01")))</f>
        <v>-40105.376</v>
      </c>
    </row>
    <row r="2328" customFormat="false" ht="12.75" hidden="false" customHeight="false" outlineLevel="0" collapsed="false">
      <c r="A2328" s="1" t="n">
        <v>98</v>
      </c>
      <c r="B2328" s="1" t="n">
        <v>77</v>
      </c>
      <c r="C2328" s="1" t="n">
        <v>175</v>
      </c>
      <c r="D2328" s="1" t="s">
        <v>900</v>
      </c>
      <c r="E2328" s="1" t="n">
        <v>-33394.506</v>
      </c>
      <c r="F2328" s="1" t="n">
        <v>12.384</v>
      </c>
      <c r="G2328" s="1" t="n">
        <f aca="false">IF(ISNUMBER(E2328),E2328,VALUE(SUBSTITUTE(E2328,"#",".01")))</f>
        <v>-33394.506</v>
      </c>
    </row>
    <row r="2329" customFormat="false" ht="12.75" hidden="false" customHeight="false" outlineLevel="0" collapsed="false">
      <c r="A2329" s="1" t="n">
        <v>97</v>
      </c>
      <c r="B2329" s="1" t="n">
        <v>78</v>
      </c>
      <c r="C2329" s="1" t="n">
        <v>175</v>
      </c>
      <c r="D2329" s="1" t="s">
        <v>915</v>
      </c>
      <c r="E2329" s="1" t="n">
        <v>-25713.466</v>
      </c>
      <c r="F2329" s="1" t="n">
        <v>18.185</v>
      </c>
      <c r="G2329" s="1" t="n">
        <f aca="false">IF(ISNUMBER(E2329),E2329,VALUE(SUBSTITUTE(E2329,"#",".01")))</f>
        <v>-25713.466</v>
      </c>
    </row>
    <row r="2330" customFormat="false" ht="12.75" hidden="false" customHeight="false" outlineLevel="0" collapsed="false">
      <c r="A2330" s="1" t="n">
        <v>96</v>
      </c>
      <c r="B2330" s="1" t="n">
        <v>79</v>
      </c>
      <c r="C2330" s="1" t="n">
        <v>175</v>
      </c>
      <c r="D2330" s="1" t="s">
        <v>930</v>
      </c>
      <c r="E2330" s="1" t="n">
        <v>-17403.955</v>
      </c>
      <c r="F2330" s="1" t="n">
        <v>38.64</v>
      </c>
      <c r="G2330" s="1" t="n">
        <f aca="false">IF(ISNUMBER(E2330),E2330,VALUE(SUBSTITUTE(E2330,"#",".01")))</f>
        <v>-17403.955</v>
      </c>
    </row>
    <row r="2331" customFormat="false" ht="12.75" hidden="false" customHeight="false" outlineLevel="0" collapsed="false">
      <c r="A2331" s="1" t="n">
        <v>95</v>
      </c>
      <c r="B2331" s="1" t="n">
        <v>80</v>
      </c>
      <c r="C2331" s="1" t="n">
        <v>175</v>
      </c>
      <c r="D2331" s="1" t="s">
        <v>939</v>
      </c>
      <c r="E2331" s="1" t="n">
        <v>-7972.576</v>
      </c>
      <c r="F2331" s="1" t="n">
        <v>72.896</v>
      </c>
      <c r="G2331" s="1" t="n">
        <f aca="false">IF(ISNUMBER(E2331),E2331,VALUE(SUBSTITUTE(E2331,"#",".01")))</f>
        <v>-7972.576</v>
      </c>
    </row>
    <row r="2332" customFormat="false" ht="12.75" hidden="false" customHeight="false" outlineLevel="0" collapsed="false">
      <c r="A2332" s="1" t="n">
        <v>109</v>
      </c>
      <c r="B2332" s="1" t="n">
        <v>67</v>
      </c>
      <c r="C2332" s="1" t="n">
        <v>176</v>
      </c>
      <c r="D2332" s="1" t="s">
        <v>802</v>
      </c>
      <c r="E2332" s="1" t="s">
        <v>954</v>
      </c>
      <c r="F2332" s="1" t="s">
        <v>323</v>
      </c>
      <c r="G2332" s="1" t="n">
        <f aca="false">IF(ISNUMBER(E2332),E2332,VALUE(SUBSTITUTE(E2332,"#",".01")))</f>
        <v>-39290.01</v>
      </c>
    </row>
    <row r="2333" customFormat="false" ht="12.75" hidden="false" customHeight="false" outlineLevel="0" collapsed="false">
      <c r="A2333" s="1" t="n">
        <v>108</v>
      </c>
      <c r="B2333" s="1" t="n">
        <v>68</v>
      </c>
      <c r="C2333" s="1" t="n">
        <v>176</v>
      </c>
      <c r="D2333" s="1" t="s">
        <v>17</v>
      </c>
      <c r="E2333" s="1" t="s">
        <v>620</v>
      </c>
      <c r="F2333" s="1" t="s">
        <v>320</v>
      </c>
      <c r="G2333" s="1" t="n">
        <f aca="false">IF(ISNUMBER(E2333),E2333,VALUE(SUBSTITUTE(E2333,"#",".01")))</f>
        <v>-46631.01</v>
      </c>
    </row>
    <row r="2334" customFormat="false" ht="12.75" hidden="false" customHeight="false" outlineLevel="0" collapsed="false">
      <c r="A2334" s="1" t="n">
        <v>107</v>
      </c>
      <c r="B2334" s="1" t="n">
        <v>69</v>
      </c>
      <c r="C2334" s="1" t="n">
        <v>176</v>
      </c>
      <c r="D2334" s="1" t="s">
        <v>819</v>
      </c>
      <c r="E2334" s="1" t="n">
        <v>-49371.314</v>
      </c>
      <c r="F2334" s="1" t="n">
        <v>100</v>
      </c>
      <c r="G2334" s="1" t="n">
        <f aca="false">IF(ISNUMBER(E2334),E2334,VALUE(SUBSTITUTE(E2334,"#",".01")))</f>
        <v>-49371.314</v>
      </c>
    </row>
    <row r="2335" customFormat="false" ht="12.75" hidden="false" customHeight="false" outlineLevel="0" collapsed="false">
      <c r="A2335" s="1" t="n">
        <v>106</v>
      </c>
      <c r="B2335" s="1" t="n">
        <v>70</v>
      </c>
      <c r="C2335" s="1" t="n">
        <v>176</v>
      </c>
      <c r="D2335" s="1" t="s">
        <v>827</v>
      </c>
      <c r="E2335" s="1" t="n">
        <v>-53491.314</v>
      </c>
      <c r="F2335" s="1" t="n">
        <v>0.015</v>
      </c>
      <c r="G2335" s="1" t="n">
        <f aca="false">IF(ISNUMBER(E2335),E2335,VALUE(SUBSTITUTE(E2335,"#",".01")))</f>
        <v>-53491.314</v>
      </c>
    </row>
    <row r="2336" customFormat="false" ht="12.75" hidden="false" customHeight="false" outlineLevel="0" collapsed="false">
      <c r="A2336" s="1" t="n">
        <v>105</v>
      </c>
      <c r="B2336" s="1" t="n">
        <v>71</v>
      </c>
      <c r="C2336" s="1" t="n">
        <v>176</v>
      </c>
      <c r="D2336" s="1" t="s">
        <v>836</v>
      </c>
      <c r="E2336" s="1" t="n">
        <v>-53382.236</v>
      </c>
      <c r="F2336" s="1" t="n">
        <v>1.212</v>
      </c>
      <c r="G2336" s="1" t="n">
        <f aca="false">IF(ISNUMBER(E2336),E2336,VALUE(SUBSTITUTE(E2336,"#",".01")))</f>
        <v>-53382.236</v>
      </c>
    </row>
    <row r="2337" customFormat="false" ht="12.75" hidden="false" customHeight="false" outlineLevel="0" collapsed="false">
      <c r="A2337" s="1" t="n">
        <v>104</v>
      </c>
      <c r="B2337" s="1" t="n">
        <v>72</v>
      </c>
      <c r="C2337" s="1" t="n">
        <v>176</v>
      </c>
      <c r="D2337" s="1" t="s">
        <v>850</v>
      </c>
      <c r="E2337" s="1" t="n">
        <v>-54576.321</v>
      </c>
      <c r="F2337" s="1" t="n">
        <v>1.481</v>
      </c>
      <c r="G2337" s="1" t="n">
        <f aca="false">IF(ISNUMBER(E2337),E2337,VALUE(SUBSTITUTE(E2337,"#",".01")))</f>
        <v>-54576.321</v>
      </c>
    </row>
    <row r="2338" customFormat="false" ht="12.75" hidden="false" customHeight="false" outlineLevel="0" collapsed="false">
      <c r="A2338" s="1" t="n">
        <v>103</v>
      </c>
      <c r="B2338" s="1" t="n">
        <v>73</v>
      </c>
      <c r="C2338" s="1" t="n">
        <v>176</v>
      </c>
      <c r="D2338" s="1" t="s">
        <v>859</v>
      </c>
      <c r="E2338" s="1" t="n">
        <v>-51365.374</v>
      </c>
      <c r="F2338" s="1" t="n">
        <v>30.739</v>
      </c>
      <c r="G2338" s="1" t="n">
        <f aca="false">IF(ISNUMBER(E2338),E2338,VALUE(SUBSTITUTE(E2338,"#",".01")))</f>
        <v>-51365.374</v>
      </c>
    </row>
    <row r="2339" customFormat="false" ht="12.75" hidden="false" customHeight="false" outlineLevel="0" collapsed="false">
      <c r="A2339" s="1" t="n">
        <v>102</v>
      </c>
      <c r="B2339" s="1" t="n">
        <v>74</v>
      </c>
      <c r="C2339" s="1" t="n">
        <v>176</v>
      </c>
      <c r="D2339" s="1" t="s">
        <v>868</v>
      </c>
      <c r="E2339" s="1" t="n">
        <v>-50641.603</v>
      </c>
      <c r="F2339" s="1" t="n">
        <v>27.945</v>
      </c>
      <c r="G2339" s="1" t="n">
        <f aca="false">IF(ISNUMBER(E2339),E2339,VALUE(SUBSTITUTE(E2339,"#",".01")))</f>
        <v>-50641.603</v>
      </c>
    </row>
    <row r="2340" customFormat="false" ht="12.75" hidden="false" customHeight="false" outlineLevel="0" collapsed="false">
      <c r="A2340" s="1" t="n">
        <v>101</v>
      </c>
      <c r="B2340" s="1" t="n">
        <v>75</v>
      </c>
      <c r="C2340" s="1" t="n">
        <v>176</v>
      </c>
      <c r="D2340" s="1" t="s">
        <v>877</v>
      </c>
      <c r="E2340" s="1" t="n">
        <v>-45062.885</v>
      </c>
      <c r="F2340" s="1" t="n">
        <v>27.945</v>
      </c>
      <c r="G2340" s="1" t="n">
        <f aca="false">IF(ISNUMBER(E2340),E2340,VALUE(SUBSTITUTE(E2340,"#",".01")))</f>
        <v>-45062.885</v>
      </c>
    </row>
    <row r="2341" customFormat="false" ht="12.75" hidden="false" customHeight="false" outlineLevel="0" collapsed="false">
      <c r="A2341" s="1" t="n">
        <v>100</v>
      </c>
      <c r="B2341" s="1" t="n">
        <v>76</v>
      </c>
      <c r="C2341" s="1" t="n">
        <v>176</v>
      </c>
      <c r="D2341" s="1" t="s">
        <v>887</v>
      </c>
      <c r="E2341" s="1" t="n">
        <v>-42097.94</v>
      </c>
      <c r="F2341" s="1" t="n">
        <v>27.945</v>
      </c>
      <c r="G2341" s="1" t="n">
        <f aca="false">IF(ISNUMBER(E2341),E2341,VALUE(SUBSTITUTE(E2341,"#",".01")))</f>
        <v>-42097.94</v>
      </c>
    </row>
    <row r="2342" customFormat="false" ht="12.75" hidden="false" customHeight="false" outlineLevel="0" collapsed="false">
      <c r="A2342" s="1" t="n">
        <v>99</v>
      </c>
      <c r="B2342" s="1" t="n">
        <v>77</v>
      </c>
      <c r="C2342" s="1" t="n">
        <v>176</v>
      </c>
      <c r="D2342" s="1" t="s">
        <v>900</v>
      </c>
      <c r="E2342" s="1" t="n">
        <v>-33878.326</v>
      </c>
      <c r="F2342" s="1" t="n">
        <v>16.75</v>
      </c>
      <c r="G2342" s="1" t="n">
        <f aca="false">IF(ISNUMBER(E2342),E2342,VALUE(SUBSTITUTE(E2342,"#",".01")))</f>
        <v>-33878.326</v>
      </c>
    </row>
    <row r="2343" customFormat="false" ht="12.75" hidden="false" customHeight="false" outlineLevel="0" collapsed="false">
      <c r="A2343" s="1" t="n">
        <v>98</v>
      </c>
      <c r="B2343" s="1" t="n">
        <v>78</v>
      </c>
      <c r="C2343" s="1" t="n">
        <v>176</v>
      </c>
      <c r="D2343" s="1" t="s">
        <v>915</v>
      </c>
      <c r="E2343" s="1" t="n">
        <v>-28933.867</v>
      </c>
      <c r="F2343" s="1" t="n">
        <v>12.724</v>
      </c>
      <c r="G2343" s="1" t="n">
        <f aca="false">IF(ISNUMBER(E2343),E2343,VALUE(SUBSTITUTE(E2343,"#",".01")))</f>
        <v>-28933.867</v>
      </c>
    </row>
    <row r="2344" customFormat="false" ht="12.75" hidden="false" customHeight="false" outlineLevel="0" collapsed="false">
      <c r="A2344" s="1" t="n">
        <v>97</v>
      </c>
      <c r="B2344" s="1" t="n">
        <v>79</v>
      </c>
      <c r="C2344" s="1" t="n">
        <v>176</v>
      </c>
      <c r="D2344" s="1" t="s">
        <v>930</v>
      </c>
      <c r="E2344" s="1" t="n">
        <v>-18520.963</v>
      </c>
      <c r="F2344" s="1" t="n">
        <v>33.185</v>
      </c>
      <c r="G2344" s="1" t="n">
        <f aca="false">IF(ISNUMBER(E2344),E2344,VALUE(SUBSTITUTE(E2344,"#",".01")))</f>
        <v>-18520.963</v>
      </c>
    </row>
    <row r="2345" customFormat="false" ht="12.75" hidden="false" customHeight="false" outlineLevel="0" collapsed="false">
      <c r="A2345" s="1" t="n">
        <v>96</v>
      </c>
      <c r="B2345" s="1" t="n">
        <v>80</v>
      </c>
      <c r="C2345" s="1" t="n">
        <v>176</v>
      </c>
      <c r="D2345" s="1" t="s">
        <v>939</v>
      </c>
      <c r="E2345" s="1" t="n">
        <v>-11784.95</v>
      </c>
      <c r="F2345" s="1" t="n">
        <v>11.119</v>
      </c>
      <c r="G2345" s="1" t="n">
        <f aca="false">IF(ISNUMBER(E2345),E2345,VALUE(SUBSTITUTE(E2345,"#",".01")))</f>
        <v>-11784.95</v>
      </c>
    </row>
    <row r="2346" customFormat="false" ht="12.75" hidden="false" customHeight="false" outlineLevel="0" collapsed="false">
      <c r="A2346" s="1" t="n">
        <v>95</v>
      </c>
      <c r="B2346" s="1" t="n">
        <v>81</v>
      </c>
      <c r="C2346" s="1" t="n">
        <v>176</v>
      </c>
      <c r="D2346" s="1" t="s">
        <v>955</v>
      </c>
      <c r="E2346" s="1" t="n">
        <v>581.594</v>
      </c>
      <c r="F2346" s="1" t="n">
        <v>75.086</v>
      </c>
      <c r="G2346" s="1" t="n">
        <f aca="false">IF(ISNUMBER(E2346),E2346,VALUE(SUBSTITUTE(E2346,"#",".01")))</f>
        <v>581.594</v>
      </c>
    </row>
    <row r="2347" customFormat="false" ht="12.75" hidden="false" customHeight="false" outlineLevel="0" collapsed="false">
      <c r="A2347" s="1" t="n">
        <v>109</v>
      </c>
      <c r="B2347" s="1" t="n">
        <v>68</v>
      </c>
      <c r="C2347" s="1" t="n">
        <v>177</v>
      </c>
      <c r="D2347" s="1" t="s">
        <v>17</v>
      </c>
      <c r="E2347" s="1" t="s">
        <v>956</v>
      </c>
      <c r="F2347" s="1" t="s">
        <v>323</v>
      </c>
      <c r="G2347" s="1" t="n">
        <f aca="false">IF(ISNUMBER(E2347),E2347,VALUE(SUBSTITUTE(E2347,"#",".01")))</f>
        <v>-42858.01</v>
      </c>
    </row>
    <row r="2348" customFormat="false" ht="12.75" hidden="false" customHeight="false" outlineLevel="0" collapsed="false">
      <c r="A2348" s="1" t="n">
        <v>108</v>
      </c>
      <c r="B2348" s="1" t="n">
        <v>69</v>
      </c>
      <c r="C2348" s="1" t="n">
        <v>177</v>
      </c>
      <c r="D2348" s="1" t="s">
        <v>819</v>
      </c>
      <c r="E2348" s="1" t="s">
        <v>957</v>
      </c>
      <c r="F2348" s="1" t="s">
        <v>360</v>
      </c>
      <c r="G2348" s="1" t="n">
        <f aca="false">IF(ISNUMBER(E2348),E2348,VALUE(SUBSTITUTE(E2348,"#",".01")))</f>
        <v>-47469.01</v>
      </c>
    </row>
    <row r="2349" customFormat="false" ht="12.75" hidden="false" customHeight="false" outlineLevel="0" collapsed="false">
      <c r="A2349" s="1" t="n">
        <v>107</v>
      </c>
      <c r="B2349" s="1" t="n">
        <v>70</v>
      </c>
      <c r="C2349" s="1" t="n">
        <v>177</v>
      </c>
      <c r="D2349" s="1" t="s">
        <v>827</v>
      </c>
      <c r="E2349" s="1" t="n">
        <v>-50986.397</v>
      </c>
      <c r="F2349" s="1" t="n">
        <v>0.22</v>
      </c>
      <c r="G2349" s="1" t="n">
        <f aca="false">IF(ISNUMBER(E2349),E2349,VALUE(SUBSTITUTE(E2349,"#",".01")))</f>
        <v>-50986.397</v>
      </c>
    </row>
    <row r="2350" customFormat="false" ht="12.75" hidden="false" customHeight="false" outlineLevel="0" collapsed="false">
      <c r="A2350" s="1" t="n">
        <v>106</v>
      </c>
      <c r="B2350" s="1" t="n">
        <v>71</v>
      </c>
      <c r="C2350" s="1" t="n">
        <v>177</v>
      </c>
      <c r="D2350" s="1" t="s">
        <v>836</v>
      </c>
      <c r="E2350" s="1" t="n">
        <v>-52383.806</v>
      </c>
      <c r="F2350" s="1" t="n">
        <v>1.22</v>
      </c>
      <c r="G2350" s="1" t="n">
        <f aca="false">IF(ISNUMBER(E2350),E2350,VALUE(SUBSTITUTE(E2350,"#",".01")))</f>
        <v>-52383.806</v>
      </c>
    </row>
    <row r="2351" customFormat="false" ht="12.75" hidden="false" customHeight="false" outlineLevel="0" collapsed="false">
      <c r="A2351" s="1" t="n">
        <v>105</v>
      </c>
      <c r="B2351" s="1" t="n">
        <v>72</v>
      </c>
      <c r="C2351" s="1" t="n">
        <v>177</v>
      </c>
      <c r="D2351" s="1" t="s">
        <v>850</v>
      </c>
      <c r="E2351" s="1" t="n">
        <v>-52880.616</v>
      </c>
      <c r="F2351" s="1" t="n">
        <v>1.408</v>
      </c>
      <c r="G2351" s="1" t="n">
        <f aca="false">IF(ISNUMBER(E2351),E2351,VALUE(SUBSTITUTE(E2351,"#",".01")))</f>
        <v>-52880.616</v>
      </c>
    </row>
    <row r="2352" customFormat="false" ht="12.75" hidden="false" customHeight="false" outlineLevel="0" collapsed="false">
      <c r="A2352" s="1" t="n">
        <v>104</v>
      </c>
      <c r="B2352" s="1" t="n">
        <v>73</v>
      </c>
      <c r="C2352" s="1" t="n">
        <v>177</v>
      </c>
      <c r="D2352" s="1" t="s">
        <v>859</v>
      </c>
      <c r="E2352" s="1" t="n">
        <v>-51714.616</v>
      </c>
      <c r="F2352" s="1" t="n">
        <v>3.314</v>
      </c>
      <c r="G2352" s="1" t="n">
        <f aca="false">IF(ISNUMBER(E2352),E2352,VALUE(SUBSTITUTE(E2352,"#",".01")))</f>
        <v>-51714.616</v>
      </c>
    </row>
    <row r="2353" customFormat="false" ht="12.75" hidden="false" customHeight="false" outlineLevel="0" collapsed="false">
      <c r="A2353" s="1" t="n">
        <v>103</v>
      </c>
      <c r="B2353" s="1" t="n">
        <v>74</v>
      </c>
      <c r="C2353" s="1" t="n">
        <v>177</v>
      </c>
      <c r="D2353" s="1" t="s">
        <v>868</v>
      </c>
      <c r="E2353" s="1" t="n">
        <v>-49701.726</v>
      </c>
      <c r="F2353" s="1" t="n">
        <v>27.945</v>
      </c>
      <c r="G2353" s="1" t="n">
        <f aca="false">IF(ISNUMBER(E2353),E2353,VALUE(SUBSTITUTE(E2353,"#",".01")))</f>
        <v>-49701.726</v>
      </c>
    </row>
    <row r="2354" customFormat="false" ht="12.75" hidden="false" customHeight="false" outlineLevel="0" collapsed="false">
      <c r="A2354" s="1" t="n">
        <v>102</v>
      </c>
      <c r="B2354" s="1" t="n">
        <v>75</v>
      </c>
      <c r="C2354" s="1" t="n">
        <v>177</v>
      </c>
      <c r="D2354" s="1" t="s">
        <v>877</v>
      </c>
      <c r="E2354" s="1" t="n">
        <v>-46269.17</v>
      </c>
      <c r="F2354" s="1" t="n">
        <v>27.945</v>
      </c>
      <c r="G2354" s="1" t="n">
        <f aca="false">IF(ISNUMBER(E2354),E2354,VALUE(SUBSTITUTE(E2354,"#",".01")))</f>
        <v>-46269.17</v>
      </c>
    </row>
    <row r="2355" customFormat="false" ht="12.75" hidden="false" customHeight="false" outlineLevel="0" collapsed="false">
      <c r="A2355" s="1" t="n">
        <v>101</v>
      </c>
      <c r="B2355" s="1" t="n">
        <v>76</v>
      </c>
      <c r="C2355" s="1" t="n">
        <v>177</v>
      </c>
      <c r="D2355" s="1" t="s">
        <v>887</v>
      </c>
      <c r="E2355" s="1" t="n">
        <v>-41956.462</v>
      </c>
      <c r="F2355" s="1" t="n">
        <v>14.613</v>
      </c>
      <c r="G2355" s="1" t="n">
        <f aca="false">IF(ISNUMBER(E2355),E2355,VALUE(SUBSTITUTE(E2355,"#",".01")))</f>
        <v>-41956.462</v>
      </c>
    </row>
    <row r="2356" customFormat="false" ht="12.75" hidden="false" customHeight="false" outlineLevel="0" collapsed="false">
      <c r="A2356" s="1" t="n">
        <v>100</v>
      </c>
      <c r="B2356" s="1" t="n">
        <v>77</v>
      </c>
      <c r="C2356" s="1" t="n">
        <v>177</v>
      </c>
      <c r="D2356" s="1" t="s">
        <v>900</v>
      </c>
      <c r="E2356" s="1" t="n">
        <v>-36047.421</v>
      </c>
      <c r="F2356" s="1" t="n">
        <v>19.76</v>
      </c>
      <c r="G2356" s="1" t="n">
        <f aca="false">IF(ISNUMBER(E2356),E2356,VALUE(SUBSTITUTE(E2356,"#",".01")))</f>
        <v>-36047.421</v>
      </c>
    </row>
    <row r="2357" customFormat="false" ht="12.75" hidden="false" customHeight="false" outlineLevel="0" collapsed="false">
      <c r="A2357" s="1" t="n">
        <v>99</v>
      </c>
      <c r="B2357" s="1" t="n">
        <v>78</v>
      </c>
      <c r="C2357" s="1" t="n">
        <v>177</v>
      </c>
      <c r="D2357" s="1" t="s">
        <v>915</v>
      </c>
      <c r="E2357" s="1" t="n">
        <v>-29370.444</v>
      </c>
      <c r="F2357" s="1" t="n">
        <v>14.988</v>
      </c>
      <c r="G2357" s="1" t="n">
        <f aca="false">IF(ISNUMBER(E2357),E2357,VALUE(SUBSTITUTE(E2357,"#",".01")))</f>
        <v>-29370.444</v>
      </c>
    </row>
    <row r="2358" customFormat="false" ht="12.75" hidden="false" customHeight="false" outlineLevel="0" collapsed="false">
      <c r="A2358" s="1" t="n">
        <v>98</v>
      </c>
      <c r="B2358" s="1" t="n">
        <v>79</v>
      </c>
      <c r="C2358" s="1" t="n">
        <v>177</v>
      </c>
      <c r="D2358" s="1" t="s">
        <v>930</v>
      </c>
      <c r="E2358" s="1" t="n">
        <v>-21545.103</v>
      </c>
      <c r="F2358" s="1" t="n">
        <v>10.496</v>
      </c>
      <c r="G2358" s="1" t="n">
        <f aca="false">IF(ISNUMBER(E2358),E2358,VALUE(SUBSTITUTE(E2358,"#",".01")))</f>
        <v>-21545.103</v>
      </c>
    </row>
    <row r="2359" customFormat="false" ht="12.75" hidden="false" customHeight="false" outlineLevel="0" collapsed="false">
      <c r="A2359" s="1" t="n">
        <v>97</v>
      </c>
      <c r="B2359" s="1" t="n">
        <v>80</v>
      </c>
      <c r="C2359" s="1" t="n">
        <v>177</v>
      </c>
      <c r="D2359" s="1" t="s">
        <v>939</v>
      </c>
      <c r="E2359" s="1" t="n">
        <v>-12782.542</v>
      </c>
      <c r="F2359" s="1" t="n">
        <v>75.056</v>
      </c>
      <c r="G2359" s="1" t="n">
        <f aca="false">IF(ISNUMBER(E2359),E2359,VALUE(SUBSTITUTE(E2359,"#",".01")))</f>
        <v>-12782.542</v>
      </c>
    </row>
    <row r="2360" customFormat="false" ht="12.75" hidden="false" customHeight="false" outlineLevel="0" collapsed="false">
      <c r="A2360" s="1" t="n">
        <v>96</v>
      </c>
      <c r="B2360" s="1" t="n">
        <v>81</v>
      </c>
      <c r="C2360" s="1" t="n">
        <v>177</v>
      </c>
      <c r="D2360" s="1" t="s">
        <v>955</v>
      </c>
      <c r="E2360" s="1" t="n">
        <v>-3340.526</v>
      </c>
      <c r="F2360" s="1" t="n">
        <v>21.629</v>
      </c>
      <c r="G2360" s="1" t="n">
        <f aca="false">IF(ISNUMBER(E2360),E2360,VALUE(SUBSTITUTE(E2360,"#",".01")))</f>
        <v>-3340.526</v>
      </c>
    </row>
    <row r="2361" customFormat="false" ht="12.75" hidden="false" customHeight="false" outlineLevel="0" collapsed="false">
      <c r="A2361" s="1" t="n">
        <v>110</v>
      </c>
      <c r="B2361" s="1" t="n">
        <v>68</v>
      </c>
      <c r="C2361" s="1" t="n">
        <v>178</v>
      </c>
      <c r="D2361" s="1" t="s">
        <v>17</v>
      </c>
      <c r="E2361" s="1" t="s">
        <v>958</v>
      </c>
      <c r="F2361" s="1" t="s">
        <v>316</v>
      </c>
      <c r="G2361" s="1" t="n">
        <f aca="false">IF(ISNUMBER(E2361),E2361,VALUE(SUBSTITUTE(E2361,"#",".01")))</f>
        <v>-40260.01</v>
      </c>
    </row>
    <row r="2362" customFormat="false" ht="12.75" hidden="false" customHeight="false" outlineLevel="0" collapsed="false">
      <c r="A2362" s="1" t="n">
        <v>109</v>
      </c>
      <c r="B2362" s="1" t="n">
        <v>69</v>
      </c>
      <c r="C2362" s="1" t="n">
        <v>178</v>
      </c>
      <c r="D2362" s="1" t="s">
        <v>819</v>
      </c>
      <c r="E2362" s="1" t="s">
        <v>959</v>
      </c>
      <c r="F2362" s="1" t="s">
        <v>320</v>
      </c>
      <c r="G2362" s="1" t="n">
        <f aca="false">IF(ISNUMBER(E2362),E2362,VALUE(SUBSTITUTE(E2362,"#",".01")))</f>
        <v>-44116.01</v>
      </c>
    </row>
    <row r="2363" customFormat="false" ht="12.75" hidden="false" customHeight="false" outlineLevel="0" collapsed="false">
      <c r="A2363" s="1" t="n">
        <v>108</v>
      </c>
      <c r="B2363" s="1" t="n">
        <v>70</v>
      </c>
      <c r="C2363" s="1" t="n">
        <v>178</v>
      </c>
      <c r="D2363" s="1" t="s">
        <v>827</v>
      </c>
      <c r="E2363" s="1" t="n">
        <v>-49695.475</v>
      </c>
      <c r="F2363" s="1" t="n">
        <v>10</v>
      </c>
      <c r="G2363" s="1" t="n">
        <f aca="false">IF(ISNUMBER(E2363),E2363,VALUE(SUBSTITUTE(E2363,"#",".01")))</f>
        <v>-49695.475</v>
      </c>
    </row>
    <row r="2364" customFormat="false" ht="12.75" hidden="false" customHeight="false" outlineLevel="0" collapsed="false">
      <c r="A2364" s="1" t="n">
        <v>107</v>
      </c>
      <c r="B2364" s="1" t="n">
        <v>71</v>
      </c>
      <c r="C2364" s="1" t="n">
        <v>178</v>
      </c>
      <c r="D2364" s="1" t="s">
        <v>836</v>
      </c>
      <c r="E2364" s="1" t="n">
        <v>-50337.784</v>
      </c>
      <c r="F2364" s="1" t="n">
        <v>2.251</v>
      </c>
      <c r="G2364" s="1" t="n">
        <f aca="false">IF(ISNUMBER(E2364),E2364,VALUE(SUBSTITUTE(E2364,"#",".01")))</f>
        <v>-50337.784</v>
      </c>
    </row>
    <row r="2365" customFormat="false" ht="12.75" hidden="false" customHeight="false" outlineLevel="0" collapsed="false">
      <c r="A2365" s="1" t="n">
        <v>106</v>
      </c>
      <c r="B2365" s="1" t="n">
        <v>72</v>
      </c>
      <c r="C2365" s="1" t="n">
        <v>178</v>
      </c>
      <c r="D2365" s="1" t="s">
        <v>850</v>
      </c>
      <c r="E2365" s="1" t="n">
        <v>-52435.236</v>
      </c>
      <c r="F2365" s="1" t="n">
        <v>1.412</v>
      </c>
      <c r="G2365" s="1" t="n">
        <f aca="false">IF(ISNUMBER(E2365),E2365,VALUE(SUBSTITUTE(E2365,"#",".01")))</f>
        <v>-52435.236</v>
      </c>
    </row>
    <row r="2366" customFormat="false" ht="12.75" hidden="false" customHeight="false" outlineLevel="0" collapsed="false">
      <c r="A2366" s="1" t="n">
        <v>105</v>
      </c>
      <c r="B2366" s="1" t="n">
        <v>73</v>
      </c>
      <c r="C2366" s="1" t="n">
        <v>178</v>
      </c>
      <c r="D2366" s="1" t="s">
        <v>859</v>
      </c>
      <c r="E2366" s="1" t="s">
        <v>960</v>
      </c>
      <c r="F2366" s="1" t="s">
        <v>961</v>
      </c>
      <c r="G2366" s="1" t="n">
        <f aca="false">IF(ISNUMBER(E2366),E2366,VALUE(SUBSTITUTE(E2366,"#",".01")))</f>
        <v>-50598.01</v>
      </c>
    </row>
    <row r="2367" customFormat="false" ht="12.75" hidden="false" customHeight="false" outlineLevel="0" collapsed="false">
      <c r="A2367" s="1" t="n">
        <v>104</v>
      </c>
      <c r="B2367" s="1" t="n">
        <v>74</v>
      </c>
      <c r="C2367" s="1" t="n">
        <v>178</v>
      </c>
      <c r="D2367" s="1" t="s">
        <v>868</v>
      </c>
      <c r="E2367" s="1" t="n">
        <v>-50406.936</v>
      </c>
      <c r="F2367" s="1" t="n">
        <v>15.199</v>
      </c>
      <c r="G2367" s="1" t="n">
        <f aca="false">IF(ISNUMBER(E2367),E2367,VALUE(SUBSTITUTE(E2367,"#",".01")))</f>
        <v>-50406.936</v>
      </c>
    </row>
    <row r="2368" customFormat="false" ht="12.75" hidden="false" customHeight="false" outlineLevel="0" collapsed="false">
      <c r="A2368" s="1" t="n">
        <v>103</v>
      </c>
      <c r="B2368" s="1" t="n">
        <v>75</v>
      </c>
      <c r="C2368" s="1" t="n">
        <v>178</v>
      </c>
      <c r="D2368" s="1" t="s">
        <v>877</v>
      </c>
      <c r="E2368" s="1" t="n">
        <v>-45653.453</v>
      </c>
      <c r="F2368" s="1" t="n">
        <v>27.945</v>
      </c>
      <c r="G2368" s="1" t="n">
        <f aca="false">IF(ISNUMBER(E2368),E2368,VALUE(SUBSTITUTE(E2368,"#",".01")))</f>
        <v>-45653.453</v>
      </c>
    </row>
    <row r="2369" customFormat="false" ht="12.75" hidden="false" customHeight="false" outlineLevel="0" collapsed="false">
      <c r="A2369" s="1" t="n">
        <v>102</v>
      </c>
      <c r="B2369" s="1" t="n">
        <v>76</v>
      </c>
      <c r="C2369" s="1" t="n">
        <v>178</v>
      </c>
      <c r="D2369" s="1" t="s">
        <v>887</v>
      </c>
      <c r="E2369" s="1" t="n">
        <v>-43544.27</v>
      </c>
      <c r="F2369" s="1" t="n">
        <v>13.632</v>
      </c>
      <c r="G2369" s="1" t="n">
        <f aca="false">IF(ISNUMBER(E2369),E2369,VALUE(SUBSTITUTE(E2369,"#",".01")))</f>
        <v>-43544.27</v>
      </c>
    </row>
    <row r="2370" customFormat="false" ht="12.75" hidden="false" customHeight="false" outlineLevel="0" collapsed="false">
      <c r="A2370" s="1" t="n">
        <v>101</v>
      </c>
      <c r="B2370" s="1" t="n">
        <v>77</v>
      </c>
      <c r="C2370" s="1" t="n">
        <v>178</v>
      </c>
      <c r="D2370" s="1" t="s">
        <v>900</v>
      </c>
      <c r="E2370" s="1" t="n">
        <v>-36251.884</v>
      </c>
      <c r="F2370" s="1" t="n">
        <v>19.76</v>
      </c>
      <c r="G2370" s="1" t="n">
        <f aca="false">IF(ISNUMBER(E2370),E2370,VALUE(SUBSTITUTE(E2370,"#",".01")))</f>
        <v>-36251.884</v>
      </c>
    </row>
    <row r="2371" customFormat="false" ht="12.75" hidden="false" customHeight="false" outlineLevel="0" collapsed="false">
      <c r="A2371" s="1" t="n">
        <v>100</v>
      </c>
      <c r="B2371" s="1" t="n">
        <v>78</v>
      </c>
      <c r="C2371" s="1" t="n">
        <v>178</v>
      </c>
      <c r="D2371" s="1" t="s">
        <v>915</v>
      </c>
      <c r="E2371" s="1" t="n">
        <v>-31997.519</v>
      </c>
      <c r="F2371" s="1" t="n">
        <v>10.133</v>
      </c>
      <c r="G2371" s="1" t="n">
        <f aca="false">IF(ISNUMBER(E2371),E2371,VALUE(SUBSTITUTE(E2371,"#",".01")))</f>
        <v>-31997.519</v>
      </c>
    </row>
    <row r="2372" customFormat="false" ht="12.75" hidden="false" customHeight="false" outlineLevel="0" collapsed="false">
      <c r="A2372" s="1" t="n">
        <v>99</v>
      </c>
      <c r="B2372" s="1" t="n">
        <v>79</v>
      </c>
      <c r="C2372" s="1" t="n">
        <v>178</v>
      </c>
      <c r="D2372" s="1" t="s">
        <v>930</v>
      </c>
      <c r="E2372" s="1" t="n">
        <v>-22303.743</v>
      </c>
      <c r="F2372" s="1" t="n">
        <v>10.086</v>
      </c>
      <c r="G2372" s="1" t="n">
        <f aca="false">IF(ISNUMBER(E2372),E2372,VALUE(SUBSTITUTE(E2372,"#",".01")))</f>
        <v>-22303.743</v>
      </c>
    </row>
    <row r="2373" customFormat="false" ht="12.75" hidden="false" customHeight="false" outlineLevel="0" collapsed="false">
      <c r="A2373" s="1" t="n">
        <v>98</v>
      </c>
      <c r="B2373" s="1" t="n">
        <v>80</v>
      </c>
      <c r="C2373" s="1" t="n">
        <v>178</v>
      </c>
      <c r="D2373" s="1" t="s">
        <v>939</v>
      </c>
      <c r="E2373" s="1" t="n">
        <v>-16315.901</v>
      </c>
      <c r="F2373" s="1" t="n">
        <v>10.77</v>
      </c>
      <c r="G2373" s="1" t="n">
        <f aca="false">IF(ISNUMBER(E2373),E2373,VALUE(SUBSTITUTE(E2373,"#",".01")))</f>
        <v>-16315.901</v>
      </c>
    </row>
    <row r="2374" customFormat="false" ht="12.75" hidden="false" customHeight="false" outlineLevel="0" collapsed="false">
      <c r="A2374" s="1" t="n">
        <v>97</v>
      </c>
      <c r="B2374" s="1" t="n">
        <v>81</v>
      </c>
      <c r="C2374" s="1" t="n">
        <v>178</v>
      </c>
      <c r="D2374" s="1" t="s">
        <v>955</v>
      </c>
      <c r="E2374" s="1" t="s">
        <v>962</v>
      </c>
      <c r="F2374" s="1" t="s">
        <v>935</v>
      </c>
      <c r="G2374" s="1" t="n">
        <f aca="false">IF(ISNUMBER(E2374),E2374,VALUE(SUBSTITUTE(E2374,"#",".01")))</f>
        <v>-4790.01</v>
      </c>
    </row>
    <row r="2375" customFormat="false" ht="12.75" hidden="false" customHeight="false" outlineLevel="0" collapsed="false">
      <c r="A2375" s="1" t="n">
        <v>96</v>
      </c>
      <c r="B2375" s="1" t="n">
        <v>82</v>
      </c>
      <c r="C2375" s="1" t="n">
        <v>178</v>
      </c>
      <c r="D2375" s="1" t="s">
        <v>963</v>
      </c>
      <c r="E2375" s="1" t="n">
        <v>3574.294</v>
      </c>
      <c r="F2375" s="1" t="n">
        <v>23.963</v>
      </c>
      <c r="G2375" s="1" t="n">
        <f aca="false">IF(ISNUMBER(E2375),E2375,VALUE(SUBSTITUTE(E2375,"#",".01")))</f>
        <v>3574.294</v>
      </c>
    </row>
    <row r="2376" customFormat="false" ht="12.75" hidden="false" customHeight="false" outlineLevel="0" collapsed="false">
      <c r="A2376" s="1" t="n">
        <v>110</v>
      </c>
      <c r="B2376" s="1" t="n">
        <v>69</v>
      </c>
      <c r="C2376" s="1" t="n">
        <v>179</v>
      </c>
      <c r="D2376" s="1" t="s">
        <v>819</v>
      </c>
      <c r="E2376" s="1" t="s">
        <v>964</v>
      </c>
      <c r="F2376" s="1" t="s">
        <v>323</v>
      </c>
      <c r="G2376" s="1" t="n">
        <f aca="false">IF(ISNUMBER(E2376),E2376,VALUE(SUBSTITUTE(E2376,"#",".01")))</f>
        <v>-41601.01</v>
      </c>
    </row>
    <row r="2377" customFormat="false" ht="12.75" hidden="false" customHeight="false" outlineLevel="0" collapsed="false">
      <c r="A2377" s="1" t="n">
        <v>109</v>
      </c>
      <c r="B2377" s="1" t="n">
        <v>70</v>
      </c>
      <c r="C2377" s="1" t="n">
        <v>179</v>
      </c>
      <c r="D2377" s="1" t="s">
        <v>827</v>
      </c>
      <c r="E2377" s="1" t="s">
        <v>965</v>
      </c>
      <c r="F2377" s="1" t="s">
        <v>333</v>
      </c>
      <c r="G2377" s="1" t="n">
        <f aca="false">IF(ISNUMBER(E2377),E2377,VALUE(SUBSTITUTE(E2377,"#",".01")))</f>
        <v>-46537.01</v>
      </c>
    </row>
    <row r="2378" customFormat="false" ht="12.75" hidden="false" customHeight="false" outlineLevel="0" collapsed="false">
      <c r="A2378" s="1" t="n">
        <v>108</v>
      </c>
      <c r="B2378" s="1" t="n">
        <v>71</v>
      </c>
      <c r="C2378" s="1" t="n">
        <v>179</v>
      </c>
      <c r="D2378" s="1" t="s">
        <v>836</v>
      </c>
      <c r="E2378" s="1" t="n">
        <v>-49058.918</v>
      </c>
      <c r="F2378" s="1" t="n">
        <v>5.15</v>
      </c>
      <c r="G2378" s="1" t="n">
        <f aca="false">IF(ISNUMBER(E2378),E2378,VALUE(SUBSTITUTE(E2378,"#",".01")))</f>
        <v>-49058.918</v>
      </c>
    </row>
    <row r="2379" customFormat="false" ht="12.75" hidden="false" customHeight="false" outlineLevel="0" collapsed="false">
      <c r="A2379" s="1" t="n">
        <v>107</v>
      </c>
      <c r="B2379" s="1" t="n">
        <v>72</v>
      </c>
      <c r="C2379" s="1" t="n">
        <v>179</v>
      </c>
      <c r="D2379" s="1" t="s">
        <v>850</v>
      </c>
      <c r="E2379" s="1" t="n">
        <v>-50462.907</v>
      </c>
      <c r="F2379" s="1" t="n">
        <v>1.413</v>
      </c>
      <c r="G2379" s="1" t="n">
        <f aca="false">IF(ISNUMBER(E2379),E2379,VALUE(SUBSTITUTE(E2379,"#",".01")))</f>
        <v>-50462.907</v>
      </c>
    </row>
    <row r="2380" customFormat="false" ht="12.75" hidden="false" customHeight="false" outlineLevel="0" collapsed="false">
      <c r="A2380" s="1" t="n">
        <v>106</v>
      </c>
      <c r="B2380" s="1" t="n">
        <v>73</v>
      </c>
      <c r="C2380" s="1" t="n">
        <v>179</v>
      </c>
      <c r="D2380" s="1" t="s">
        <v>859</v>
      </c>
      <c r="E2380" s="1" t="n">
        <v>-50357.323</v>
      </c>
      <c r="F2380" s="1" t="n">
        <v>1.463</v>
      </c>
      <c r="G2380" s="1" t="n">
        <f aca="false">IF(ISNUMBER(E2380),E2380,VALUE(SUBSTITUTE(E2380,"#",".01")))</f>
        <v>-50357.323</v>
      </c>
    </row>
    <row r="2381" customFormat="false" ht="12.75" hidden="false" customHeight="false" outlineLevel="0" collapsed="false">
      <c r="A2381" s="1" t="n">
        <v>105</v>
      </c>
      <c r="B2381" s="1" t="n">
        <v>74</v>
      </c>
      <c r="C2381" s="1" t="n">
        <v>179</v>
      </c>
      <c r="D2381" s="1" t="s">
        <v>868</v>
      </c>
      <c r="E2381" s="1" t="n">
        <v>-49295.127</v>
      </c>
      <c r="F2381" s="1" t="n">
        <v>14.573</v>
      </c>
      <c r="G2381" s="1" t="n">
        <f aca="false">IF(ISNUMBER(E2381),E2381,VALUE(SUBSTITUTE(E2381,"#",".01")))</f>
        <v>-49295.127</v>
      </c>
    </row>
    <row r="2382" customFormat="false" ht="12.75" hidden="false" customHeight="false" outlineLevel="0" collapsed="false">
      <c r="A2382" s="1" t="n">
        <v>104</v>
      </c>
      <c r="B2382" s="1" t="n">
        <v>75</v>
      </c>
      <c r="C2382" s="1" t="n">
        <v>179</v>
      </c>
      <c r="D2382" s="1" t="s">
        <v>877</v>
      </c>
      <c r="E2382" s="1" t="n">
        <v>-46584.28</v>
      </c>
      <c r="F2382" s="1" t="n">
        <v>24.639</v>
      </c>
      <c r="G2382" s="1" t="n">
        <f aca="false">IF(ISNUMBER(E2382),E2382,VALUE(SUBSTITUTE(E2382,"#",".01")))</f>
        <v>-46584.28</v>
      </c>
    </row>
    <row r="2383" customFormat="false" ht="12.75" hidden="false" customHeight="false" outlineLevel="0" collapsed="false">
      <c r="A2383" s="1" t="n">
        <v>103</v>
      </c>
      <c r="B2383" s="1" t="n">
        <v>76</v>
      </c>
      <c r="C2383" s="1" t="n">
        <v>179</v>
      </c>
      <c r="D2383" s="1" t="s">
        <v>887</v>
      </c>
      <c r="E2383" s="1" t="n">
        <v>-43019.495</v>
      </c>
      <c r="F2383" s="1" t="n">
        <v>16.504</v>
      </c>
      <c r="G2383" s="1" t="n">
        <f aca="false">IF(ISNUMBER(E2383),E2383,VALUE(SUBSTITUTE(E2383,"#",".01")))</f>
        <v>-43019.495</v>
      </c>
    </row>
    <row r="2384" customFormat="false" ht="12.75" hidden="false" customHeight="false" outlineLevel="0" collapsed="false">
      <c r="A2384" s="1" t="n">
        <v>102</v>
      </c>
      <c r="B2384" s="1" t="n">
        <v>77</v>
      </c>
      <c r="C2384" s="1" t="n">
        <v>179</v>
      </c>
      <c r="D2384" s="1" t="s">
        <v>900</v>
      </c>
      <c r="E2384" s="1" t="n">
        <v>-38081.714</v>
      </c>
      <c r="F2384" s="1" t="n">
        <v>9.771</v>
      </c>
      <c r="G2384" s="1" t="n">
        <f aca="false">IF(ISNUMBER(E2384),E2384,VALUE(SUBSTITUTE(E2384,"#",".01")))</f>
        <v>-38081.714</v>
      </c>
    </row>
    <row r="2385" customFormat="false" ht="12.75" hidden="false" customHeight="false" outlineLevel="0" collapsed="false">
      <c r="A2385" s="1" t="n">
        <v>101</v>
      </c>
      <c r="B2385" s="1" t="n">
        <v>78</v>
      </c>
      <c r="C2385" s="1" t="n">
        <v>179</v>
      </c>
      <c r="D2385" s="1" t="s">
        <v>915</v>
      </c>
      <c r="E2385" s="1" t="n">
        <v>-32268.145</v>
      </c>
      <c r="F2385" s="1" t="n">
        <v>7.977</v>
      </c>
      <c r="G2385" s="1" t="n">
        <f aca="false">IF(ISNUMBER(E2385),E2385,VALUE(SUBSTITUTE(E2385,"#",".01")))</f>
        <v>-32268.145</v>
      </c>
    </row>
    <row r="2386" customFormat="false" ht="12.75" hidden="false" customHeight="false" outlineLevel="0" collapsed="false">
      <c r="A2386" s="1" t="n">
        <v>100</v>
      </c>
      <c r="B2386" s="1" t="n">
        <v>79</v>
      </c>
      <c r="C2386" s="1" t="n">
        <v>179</v>
      </c>
      <c r="D2386" s="1" t="s">
        <v>930</v>
      </c>
      <c r="E2386" s="1" t="n">
        <v>-24988.567</v>
      </c>
      <c r="F2386" s="1" t="n">
        <v>11.696</v>
      </c>
      <c r="G2386" s="1" t="n">
        <f aca="false">IF(ISNUMBER(E2386),E2386,VALUE(SUBSTITUTE(E2386,"#",".01")))</f>
        <v>-24988.567</v>
      </c>
    </row>
    <row r="2387" customFormat="false" ht="12.75" hidden="false" customHeight="false" outlineLevel="0" collapsed="false">
      <c r="A2387" s="1" t="n">
        <v>99</v>
      </c>
      <c r="B2387" s="1" t="n">
        <v>80</v>
      </c>
      <c r="C2387" s="1" t="n">
        <v>179</v>
      </c>
      <c r="D2387" s="1" t="s">
        <v>939</v>
      </c>
      <c r="E2387" s="1" t="n">
        <v>-16928.134</v>
      </c>
      <c r="F2387" s="1" t="n">
        <v>27.267</v>
      </c>
      <c r="G2387" s="1" t="n">
        <f aca="false">IF(ISNUMBER(E2387),E2387,VALUE(SUBSTITUTE(E2387,"#",".01")))</f>
        <v>-16928.134</v>
      </c>
    </row>
    <row r="2388" customFormat="false" ht="12.75" hidden="false" customHeight="false" outlineLevel="0" collapsed="false">
      <c r="A2388" s="1" t="n">
        <v>98</v>
      </c>
      <c r="B2388" s="1" t="n">
        <v>81</v>
      </c>
      <c r="C2388" s="1" t="n">
        <v>179</v>
      </c>
      <c r="D2388" s="1" t="s">
        <v>955</v>
      </c>
      <c r="E2388" s="1" t="n">
        <v>-8268.495</v>
      </c>
      <c r="F2388" s="1" t="n">
        <v>38.793</v>
      </c>
      <c r="G2388" s="1" t="n">
        <f aca="false">IF(ISNUMBER(E2388),E2388,VALUE(SUBSTITUTE(E2388,"#",".01")))</f>
        <v>-8268.495</v>
      </c>
    </row>
    <row r="2389" customFormat="false" ht="12.75" hidden="false" customHeight="false" outlineLevel="0" collapsed="false">
      <c r="A2389" s="1" t="n">
        <v>97</v>
      </c>
      <c r="B2389" s="1" t="n">
        <v>82</v>
      </c>
      <c r="C2389" s="1" t="n">
        <v>179</v>
      </c>
      <c r="D2389" s="1" t="s">
        <v>963</v>
      </c>
      <c r="E2389" s="1" t="n">
        <v>2050.639</v>
      </c>
      <c r="F2389" s="1" t="n">
        <v>75.59</v>
      </c>
      <c r="G2389" s="1" t="n">
        <f aca="false">IF(ISNUMBER(E2389),E2389,VALUE(SUBSTITUTE(E2389,"#",".01")))</f>
        <v>2050.639</v>
      </c>
    </row>
    <row r="2390" customFormat="false" ht="12.75" hidden="false" customHeight="false" outlineLevel="0" collapsed="false">
      <c r="A2390" s="1" t="n">
        <v>111</v>
      </c>
      <c r="B2390" s="1" t="n">
        <v>69</v>
      </c>
      <c r="C2390" s="1" t="n">
        <v>180</v>
      </c>
      <c r="D2390" s="1" t="s">
        <v>819</v>
      </c>
      <c r="E2390" s="1" t="s">
        <v>966</v>
      </c>
      <c r="F2390" s="1" t="s">
        <v>323</v>
      </c>
      <c r="G2390" s="1" t="n">
        <f aca="false">IF(ISNUMBER(E2390),E2390,VALUE(SUBSTITUTE(E2390,"#",".01")))</f>
        <v>-37920.01</v>
      </c>
    </row>
    <row r="2391" customFormat="false" ht="12.75" hidden="false" customHeight="false" outlineLevel="0" collapsed="false">
      <c r="A2391" s="1" t="n">
        <v>110</v>
      </c>
      <c r="B2391" s="1" t="n">
        <v>70</v>
      </c>
      <c r="C2391" s="1" t="n">
        <v>180</v>
      </c>
      <c r="D2391" s="1" t="s">
        <v>827</v>
      </c>
      <c r="E2391" s="1" t="s">
        <v>967</v>
      </c>
      <c r="F2391" s="1" t="s">
        <v>360</v>
      </c>
      <c r="G2391" s="1" t="n">
        <f aca="false">IF(ISNUMBER(E2391),E2391,VALUE(SUBSTITUTE(E2391,"#",".01")))</f>
        <v>-44600.01</v>
      </c>
    </row>
    <row r="2392" customFormat="false" ht="12.75" hidden="false" customHeight="false" outlineLevel="0" collapsed="false">
      <c r="A2392" s="1" t="n">
        <v>109</v>
      </c>
      <c r="B2392" s="1" t="n">
        <v>71</v>
      </c>
      <c r="C2392" s="1" t="n">
        <v>180</v>
      </c>
      <c r="D2392" s="1" t="s">
        <v>836</v>
      </c>
      <c r="E2392" s="1" t="n">
        <v>-46676.348</v>
      </c>
      <c r="F2392" s="1" t="n">
        <v>70.725</v>
      </c>
      <c r="G2392" s="1" t="n">
        <f aca="false">IF(ISNUMBER(E2392),E2392,VALUE(SUBSTITUTE(E2392,"#",".01")))</f>
        <v>-46676.348</v>
      </c>
    </row>
    <row r="2393" customFormat="false" ht="12.75" hidden="false" customHeight="false" outlineLevel="0" collapsed="false">
      <c r="A2393" s="1" t="n">
        <v>108</v>
      </c>
      <c r="B2393" s="1" t="n">
        <v>72</v>
      </c>
      <c r="C2393" s="1" t="n">
        <v>180</v>
      </c>
      <c r="D2393" s="1" t="s">
        <v>850</v>
      </c>
      <c r="E2393" s="1" t="n">
        <v>-49779.348</v>
      </c>
      <c r="F2393" s="1" t="n">
        <v>1.419</v>
      </c>
      <c r="G2393" s="1" t="n">
        <f aca="false">IF(ISNUMBER(E2393),E2393,VALUE(SUBSTITUTE(E2393,"#",".01")))</f>
        <v>-49779.348</v>
      </c>
    </row>
    <row r="2394" customFormat="false" ht="12.75" hidden="false" customHeight="false" outlineLevel="0" collapsed="false">
      <c r="A2394" s="1" t="n">
        <v>107</v>
      </c>
      <c r="B2394" s="1" t="n">
        <v>73</v>
      </c>
      <c r="C2394" s="1" t="n">
        <v>180</v>
      </c>
      <c r="D2394" s="1" t="s">
        <v>859</v>
      </c>
      <c r="E2394" s="1" t="n">
        <v>-48932.877</v>
      </c>
      <c r="F2394" s="1" t="n">
        <v>1.939</v>
      </c>
      <c r="G2394" s="1" t="n">
        <f aca="false">IF(ISNUMBER(E2394),E2394,VALUE(SUBSTITUTE(E2394,"#",".01")))</f>
        <v>-48932.877</v>
      </c>
    </row>
    <row r="2395" customFormat="false" ht="12.75" hidden="false" customHeight="false" outlineLevel="0" collapsed="false">
      <c r="A2395" s="1" t="n">
        <v>106</v>
      </c>
      <c r="B2395" s="1" t="n">
        <v>74</v>
      </c>
      <c r="C2395" s="1" t="n">
        <v>180</v>
      </c>
      <c r="D2395" s="1" t="s">
        <v>868</v>
      </c>
      <c r="E2395" s="1" t="n">
        <v>-49636.115</v>
      </c>
      <c r="F2395" s="1" t="n">
        <v>1.436</v>
      </c>
      <c r="G2395" s="1" t="n">
        <f aca="false">IF(ISNUMBER(E2395),E2395,VALUE(SUBSTITUTE(E2395,"#",".01")))</f>
        <v>-49636.115</v>
      </c>
    </row>
    <row r="2396" customFormat="false" ht="12.75" hidden="false" customHeight="false" outlineLevel="0" collapsed="false">
      <c r="A2396" s="1" t="n">
        <v>105</v>
      </c>
      <c r="B2396" s="1" t="n">
        <v>75</v>
      </c>
      <c r="C2396" s="1" t="n">
        <v>180</v>
      </c>
      <c r="D2396" s="1" t="s">
        <v>877</v>
      </c>
      <c r="E2396" s="1" t="n">
        <v>-45837.359</v>
      </c>
      <c r="F2396" s="1" t="n">
        <v>21.392</v>
      </c>
      <c r="G2396" s="1" t="n">
        <f aca="false">IF(ISNUMBER(E2396),E2396,VALUE(SUBSTITUTE(E2396,"#",".01")))</f>
        <v>-45837.359</v>
      </c>
    </row>
    <row r="2397" customFormat="false" ht="12.75" hidden="false" customHeight="false" outlineLevel="0" collapsed="false">
      <c r="A2397" s="1" t="n">
        <v>104</v>
      </c>
      <c r="B2397" s="1" t="n">
        <v>76</v>
      </c>
      <c r="C2397" s="1" t="n">
        <v>180</v>
      </c>
      <c r="D2397" s="1" t="s">
        <v>887</v>
      </c>
      <c r="E2397" s="1" t="n">
        <v>-44357.81</v>
      </c>
      <c r="F2397" s="1" t="n">
        <v>16.391</v>
      </c>
      <c r="G2397" s="1" t="n">
        <f aca="false">IF(ISNUMBER(E2397),E2397,VALUE(SUBSTITUTE(E2397,"#",".01")))</f>
        <v>-44357.81</v>
      </c>
    </row>
    <row r="2398" customFormat="false" ht="12.75" hidden="false" customHeight="false" outlineLevel="0" collapsed="false">
      <c r="A2398" s="1" t="n">
        <v>103</v>
      </c>
      <c r="B2398" s="1" t="n">
        <v>77</v>
      </c>
      <c r="C2398" s="1" t="n">
        <v>180</v>
      </c>
      <c r="D2398" s="1" t="s">
        <v>900</v>
      </c>
      <c r="E2398" s="1" t="n">
        <v>-37977.526</v>
      </c>
      <c r="F2398" s="1" t="n">
        <v>21.706</v>
      </c>
      <c r="G2398" s="1" t="n">
        <f aca="false">IF(ISNUMBER(E2398),E2398,VALUE(SUBSTITUTE(E2398,"#",".01")))</f>
        <v>-37977.526</v>
      </c>
    </row>
    <row r="2399" customFormat="false" ht="12.75" hidden="false" customHeight="false" outlineLevel="0" collapsed="false">
      <c r="A2399" s="1" t="n">
        <v>102</v>
      </c>
      <c r="B2399" s="1" t="n">
        <v>78</v>
      </c>
      <c r="C2399" s="1" t="n">
        <v>180</v>
      </c>
      <c r="D2399" s="1" t="s">
        <v>915</v>
      </c>
      <c r="E2399" s="1" t="n">
        <v>-34435.877</v>
      </c>
      <c r="F2399" s="1" t="n">
        <v>10.974</v>
      </c>
      <c r="G2399" s="1" t="n">
        <f aca="false">IF(ISNUMBER(E2399),E2399,VALUE(SUBSTITUTE(E2399,"#",".01")))</f>
        <v>-34435.877</v>
      </c>
    </row>
    <row r="2400" customFormat="false" ht="12.75" hidden="false" customHeight="false" outlineLevel="0" collapsed="false">
      <c r="A2400" s="1" t="n">
        <v>101</v>
      </c>
      <c r="B2400" s="1" t="n">
        <v>79</v>
      </c>
      <c r="C2400" s="1" t="n">
        <v>180</v>
      </c>
      <c r="D2400" s="1" t="s">
        <v>930</v>
      </c>
      <c r="E2400" s="1" t="n">
        <v>-25625.509</v>
      </c>
      <c r="F2400" s="1" t="n">
        <v>4.786</v>
      </c>
      <c r="G2400" s="1" t="n">
        <f aca="false">IF(ISNUMBER(E2400),E2400,VALUE(SUBSTITUTE(E2400,"#",".01")))</f>
        <v>-25625.509</v>
      </c>
    </row>
    <row r="2401" customFormat="false" ht="12.75" hidden="false" customHeight="false" outlineLevel="0" collapsed="false">
      <c r="A2401" s="1" t="n">
        <v>100</v>
      </c>
      <c r="B2401" s="1" t="n">
        <v>80</v>
      </c>
      <c r="C2401" s="1" t="n">
        <v>180</v>
      </c>
      <c r="D2401" s="1" t="s">
        <v>939</v>
      </c>
      <c r="E2401" s="1" t="n">
        <v>-20250.447</v>
      </c>
      <c r="F2401" s="1" t="n">
        <v>12.649</v>
      </c>
      <c r="G2401" s="1" t="n">
        <f aca="false">IF(ISNUMBER(E2401),E2401,VALUE(SUBSTITUTE(E2401,"#",".01")))</f>
        <v>-20250.447</v>
      </c>
    </row>
    <row r="2402" customFormat="false" ht="12.75" hidden="false" customHeight="false" outlineLevel="0" collapsed="false">
      <c r="A2402" s="1" t="n">
        <v>99</v>
      </c>
      <c r="B2402" s="1" t="n">
        <v>81</v>
      </c>
      <c r="C2402" s="1" t="n">
        <v>180</v>
      </c>
      <c r="D2402" s="1" t="s">
        <v>955</v>
      </c>
      <c r="E2402" s="1" t="n">
        <v>-9386.647</v>
      </c>
      <c r="F2402" s="1" t="n">
        <v>60.01</v>
      </c>
      <c r="G2402" s="1" t="n">
        <f aca="false">IF(ISNUMBER(E2402),E2402,VALUE(SUBSTITUTE(E2402,"#",".01")))</f>
        <v>-9386.647</v>
      </c>
    </row>
    <row r="2403" customFormat="false" ht="12.75" hidden="false" customHeight="false" outlineLevel="0" collapsed="false">
      <c r="A2403" s="1" t="n">
        <v>98</v>
      </c>
      <c r="B2403" s="1" t="n">
        <v>82</v>
      </c>
      <c r="C2403" s="1" t="n">
        <v>180</v>
      </c>
      <c r="D2403" s="1" t="s">
        <v>963</v>
      </c>
      <c r="E2403" s="1" t="n">
        <v>-1941.38</v>
      </c>
      <c r="F2403" s="1" t="n">
        <v>12.396</v>
      </c>
      <c r="G2403" s="1" t="n">
        <f aca="false">IF(ISNUMBER(E2403),E2403,VALUE(SUBSTITUTE(E2403,"#",".01")))</f>
        <v>-1941.38</v>
      </c>
    </row>
    <row r="2404" customFormat="false" ht="12.75" hidden="false" customHeight="false" outlineLevel="0" collapsed="false">
      <c r="A2404" s="1" t="n">
        <v>112</v>
      </c>
      <c r="B2404" s="1" t="n">
        <v>69</v>
      </c>
      <c r="C2404" s="1" t="n">
        <v>181</v>
      </c>
      <c r="D2404" s="1" t="s">
        <v>819</v>
      </c>
      <c r="E2404" s="1" t="s">
        <v>968</v>
      </c>
      <c r="F2404" s="1" t="s">
        <v>316</v>
      </c>
      <c r="G2404" s="1" t="n">
        <f aca="false">IF(ISNUMBER(E2404),E2404,VALUE(SUBSTITUTE(E2404,"#",".01")))</f>
        <v>-35170.01</v>
      </c>
    </row>
    <row r="2405" customFormat="false" ht="12.75" hidden="false" customHeight="false" outlineLevel="0" collapsed="false">
      <c r="A2405" s="1" t="n">
        <v>111</v>
      </c>
      <c r="B2405" s="1" t="n">
        <v>70</v>
      </c>
      <c r="C2405" s="1" t="n">
        <v>181</v>
      </c>
      <c r="D2405" s="1" t="s">
        <v>827</v>
      </c>
      <c r="E2405" s="1" t="s">
        <v>875</v>
      </c>
      <c r="F2405" s="1" t="s">
        <v>360</v>
      </c>
      <c r="G2405" s="1" t="n">
        <f aca="false">IF(ISNUMBER(E2405),E2405,VALUE(SUBSTITUTE(E2405,"#",".01")))</f>
        <v>-41088.01</v>
      </c>
    </row>
    <row r="2406" customFormat="false" ht="12.75" hidden="false" customHeight="false" outlineLevel="0" collapsed="false">
      <c r="A2406" s="1" t="n">
        <v>110</v>
      </c>
      <c r="B2406" s="1" t="n">
        <v>71</v>
      </c>
      <c r="C2406" s="1" t="n">
        <v>181</v>
      </c>
      <c r="D2406" s="1" t="s">
        <v>836</v>
      </c>
      <c r="E2406" s="1" t="n">
        <v>-44797.41</v>
      </c>
      <c r="F2406" s="1" t="n">
        <v>125.752</v>
      </c>
      <c r="G2406" s="1" t="n">
        <f aca="false">IF(ISNUMBER(E2406),E2406,VALUE(SUBSTITUTE(E2406,"#",".01")))</f>
        <v>-44797.41</v>
      </c>
    </row>
    <row r="2407" customFormat="false" ht="12.75" hidden="false" customHeight="false" outlineLevel="0" collapsed="false">
      <c r="A2407" s="1" t="n">
        <v>109</v>
      </c>
      <c r="B2407" s="1" t="n">
        <v>72</v>
      </c>
      <c r="C2407" s="1" t="n">
        <v>181</v>
      </c>
      <c r="D2407" s="1" t="s">
        <v>850</v>
      </c>
      <c r="E2407" s="1" t="n">
        <v>-47402.831</v>
      </c>
      <c r="F2407" s="1" t="n">
        <v>1.42</v>
      </c>
      <c r="G2407" s="1" t="n">
        <f aca="false">IF(ISNUMBER(E2407),E2407,VALUE(SUBSTITUTE(E2407,"#",".01")))</f>
        <v>-47402.831</v>
      </c>
    </row>
    <row r="2408" customFormat="false" ht="12.75" hidden="false" customHeight="false" outlineLevel="0" collapsed="false">
      <c r="A2408" s="1" t="n">
        <v>108</v>
      </c>
      <c r="B2408" s="1" t="n">
        <v>73</v>
      </c>
      <c r="C2408" s="1" t="n">
        <v>181</v>
      </c>
      <c r="D2408" s="1" t="s">
        <v>859</v>
      </c>
      <c r="E2408" s="1" t="n">
        <v>-48438.311</v>
      </c>
      <c r="F2408" s="1" t="n">
        <v>1.403</v>
      </c>
      <c r="G2408" s="1" t="n">
        <f aca="false">IF(ISNUMBER(E2408),E2408,VALUE(SUBSTITUTE(E2408,"#",".01")))</f>
        <v>-48438.311</v>
      </c>
    </row>
    <row r="2409" customFormat="false" ht="12.75" hidden="false" customHeight="false" outlineLevel="0" collapsed="false">
      <c r="A2409" s="1" t="n">
        <v>107</v>
      </c>
      <c r="B2409" s="1" t="n">
        <v>74</v>
      </c>
      <c r="C2409" s="1" t="n">
        <v>181</v>
      </c>
      <c r="D2409" s="1" t="s">
        <v>868</v>
      </c>
      <c r="E2409" s="1" t="n">
        <v>-48233.818</v>
      </c>
      <c r="F2409" s="1" t="n">
        <v>1.445</v>
      </c>
      <c r="G2409" s="1" t="n">
        <f aca="false">IF(ISNUMBER(E2409),E2409,VALUE(SUBSTITUTE(E2409,"#",".01")))</f>
        <v>-48233.818</v>
      </c>
    </row>
    <row r="2410" customFormat="false" ht="12.75" hidden="false" customHeight="false" outlineLevel="0" collapsed="false">
      <c r="A2410" s="1" t="n">
        <v>106</v>
      </c>
      <c r="B2410" s="1" t="n">
        <v>75</v>
      </c>
      <c r="C2410" s="1" t="n">
        <v>181</v>
      </c>
      <c r="D2410" s="1" t="s">
        <v>877</v>
      </c>
      <c r="E2410" s="1" t="n">
        <v>-46517.391</v>
      </c>
      <c r="F2410" s="1" t="n">
        <v>12.549</v>
      </c>
      <c r="G2410" s="1" t="n">
        <f aca="false">IF(ISNUMBER(E2410),E2410,VALUE(SUBSTITUTE(E2410,"#",".01")))</f>
        <v>-46517.391</v>
      </c>
    </row>
    <row r="2411" customFormat="false" ht="12.75" hidden="false" customHeight="false" outlineLevel="0" collapsed="false">
      <c r="A2411" s="1" t="n">
        <v>105</v>
      </c>
      <c r="B2411" s="1" t="n">
        <v>76</v>
      </c>
      <c r="C2411" s="1" t="n">
        <v>181</v>
      </c>
      <c r="D2411" s="1" t="s">
        <v>887</v>
      </c>
      <c r="E2411" s="1" t="n">
        <v>-43549.963</v>
      </c>
      <c r="F2411" s="1" t="n">
        <v>25.338</v>
      </c>
      <c r="G2411" s="1" t="n">
        <f aca="false">IF(ISNUMBER(E2411),E2411,VALUE(SUBSTITUTE(E2411,"#",".01")))</f>
        <v>-43549.963</v>
      </c>
    </row>
    <row r="2412" customFormat="false" ht="12.75" hidden="false" customHeight="false" outlineLevel="0" collapsed="false">
      <c r="A2412" s="1" t="n">
        <v>104</v>
      </c>
      <c r="B2412" s="1" t="n">
        <v>77</v>
      </c>
      <c r="C2412" s="1" t="n">
        <v>181</v>
      </c>
      <c r="D2412" s="1" t="s">
        <v>900</v>
      </c>
      <c r="E2412" s="1" t="n">
        <v>-39463.028</v>
      </c>
      <c r="F2412" s="1" t="n">
        <v>5.245</v>
      </c>
      <c r="G2412" s="1" t="n">
        <f aca="false">IF(ISNUMBER(E2412),E2412,VALUE(SUBSTITUTE(E2412,"#",".01")))</f>
        <v>-39463.028</v>
      </c>
    </row>
    <row r="2413" customFormat="false" ht="12.75" hidden="false" customHeight="false" outlineLevel="0" collapsed="false">
      <c r="A2413" s="1" t="n">
        <v>103</v>
      </c>
      <c r="B2413" s="1" t="n">
        <v>78</v>
      </c>
      <c r="C2413" s="1" t="n">
        <v>181</v>
      </c>
      <c r="D2413" s="1" t="s">
        <v>915</v>
      </c>
      <c r="E2413" s="1" t="n">
        <v>-34381.511</v>
      </c>
      <c r="F2413" s="1" t="n">
        <v>13.689</v>
      </c>
      <c r="G2413" s="1" t="n">
        <f aca="false">IF(ISNUMBER(E2413),E2413,VALUE(SUBSTITUTE(E2413,"#",".01")))</f>
        <v>-34381.511</v>
      </c>
    </row>
    <row r="2414" customFormat="false" ht="12.75" hidden="false" customHeight="false" outlineLevel="0" collapsed="false">
      <c r="A2414" s="1" t="n">
        <v>102</v>
      </c>
      <c r="B2414" s="1" t="n">
        <v>79</v>
      </c>
      <c r="C2414" s="1" t="n">
        <v>181</v>
      </c>
      <c r="D2414" s="1" t="s">
        <v>930</v>
      </c>
      <c r="E2414" s="1" t="n">
        <v>-27871.136</v>
      </c>
      <c r="F2414" s="1" t="n">
        <v>19.976</v>
      </c>
      <c r="G2414" s="1" t="n">
        <f aca="false">IF(ISNUMBER(E2414),E2414,VALUE(SUBSTITUTE(E2414,"#",".01")))</f>
        <v>-27871.136</v>
      </c>
    </row>
    <row r="2415" customFormat="false" ht="12.75" hidden="false" customHeight="false" outlineLevel="0" collapsed="false">
      <c r="A2415" s="1" t="n">
        <v>101</v>
      </c>
      <c r="B2415" s="1" t="n">
        <v>80</v>
      </c>
      <c r="C2415" s="1" t="n">
        <v>181</v>
      </c>
      <c r="D2415" s="1" t="s">
        <v>939</v>
      </c>
      <c r="E2415" s="1" t="n">
        <v>-20661.136</v>
      </c>
      <c r="F2415" s="1" t="n">
        <v>15.382</v>
      </c>
      <c r="G2415" s="1" t="n">
        <f aca="false">IF(ISNUMBER(E2415),E2415,VALUE(SUBSTITUTE(E2415,"#",".01")))</f>
        <v>-20661.136</v>
      </c>
    </row>
    <row r="2416" customFormat="false" ht="12.75" hidden="false" customHeight="false" outlineLevel="0" collapsed="false">
      <c r="A2416" s="1" t="n">
        <v>100</v>
      </c>
      <c r="B2416" s="1" t="n">
        <v>81</v>
      </c>
      <c r="C2416" s="1" t="n">
        <v>181</v>
      </c>
      <c r="D2416" s="1" t="s">
        <v>955</v>
      </c>
      <c r="E2416" s="1" t="n">
        <v>-12798.735</v>
      </c>
      <c r="F2416" s="1" t="n">
        <v>9.108</v>
      </c>
      <c r="G2416" s="1" t="n">
        <f aca="false">IF(ISNUMBER(E2416),E2416,VALUE(SUBSTITUTE(E2416,"#",".01")))</f>
        <v>-12798.735</v>
      </c>
    </row>
    <row r="2417" customFormat="false" ht="12.75" hidden="false" customHeight="false" outlineLevel="0" collapsed="false">
      <c r="A2417" s="1" t="n">
        <v>99</v>
      </c>
      <c r="B2417" s="1" t="n">
        <v>82</v>
      </c>
      <c r="C2417" s="1" t="n">
        <v>181</v>
      </c>
      <c r="D2417" s="1" t="s">
        <v>963</v>
      </c>
      <c r="E2417" s="1" t="n">
        <v>-3117.35</v>
      </c>
      <c r="F2417" s="1" t="n">
        <v>75.411</v>
      </c>
      <c r="G2417" s="1" t="n">
        <f aca="false">IF(ISNUMBER(E2417),E2417,VALUE(SUBSTITUTE(E2417,"#",".01")))</f>
        <v>-3117.35</v>
      </c>
    </row>
    <row r="2418" customFormat="false" ht="12.75" hidden="false" customHeight="false" outlineLevel="0" collapsed="false">
      <c r="A2418" s="1" t="n">
        <v>112</v>
      </c>
      <c r="B2418" s="1" t="n">
        <v>70</v>
      </c>
      <c r="C2418" s="1" t="n">
        <v>182</v>
      </c>
      <c r="D2418" s="1" t="s">
        <v>827</v>
      </c>
      <c r="E2418" s="1" t="s">
        <v>969</v>
      </c>
      <c r="F2418" s="1" t="s">
        <v>320</v>
      </c>
      <c r="G2418" s="1" t="n">
        <f aca="false">IF(ISNUMBER(E2418),E2418,VALUE(SUBSTITUTE(E2418,"#",".01")))</f>
        <v>-38820.01</v>
      </c>
    </row>
    <row r="2419" customFormat="false" ht="12.75" hidden="false" customHeight="false" outlineLevel="0" collapsed="false">
      <c r="A2419" s="1" t="n">
        <v>111</v>
      </c>
      <c r="B2419" s="1" t="n">
        <v>71</v>
      </c>
      <c r="C2419" s="1" t="n">
        <v>182</v>
      </c>
      <c r="D2419" s="1" t="s">
        <v>836</v>
      </c>
      <c r="E2419" s="1" t="s">
        <v>970</v>
      </c>
      <c r="F2419" s="1" t="s">
        <v>333</v>
      </c>
      <c r="G2419" s="1" t="n">
        <f aca="false">IF(ISNUMBER(E2419),E2419,VALUE(SUBSTITUTE(E2419,"#",".01")))</f>
        <v>-41880.01</v>
      </c>
    </row>
    <row r="2420" customFormat="false" ht="12.75" hidden="false" customHeight="false" outlineLevel="0" collapsed="false">
      <c r="A2420" s="1" t="n">
        <v>110</v>
      </c>
      <c r="B2420" s="1" t="n">
        <v>72</v>
      </c>
      <c r="C2420" s="1" t="n">
        <v>182</v>
      </c>
      <c r="D2420" s="1" t="s">
        <v>850</v>
      </c>
      <c r="E2420" s="1" t="n">
        <v>-46049.508</v>
      </c>
      <c r="F2420" s="1" t="n">
        <v>6.165</v>
      </c>
      <c r="G2420" s="1" t="n">
        <f aca="false">IF(ISNUMBER(E2420),E2420,VALUE(SUBSTITUTE(E2420,"#",".01")))</f>
        <v>-46049.508</v>
      </c>
    </row>
    <row r="2421" customFormat="false" ht="12.75" hidden="false" customHeight="false" outlineLevel="0" collapsed="false">
      <c r="A2421" s="1" t="n">
        <v>109</v>
      </c>
      <c r="B2421" s="1" t="n">
        <v>73</v>
      </c>
      <c r="C2421" s="1" t="n">
        <v>182</v>
      </c>
      <c r="D2421" s="1" t="s">
        <v>859</v>
      </c>
      <c r="E2421" s="1" t="n">
        <v>-46429.934</v>
      </c>
      <c r="F2421" s="1" t="n">
        <v>1.405</v>
      </c>
      <c r="G2421" s="1" t="n">
        <f aca="false">IF(ISNUMBER(E2421),E2421,VALUE(SUBSTITUTE(E2421,"#",".01")))</f>
        <v>-46429.934</v>
      </c>
    </row>
    <row r="2422" customFormat="false" ht="12.75" hidden="false" customHeight="false" outlineLevel="0" collapsed="false">
      <c r="A2422" s="1" t="n">
        <v>108</v>
      </c>
      <c r="B2422" s="1" t="n">
        <v>74</v>
      </c>
      <c r="C2422" s="1" t="n">
        <v>182</v>
      </c>
      <c r="D2422" s="1" t="s">
        <v>868</v>
      </c>
      <c r="E2422" s="1" t="n">
        <v>-48246.06</v>
      </c>
      <c r="F2422" s="1" t="n">
        <v>0.738</v>
      </c>
      <c r="G2422" s="1" t="n">
        <f aca="false">IF(ISNUMBER(E2422),E2422,VALUE(SUBSTITUTE(E2422,"#",".01")))</f>
        <v>-48246.06</v>
      </c>
    </row>
    <row r="2423" customFormat="false" ht="12.75" hidden="false" customHeight="false" outlineLevel="0" collapsed="false">
      <c r="A2423" s="1" t="n">
        <v>107</v>
      </c>
      <c r="B2423" s="1" t="n">
        <v>75</v>
      </c>
      <c r="C2423" s="1" t="n">
        <v>182</v>
      </c>
      <c r="D2423" s="1" t="s">
        <v>877</v>
      </c>
      <c r="E2423" s="1" t="n">
        <v>-45446.06</v>
      </c>
      <c r="F2423" s="1" t="n">
        <v>101.983</v>
      </c>
      <c r="G2423" s="1" t="n">
        <f aca="false">IF(ISNUMBER(E2423),E2423,VALUE(SUBSTITUTE(E2423,"#",".01")))</f>
        <v>-45446.06</v>
      </c>
    </row>
    <row r="2424" customFormat="false" ht="12.75" hidden="false" customHeight="false" outlineLevel="0" collapsed="false">
      <c r="A2424" s="1" t="n">
        <v>106</v>
      </c>
      <c r="B2424" s="1" t="n">
        <v>76</v>
      </c>
      <c r="C2424" s="1" t="n">
        <v>182</v>
      </c>
      <c r="D2424" s="1" t="s">
        <v>887</v>
      </c>
      <c r="E2424" s="1" t="n">
        <v>-44609.104</v>
      </c>
      <c r="F2424" s="1" t="n">
        <v>21.745</v>
      </c>
      <c r="G2424" s="1" t="n">
        <f aca="false">IF(ISNUMBER(E2424),E2424,VALUE(SUBSTITUTE(E2424,"#",".01")))</f>
        <v>-44609.104</v>
      </c>
    </row>
    <row r="2425" customFormat="false" ht="12.75" hidden="false" customHeight="false" outlineLevel="0" collapsed="false">
      <c r="A2425" s="1" t="n">
        <v>105</v>
      </c>
      <c r="B2425" s="1" t="n">
        <v>77</v>
      </c>
      <c r="C2425" s="1" t="n">
        <v>182</v>
      </c>
      <c r="D2425" s="1" t="s">
        <v>900</v>
      </c>
      <c r="E2425" s="1" t="n">
        <v>-39051.679</v>
      </c>
      <c r="F2425" s="1" t="n">
        <v>20.967</v>
      </c>
      <c r="G2425" s="1" t="n">
        <f aca="false">IF(ISNUMBER(E2425),E2425,VALUE(SUBSTITUTE(E2425,"#",".01")))</f>
        <v>-39051.679</v>
      </c>
    </row>
    <row r="2426" customFormat="false" ht="12.75" hidden="false" customHeight="false" outlineLevel="0" collapsed="false">
      <c r="A2426" s="1" t="n">
        <v>104</v>
      </c>
      <c r="B2426" s="1" t="n">
        <v>78</v>
      </c>
      <c r="C2426" s="1" t="n">
        <v>182</v>
      </c>
      <c r="D2426" s="1" t="s">
        <v>915</v>
      </c>
      <c r="E2426" s="1" t="n">
        <v>-36168.449</v>
      </c>
      <c r="F2426" s="1" t="n">
        <v>13.095</v>
      </c>
      <c r="G2426" s="1" t="n">
        <f aca="false">IF(ISNUMBER(E2426),E2426,VALUE(SUBSTITUTE(E2426,"#",".01")))</f>
        <v>-36168.449</v>
      </c>
    </row>
    <row r="2427" customFormat="false" ht="12.75" hidden="false" customHeight="false" outlineLevel="0" collapsed="false">
      <c r="A2427" s="1" t="n">
        <v>103</v>
      </c>
      <c r="B2427" s="1" t="n">
        <v>79</v>
      </c>
      <c r="C2427" s="1" t="n">
        <v>182</v>
      </c>
      <c r="D2427" s="1" t="s">
        <v>930</v>
      </c>
      <c r="E2427" s="1" t="n">
        <v>-28300.768</v>
      </c>
      <c r="F2427" s="1" t="n">
        <v>20.26</v>
      </c>
      <c r="G2427" s="1" t="n">
        <f aca="false">IF(ISNUMBER(E2427),E2427,VALUE(SUBSTITUTE(E2427,"#",".01")))</f>
        <v>-28300.768</v>
      </c>
    </row>
    <row r="2428" customFormat="false" ht="12.75" hidden="false" customHeight="false" outlineLevel="0" collapsed="false">
      <c r="A2428" s="1" t="n">
        <v>102</v>
      </c>
      <c r="B2428" s="1" t="n">
        <v>80</v>
      </c>
      <c r="C2428" s="1" t="n">
        <v>182</v>
      </c>
      <c r="D2428" s="1" t="s">
        <v>939</v>
      </c>
      <c r="E2428" s="1" t="n">
        <v>-23576.922</v>
      </c>
      <c r="F2428" s="1" t="n">
        <v>9.79</v>
      </c>
      <c r="G2428" s="1" t="n">
        <f aca="false">IF(ISNUMBER(E2428),E2428,VALUE(SUBSTITUTE(E2428,"#",".01")))</f>
        <v>-23576.922</v>
      </c>
    </row>
    <row r="2429" customFormat="false" ht="12.75" hidden="false" customHeight="false" outlineLevel="0" collapsed="false">
      <c r="A2429" s="1" t="n">
        <v>101</v>
      </c>
      <c r="B2429" s="1" t="n">
        <v>81</v>
      </c>
      <c r="C2429" s="1" t="n">
        <v>182</v>
      </c>
      <c r="D2429" s="1" t="s">
        <v>955</v>
      </c>
      <c r="E2429" s="1" t="n">
        <v>-13327.927</v>
      </c>
      <c r="F2429" s="1" t="n">
        <v>11.839</v>
      </c>
      <c r="G2429" s="1" t="n">
        <f aca="false">IF(ISNUMBER(E2429),E2429,VALUE(SUBSTITUTE(E2429,"#",".01")))</f>
        <v>-13327.927</v>
      </c>
    </row>
    <row r="2430" customFormat="false" ht="12.75" hidden="false" customHeight="false" outlineLevel="0" collapsed="false">
      <c r="A2430" s="1" t="n">
        <v>100</v>
      </c>
      <c r="B2430" s="1" t="n">
        <v>82</v>
      </c>
      <c r="C2430" s="1" t="n">
        <v>182</v>
      </c>
      <c r="D2430" s="1" t="s">
        <v>963</v>
      </c>
      <c r="E2430" s="1" t="n">
        <v>-6825.112</v>
      </c>
      <c r="F2430" s="1" t="n">
        <v>12.098</v>
      </c>
      <c r="G2430" s="1" t="n">
        <f aca="false">IF(ISNUMBER(E2430),E2430,VALUE(SUBSTITUTE(E2430,"#",".01")))</f>
        <v>-6825.112</v>
      </c>
    </row>
    <row r="2431" customFormat="false" ht="12.75" hidden="false" customHeight="false" outlineLevel="0" collapsed="false">
      <c r="A2431" s="1" t="n">
        <v>113</v>
      </c>
      <c r="B2431" s="1" t="n">
        <v>70</v>
      </c>
      <c r="C2431" s="1" t="n">
        <v>183</v>
      </c>
      <c r="D2431" s="1" t="s">
        <v>827</v>
      </c>
      <c r="E2431" s="1" t="s">
        <v>971</v>
      </c>
      <c r="F2431" s="1" t="s">
        <v>320</v>
      </c>
      <c r="G2431" s="1" t="n">
        <f aca="false">IF(ISNUMBER(E2431),E2431,VALUE(SUBSTITUTE(E2431,"#",".01")))</f>
        <v>-35100.01</v>
      </c>
    </row>
    <row r="2432" customFormat="false" ht="12.75" hidden="false" customHeight="false" outlineLevel="0" collapsed="false">
      <c r="A2432" s="1" t="n">
        <v>112</v>
      </c>
      <c r="B2432" s="1" t="n">
        <v>71</v>
      </c>
      <c r="C2432" s="1" t="n">
        <v>183</v>
      </c>
      <c r="D2432" s="1" t="s">
        <v>836</v>
      </c>
      <c r="E2432" s="1" t="n">
        <v>-39716.11</v>
      </c>
      <c r="F2432" s="1" t="n">
        <v>80.108</v>
      </c>
      <c r="G2432" s="1" t="n">
        <f aca="false">IF(ISNUMBER(E2432),E2432,VALUE(SUBSTITUTE(E2432,"#",".01")))</f>
        <v>-39716.11</v>
      </c>
    </row>
    <row r="2433" customFormat="false" ht="12.75" hidden="false" customHeight="false" outlineLevel="0" collapsed="false">
      <c r="A2433" s="1" t="n">
        <v>111</v>
      </c>
      <c r="B2433" s="1" t="n">
        <v>72</v>
      </c>
      <c r="C2433" s="1" t="n">
        <v>183</v>
      </c>
      <c r="D2433" s="1" t="s">
        <v>850</v>
      </c>
      <c r="E2433" s="1" t="n">
        <v>-43282.796</v>
      </c>
      <c r="F2433" s="1" t="n">
        <v>30.034</v>
      </c>
      <c r="G2433" s="1" t="n">
        <f aca="false">IF(ISNUMBER(E2433),E2433,VALUE(SUBSTITUTE(E2433,"#",".01")))</f>
        <v>-43282.796</v>
      </c>
    </row>
    <row r="2434" customFormat="false" ht="12.75" hidden="false" customHeight="false" outlineLevel="0" collapsed="false">
      <c r="A2434" s="1" t="n">
        <v>110</v>
      </c>
      <c r="B2434" s="1" t="n">
        <v>73</v>
      </c>
      <c r="C2434" s="1" t="n">
        <v>183</v>
      </c>
      <c r="D2434" s="1" t="s">
        <v>859</v>
      </c>
      <c r="E2434" s="1" t="n">
        <v>-45292.796</v>
      </c>
      <c r="F2434" s="1" t="n">
        <v>1.419</v>
      </c>
      <c r="G2434" s="1" t="n">
        <f aca="false">IF(ISNUMBER(E2434),E2434,VALUE(SUBSTITUTE(E2434,"#",".01")))</f>
        <v>-45292.796</v>
      </c>
    </row>
    <row r="2435" customFormat="false" ht="12.75" hidden="false" customHeight="false" outlineLevel="0" collapsed="false">
      <c r="A2435" s="1" t="n">
        <v>109</v>
      </c>
      <c r="B2435" s="1" t="n">
        <v>74</v>
      </c>
      <c r="C2435" s="1" t="n">
        <v>183</v>
      </c>
      <c r="D2435" s="1" t="s">
        <v>868</v>
      </c>
      <c r="E2435" s="1" t="n">
        <v>-46365.58</v>
      </c>
      <c r="F2435" s="1" t="n">
        <v>0.737</v>
      </c>
      <c r="G2435" s="1" t="n">
        <f aca="false">IF(ISNUMBER(E2435),E2435,VALUE(SUBSTITUTE(E2435,"#",".01")))</f>
        <v>-46365.58</v>
      </c>
    </row>
    <row r="2436" customFormat="false" ht="12.75" hidden="false" customHeight="false" outlineLevel="0" collapsed="false">
      <c r="A2436" s="1" t="n">
        <v>108</v>
      </c>
      <c r="B2436" s="1" t="n">
        <v>75</v>
      </c>
      <c r="C2436" s="1" t="n">
        <v>183</v>
      </c>
      <c r="D2436" s="1" t="s">
        <v>877</v>
      </c>
      <c r="E2436" s="1" t="n">
        <v>-45809.58</v>
      </c>
      <c r="F2436" s="1" t="n">
        <v>8.034</v>
      </c>
      <c r="G2436" s="1" t="n">
        <f aca="false">IF(ISNUMBER(E2436),E2436,VALUE(SUBSTITUTE(E2436,"#",".01")))</f>
        <v>-45809.58</v>
      </c>
    </row>
    <row r="2437" customFormat="false" ht="12.75" hidden="false" customHeight="false" outlineLevel="0" collapsed="false">
      <c r="A2437" s="1" t="n">
        <v>107</v>
      </c>
      <c r="B2437" s="1" t="n">
        <v>76</v>
      </c>
      <c r="C2437" s="1" t="n">
        <v>183</v>
      </c>
      <c r="D2437" s="1" t="s">
        <v>887</v>
      </c>
      <c r="E2437" s="1" t="n">
        <v>-43664.043</v>
      </c>
      <c r="F2437" s="1" t="n">
        <v>49.76</v>
      </c>
      <c r="G2437" s="1" t="n">
        <f aca="false">IF(ISNUMBER(E2437),E2437,VALUE(SUBSTITUTE(E2437,"#",".01")))</f>
        <v>-43664.043</v>
      </c>
    </row>
    <row r="2438" customFormat="false" ht="12.75" hidden="false" customHeight="false" outlineLevel="0" collapsed="false">
      <c r="A2438" s="1" t="n">
        <v>106</v>
      </c>
      <c r="B2438" s="1" t="n">
        <v>77</v>
      </c>
      <c r="C2438" s="1" t="n">
        <v>183</v>
      </c>
      <c r="D2438" s="1" t="s">
        <v>900</v>
      </c>
      <c r="E2438" s="1" t="n">
        <v>-40203.311</v>
      </c>
      <c r="F2438" s="1" t="n">
        <v>24.398</v>
      </c>
      <c r="G2438" s="1" t="n">
        <f aca="false">IF(ISNUMBER(E2438),E2438,VALUE(SUBSTITUTE(E2438,"#",".01")))</f>
        <v>-40203.311</v>
      </c>
    </row>
    <row r="2439" customFormat="false" ht="12.75" hidden="false" customHeight="false" outlineLevel="0" collapsed="false">
      <c r="A2439" s="1" t="n">
        <v>105</v>
      </c>
      <c r="B2439" s="1" t="n">
        <v>78</v>
      </c>
      <c r="C2439" s="1" t="n">
        <v>183</v>
      </c>
      <c r="D2439" s="1" t="s">
        <v>915</v>
      </c>
      <c r="E2439" s="1" t="n">
        <v>-35772.487</v>
      </c>
      <c r="F2439" s="1" t="n">
        <v>15.533</v>
      </c>
      <c r="G2439" s="1" t="n">
        <f aca="false">IF(ISNUMBER(E2439),E2439,VALUE(SUBSTITUTE(E2439,"#",".01")))</f>
        <v>-35772.487</v>
      </c>
    </row>
    <row r="2440" customFormat="false" ht="12.75" hidden="false" customHeight="false" outlineLevel="0" collapsed="false">
      <c r="A2440" s="1" t="n">
        <v>104</v>
      </c>
      <c r="B2440" s="1" t="n">
        <v>79</v>
      </c>
      <c r="C2440" s="1" t="n">
        <v>183</v>
      </c>
      <c r="D2440" s="1" t="s">
        <v>930</v>
      </c>
      <c r="E2440" s="1" t="n">
        <v>-30191.483</v>
      </c>
      <c r="F2440" s="1" t="n">
        <v>9.423</v>
      </c>
      <c r="G2440" s="1" t="n">
        <f aca="false">IF(ISNUMBER(E2440),E2440,VALUE(SUBSTITUTE(E2440,"#",".01")))</f>
        <v>-30191.483</v>
      </c>
    </row>
    <row r="2441" customFormat="false" ht="12.75" hidden="false" customHeight="false" outlineLevel="0" collapsed="false">
      <c r="A2441" s="1" t="n">
        <v>103</v>
      </c>
      <c r="B2441" s="1" t="n">
        <v>80</v>
      </c>
      <c r="C2441" s="1" t="n">
        <v>183</v>
      </c>
      <c r="D2441" s="1" t="s">
        <v>939</v>
      </c>
      <c r="E2441" s="1" t="n">
        <v>-23804.674</v>
      </c>
      <c r="F2441" s="1" t="n">
        <v>7.084</v>
      </c>
      <c r="G2441" s="1" t="n">
        <f aca="false">IF(ISNUMBER(E2441),E2441,VALUE(SUBSTITUTE(E2441,"#",".01")))</f>
        <v>-23804.674</v>
      </c>
    </row>
    <row r="2442" customFormat="false" ht="12.75" hidden="false" customHeight="false" outlineLevel="0" collapsed="false">
      <c r="A2442" s="1" t="n">
        <v>102</v>
      </c>
      <c r="B2442" s="1" t="n">
        <v>81</v>
      </c>
      <c r="C2442" s="1" t="n">
        <v>183</v>
      </c>
      <c r="D2442" s="1" t="s">
        <v>955</v>
      </c>
      <c r="E2442" s="1" t="n">
        <v>-16587.257</v>
      </c>
      <c r="F2442" s="1" t="n">
        <v>9.331</v>
      </c>
      <c r="G2442" s="1" t="n">
        <f aca="false">IF(ISNUMBER(E2442),E2442,VALUE(SUBSTITUTE(E2442,"#",".01")))</f>
        <v>-16587.257</v>
      </c>
    </row>
    <row r="2443" customFormat="false" ht="12.75" hidden="false" customHeight="false" outlineLevel="0" collapsed="false">
      <c r="A2443" s="1" t="n">
        <v>101</v>
      </c>
      <c r="B2443" s="1" t="n">
        <v>82</v>
      </c>
      <c r="C2443" s="1" t="n">
        <v>183</v>
      </c>
      <c r="D2443" s="1" t="s">
        <v>963</v>
      </c>
      <c r="E2443" s="1" t="n">
        <v>-7575.218</v>
      </c>
      <c r="F2443" s="1" t="n">
        <v>28.151</v>
      </c>
      <c r="G2443" s="1" t="n">
        <f aca="false">IF(ISNUMBER(E2443),E2443,VALUE(SUBSTITUTE(E2443,"#",".01")))</f>
        <v>-7575.218</v>
      </c>
    </row>
    <row r="2444" customFormat="false" ht="12.75" hidden="false" customHeight="false" outlineLevel="0" collapsed="false">
      <c r="A2444" s="1" t="n">
        <v>114</v>
      </c>
      <c r="B2444" s="1" t="n">
        <v>70</v>
      </c>
      <c r="C2444" s="1" t="n">
        <v>184</v>
      </c>
      <c r="D2444" s="1" t="s">
        <v>827</v>
      </c>
      <c r="E2444" s="1" t="s">
        <v>972</v>
      </c>
      <c r="F2444" s="1" t="s">
        <v>323</v>
      </c>
      <c r="G2444" s="1" t="n">
        <f aca="false">IF(ISNUMBER(E2444),E2444,VALUE(SUBSTITUTE(E2444,"#",".01")))</f>
        <v>-32540.01</v>
      </c>
    </row>
    <row r="2445" customFormat="false" ht="12.75" hidden="false" customHeight="false" outlineLevel="0" collapsed="false">
      <c r="A2445" s="1" t="n">
        <v>113</v>
      </c>
      <c r="B2445" s="1" t="n">
        <v>71</v>
      </c>
      <c r="C2445" s="1" t="n">
        <v>184</v>
      </c>
      <c r="D2445" s="1" t="s">
        <v>836</v>
      </c>
      <c r="E2445" s="1" t="s">
        <v>973</v>
      </c>
      <c r="F2445" s="1" t="s">
        <v>360</v>
      </c>
      <c r="G2445" s="1" t="n">
        <f aca="false">IF(ISNUMBER(E2445),E2445,VALUE(SUBSTITUTE(E2445,"#",".01")))</f>
        <v>-36412.01</v>
      </c>
    </row>
    <row r="2446" customFormat="false" ht="12.75" hidden="false" customHeight="false" outlineLevel="0" collapsed="false">
      <c r="A2446" s="1" t="n">
        <v>112</v>
      </c>
      <c r="B2446" s="1" t="n">
        <v>72</v>
      </c>
      <c r="C2446" s="1" t="n">
        <v>184</v>
      </c>
      <c r="D2446" s="1" t="s">
        <v>850</v>
      </c>
      <c r="E2446" s="1" t="n">
        <v>-41499.373</v>
      </c>
      <c r="F2446" s="1" t="n">
        <v>39.706</v>
      </c>
      <c r="G2446" s="1" t="n">
        <f aca="false">IF(ISNUMBER(E2446),E2446,VALUE(SUBSTITUTE(E2446,"#",".01")))</f>
        <v>-41499.373</v>
      </c>
    </row>
    <row r="2447" customFormat="false" ht="12.75" hidden="false" customHeight="false" outlineLevel="0" collapsed="false">
      <c r="A2447" s="1" t="n">
        <v>111</v>
      </c>
      <c r="B2447" s="1" t="n">
        <v>73</v>
      </c>
      <c r="C2447" s="1" t="n">
        <v>184</v>
      </c>
      <c r="D2447" s="1" t="s">
        <v>859</v>
      </c>
      <c r="E2447" s="1" t="n">
        <v>-42839.373</v>
      </c>
      <c r="F2447" s="1" t="n">
        <v>26.01</v>
      </c>
      <c r="G2447" s="1" t="n">
        <f aca="false">IF(ISNUMBER(E2447),E2447,VALUE(SUBSTITUTE(E2447,"#",".01")))</f>
        <v>-42839.373</v>
      </c>
    </row>
    <row r="2448" customFormat="false" ht="12.75" hidden="false" customHeight="false" outlineLevel="0" collapsed="false">
      <c r="A2448" s="1" t="n">
        <v>110</v>
      </c>
      <c r="B2448" s="1" t="n">
        <v>74</v>
      </c>
      <c r="C2448" s="1" t="n">
        <v>184</v>
      </c>
      <c r="D2448" s="1" t="s">
        <v>868</v>
      </c>
      <c r="E2448" s="1" t="n">
        <v>-45705.373</v>
      </c>
      <c r="F2448" s="1" t="n">
        <v>0.731</v>
      </c>
      <c r="G2448" s="1" t="n">
        <f aca="false">IF(ISNUMBER(E2448),E2448,VALUE(SUBSTITUTE(E2448,"#",".01")))</f>
        <v>-45705.373</v>
      </c>
    </row>
    <row r="2449" customFormat="false" ht="12.75" hidden="false" customHeight="false" outlineLevel="0" collapsed="false">
      <c r="A2449" s="1" t="n">
        <v>109</v>
      </c>
      <c r="B2449" s="1" t="n">
        <v>75</v>
      </c>
      <c r="C2449" s="1" t="n">
        <v>184</v>
      </c>
      <c r="D2449" s="1" t="s">
        <v>877</v>
      </c>
      <c r="E2449" s="1" t="n">
        <v>-44219.634</v>
      </c>
      <c r="F2449" s="1" t="n">
        <v>4.275</v>
      </c>
      <c r="G2449" s="1" t="n">
        <f aca="false">IF(ISNUMBER(E2449),E2449,VALUE(SUBSTITUTE(E2449,"#",".01")))</f>
        <v>-44219.634</v>
      </c>
    </row>
    <row r="2450" customFormat="false" ht="12.75" hidden="false" customHeight="false" outlineLevel="0" collapsed="false">
      <c r="A2450" s="1" t="n">
        <v>108</v>
      </c>
      <c r="B2450" s="1" t="n">
        <v>76</v>
      </c>
      <c r="C2450" s="1" t="n">
        <v>184</v>
      </c>
      <c r="D2450" s="1" t="s">
        <v>887</v>
      </c>
      <c r="E2450" s="1" t="n">
        <v>-44252.533</v>
      </c>
      <c r="F2450" s="1" t="n">
        <v>0.827</v>
      </c>
      <c r="G2450" s="1" t="n">
        <f aca="false">IF(ISNUMBER(E2450),E2450,VALUE(SUBSTITUTE(E2450,"#",".01")))</f>
        <v>-44252.533</v>
      </c>
    </row>
    <row r="2451" customFormat="false" ht="12.75" hidden="false" customHeight="false" outlineLevel="0" collapsed="false">
      <c r="A2451" s="1" t="n">
        <v>107</v>
      </c>
      <c r="B2451" s="1" t="n">
        <v>77</v>
      </c>
      <c r="C2451" s="1" t="n">
        <v>184</v>
      </c>
      <c r="D2451" s="1" t="s">
        <v>900</v>
      </c>
      <c r="E2451" s="1" t="n">
        <v>-39610.851</v>
      </c>
      <c r="F2451" s="1" t="n">
        <v>27.945</v>
      </c>
      <c r="G2451" s="1" t="n">
        <f aca="false">IF(ISNUMBER(E2451),E2451,VALUE(SUBSTITUTE(E2451,"#",".01")))</f>
        <v>-39610.851</v>
      </c>
    </row>
    <row r="2452" customFormat="false" ht="12.75" hidden="false" customHeight="false" outlineLevel="0" collapsed="false">
      <c r="A2452" s="1" t="n">
        <v>106</v>
      </c>
      <c r="B2452" s="1" t="n">
        <v>78</v>
      </c>
      <c r="C2452" s="1" t="n">
        <v>184</v>
      </c>
      <c r="D2452" s="1" t="s">
        <v>915</v>
      </c>
      <c r="E2452" s="1" t="n">
        <v>-37334.243</v>
      </c>
      <c r="F2452" s="1" t="n">
        <v>15.584</v>
      </c>
      <c r="G2452" s="1" t="n">
        <f aca="false">IF(ISNUMBER(E2452),E2452,VALUE(SUBSTITUTE(E2452,"#",".01")))</f>
        <v>-37334.243</v>
      </c>
    </row>
    <row r="2453" customFormat="false" ht="12.75" hidden="false" customHeight="false" outlineLevel="0" collapsed="false">
      <c r="A2453" s="1" t="n">
        <v>105</v>
      </c>
      <c r="B2453" s="1" t="n">
        <v>79</v>
      </c>
      <c r="C2453" s="1" t="n">
        <v>184</v>
      </c>
      <c r="D2453" s="1" t="s">
        <v>930</v>
      </c>
      <c r="E2453" s="1" t="n">
        <v>-30318.71</v>
      </c>
      <c r="F2453" s="1" t="n">
        <v>22.275</v>
      </c>
      <c r="G2453" s="1" t="n">
        <f aca="false">IF(ISNUMBER(E2453),E2453,VALUE(SUBSTITUTE(E2453,"#",".01")))</f>
        <v>-30318.71</v>
      </c>
    </row>
    <row r="2454" customFormat="false" ht="12.75" hidden="false" customHeight="false" outlineLevel="0" collapsed="false">
      <c r="A2454" s="1" t="n">
        <v>104</v>
      </c>
      <c r="B2454" s="1" t="n">
        <v>80</v>
      </c>
      <c r="C2454" s="1" t="n">
        <v>184</v>
      </c>
      <c r="D2454" s="1" t="s">
        <v>939</v>
      </c>
      <c r="E2454" s="1" t="n">
        <v>-26348.965</v>
      </c>
      <c r="F2454" s="1" t="n">
        <v>10.062</v>
      </c>
      <c r="G2454" s="1" t="n">
        <f aca="false">IF(ISNUMBER(E2454),E2454,VALUE(SUBSTITUTE(E2454,"#",".01")))</f>
        <v>-26348.965</v>
      </c>
    </row>
    <row r="2455" customFormat="false" ht="12.75" hidden="false" customHeight="false" outlineLevel="0" collapsed="false">
      <c r="A2455" s="1" t="n">
        <v>103</v>
      </c>
      <c r="B2455" s="1" t="n">
        <v>81</v>
      </c>
      <c r="C2455" s="1" t="n">
        <v>184</v>
      </c>
      <c r="D2455" s="1" t="s">
        <v>955</v>
      </c>
      <c r="E2455" s="1" t="n">
        <v>-16883.242</v>
      </c>
      <c r="F2455" s="1" t="n">
        <v>10.02</v>
      </c>
      <c r="G2455" s="1" t="n">
        <f aca="false">IF(ISNUMBER(E2455),E2455,VALUE(SUBSTITUTE(E2455,"#",".01")))</f>
        <v>-16883.242</v>
      </c>
    </row>
    <row r="2456" customFormat="false" ht="12.75" hidden="false" customHeight="false" outlineLevel="0" collapsed="false">
      <c r="A2456" s="1" t="n">
        <v>102</v>
      </c>
      <c r="B2456" s="1" t="n">
        <v>82</v>
      </c>
      <c r="C2456" s="1" t="n">
        <v>184</v>
      </c>
      <c r="D2456" s="1" t="s">
        <v>963</v>
      </c>
      <c r="E2456" s="1" t="n">
        <v>-11051.522</v>
      </c>
      <c r="F2456" s="1" t="n">
        <v>12.806</v>
      </c>
      <c r="G2456" s="1" t="n">
        <f aca="false">IF(ISNUMBER(E2456),E2456,VALUE(SUBSTITUTE(E2456,"#",".01")))</f>
        <v>-11051.522</v>
      </c>
    </row>
    <row r="2457" customFormat="false" ht="12.75" hidden="false" customHeight="false" outlineLevel="0" collapsed="false">
      <c r="A2457" s="1" t="n">
        <v>101</v>
      </c>
      <c r="B2457" s="1" t="n">
        <v>83</v>
      </c>
      <c r="C2457" s="1" t="n">
        <v>184</v>
      </c>
      <c r="D2457" s="1" t="s">
        <v>974</v>
      </c>
      <c r="E2457" s="1" t="n">
        <v>1063.068</v>
      </c>
      <c r="F2457" s="1" t="n">
        <v>78.11</v>
      </c>
      <c r="G2457" s="1" t="n">
        <f aca="false">IF(ISNUMBER(E2457),E2457,VALUE(SUBSTITUTE(E2457,"#",".01")))</f>
        <v>1063.068</v>
      </c>
    </row>
    <row r="2458" customFormat="false" ht="12.75" hidden="false" customHeight="false" outlineLevel="0" collapsed="false">
      <c r="A2458" s="1" t="n">
        <v>115</v>
      </c>
      <c r="B2458" s="1" t="n">
        <v>70</v>
      </c>
      <c r="C2458" s="1" t="n">
        <v>185</v>
      </c>
      <c r="D2458" s="1" t="s">
        <v>827</v>
      </c>
      <c r="E2458" s="1" t="s">
        <v>975</v>
      </c>
      <c r="F2458" s="1" t="s">
        <v>323</v>
      </c>
      <c r="G2458" s="1" t="n">
        <f aca="false">IF(ISNUMBER(E2458),E2458,VALUE(SUBSTITUTE(E2458,"#",".01")))</f>
        <v>-28500.01</v>
      </c>
    </row>
    <row r="2459" customFormat="false" ht="12.75" hidden="false" customHeight="false" outlineLevel="0" collapsed="false">
      <c r="A2459" s="1" t="n">
        <v>114</v>
      </c>
      <c r="B2459" s="1" t="n">
        <v>71</v>
      </c>
      <c r="C2459" s="1" t="n">
        <v>185</v>
      </c>
      <c r="D2459" s="1" t="s">
        <v>836</v>
      </c>
      <c r="E2459" s="1" t="s">
        <v>976</v>
      </c>
      <c r="F2459" s="1" t="s">
        <v>360</v>
      </c>
      <c r="G2459" s="1" t="n">
        <f aca="false">IF(ISNUMBER(E2459),E2459,VALUE(SUBSTITUTE(E2459,"#",".01")))</f>
        <v>-33888.01</v>
      </c>
    </row>
    <row r="2460" customFormat="false" ht="12.75" hidden="false" customHeight="false" outlineLevel="0" collapsed="false">
      <c r="A2460" s="1" t="n">
        <v>113</v>
      </c>
      <c r="B2460" s="1" t="n">
        <v>72</v>
      </c>
      <c r="C2460" s="1" t="n">
        <v>185</v>
      </c>
      <c r="D2460" s="1" t="s">
        <v>850</v>
      </c>
      <c r="E2460" s="1" t="n">
        <v>-38319.8</v>
      </c>
      <c r="F2460" s="1" t="n">
        <v>64.273</v>
      </c>
      <c r="G2460" s="1" t="n">
        <f aca="false">IF(ISNUMBER(E2460),E2460,VALUE(SUBSTITUTE(E2460,"#",".01")))</f>
        <v>-38319.8</v>
      </c>
    </row>
    <row r="2461" customFormat="false" ht="12.75" hidden="false" customHeight="false" outlineLevel="0" collapsed="false">
      <c r="A2461" s="1" t="n">
        <v>112</v>
      </c>
      <c r="B2461" s="1" t="n">
        <v>73</v>
      </c>
      <c r="C2461" s="1" t="n">
        <v>185</v>
      </c>
      <c r="D2461" s="1" t="s">
        <v>859</v>
      </c>
      <c r="E2461" s="1" t="n">
        <v>-41394.293</v>
      </c>
      <c r="F2461" s="1" t="n">
        <v>14.161</v>
      </c>
      <c r="G2461" s="1" t="n">
        <f aca="false">IF(ISNUMBER(E2461),E2461,VALUE(SUBSTITUTE(E2461,"#",".01")))</f>
        <v>-41394.293</v>
      </c>
    </row>
    <row r="2462" customFormat="false" ht="12.75" hidden="false" customHeight="false" outlineLevel="0" collapsed="false">
      <c r="A2462" s="1" t="n">
        <v>111</v>
      </c>
      <c r="B2462" s="1" t="n">
        <v>74</v>
      </c>
      <c r="C2462" s="1" t="n">
        <v>185</v>
      </c>
      <c r="D2462" s="1" t="s">
        <v>868</v>
      </c>
      <c r="E2462" s="1" t="n">
        <v>-43387.793</v>
      </c>
      <c r="F2462" s="1" t="n">
        <v>0.733</v>
      </c>
      <c r="G2462" s="1" t="n">
        <f aca="false">IF(ISNUMBER(E2462),E2462,VALUE(SUBSTITUTE(E2462,"#",".01")))</f>
        <v>-43387.793</v>
      </c>
    </row>
    <row r="2463" customFormat="false" ht="12.75" hidden="false" customHeight="false" outlineLevel="0" collapsed="false">
      <c r="A2463" s="1" t="n">
        <v>110</v>
      </c>
      <c r="B2463" s="1" t="n">
        <v>75</v>
      </c>
      <c r="C2463" s="1" t="n">
        <v>185</v>
      </c>
      <c r="D2463" s="1" t="s">
        <v>877</v>
      </c>
      <c r="E2463" s="1" t="n">
        <v>-43819.027</v>
      </c>
      <c r="F2463" s="1" t="n">
        <v>0.818</v>
      </c>
      <c r="G2463" s="1" t="n">
        <f aca="false">IF(ISNUMBER(E2463),E2463,VALUE(SUBSTITUTE(E2463,"#",".01")))</f>
        <v>-43819.027</v>
      </c>
    </row>
    <row r="2464" customFormat="false" ht="12.75" hidden="false" customHeight="false" outlineLevel="0" collapsed="false">
      <c r="A2464" s="1" t="n">
        <v>109</v>
      </c>
      <c r="B2464" s="1" t="n">
        <v>76</v>
      </c>
      <c r="C2464" s="1" t="n">
        <v>185</v>
      </c>
      <c r="D2464" s="1" t="s">
        <v>887</v>
      </c>
      <c r="E2464" s="1" t="n">
        <v>-42805.88</v>
      </c>
      <c r="F2464" s="1" t="n">
        <v>0.83</v>
      </c>
      <c r="G2464" s="1" t="n">
        <f aca="false">IF(ISNUMBER(E2464),E2464,VALUE(SUBSTITUTE(E2464,"#",".01")))</f>
        <v>-42805.88</v>
      </c>
    </row>
    <row r="2465" customFormat="false" ht="12.75" hidden="false" customHeight="false" outlineLevel="0" collapsed="false">
      <c r="A2465" s="1" t="n">
        <v>108</v>
      </c>
      <c r="B2465" s="1" t="n">
        <v>77</v>
      </c>
      <c r="C2465" s="1" t="n">
        <v>185</v>
      </c>
      <c r="D2465" s="1" t="s">
        <v>900</v>
      </c>
      <c r="E2465" s="1" t="n">
        <v>-40335.553</v>
      </c>
      <c r="F2465" s="1" t="n">
        <v>27.945</v>
      </c>
      <c r="G2465" s="1" t="n">
        <f aca="false">IF(ISNUMBER(E2465),E2465,VALUE(SUBSTITUTE(E2465,"#",".01")))</f>
        <v>-40335.553</v>
      </c>
    </row>
    <row r="2466" customFormat="false" ht="12.75" hidden="false" customHeight="false" outlineLevel="0" collapsed="false">
      <c r="A2466" s="1" t="n">
        <v>107</v>
      </c>
      <c r="B2466" s="1" t="n">
        <v>78</v>
      </c>
      <c r="C2466" s="1" t="n">
        <v>185</v>
      </c>
      <c r="D2466" s="1" t="s">
        <v>915</v>
      </c>
      <c r="E2466" s="1" t="n">
        <v>-36688.14</v>
      </c>
      <c r="F2466" s="1" t="n">
        <v>25.832</v>
      </c>
      <c r="G2466" s="1" t="n">
        <f aca="false">IF(ISNUMBER(E2466),E2466,VALUE(SUBSTITUTE(E2466,"#",".01")))</f>
        <v>-36688.14</v>
      </c>
    </row>
    <row r="2467" customFormat="false" ht="12.75" hidden="false" customHeight="false" outlineLevel="0" collapsed="false">
      <c r="A2467" s="1" t="n">
        <v>106</v>
      </c>
      <c r="B2467" s="1" t="n">
        <v>79</v>
      </c>
      <c r="C2467" s="1" t="n">
        <v>185</v>
      </c>
      <c r="D2467" s="1" t="s">
        <v>930</v>
      </c>
      <c r="E2467" s="1" t="n">
        <v>-31858.143</v>
      </c>
      <c r="F2467" s="1" t="n">
        <v>2.608</v>
      </c>
      <c r="G2467" s="1" t="n">
        <f aca="false">IF(ISNUMBER(E2467),E2467,VALUE(SUBSTITUTE(E2467,"#",".01")))</f>
        <v>-31858.143</v>
      </c>
    </row>
    <row r="2468" customFormat="false" ht="12.75" hidden="false" customHeight="false" outlineLevel="0" collapsed="false">
      <c r="A2468" s="1" t="n">
        <v>105</v>
      </c>
      <c r="B2468" s="1" t="n">
        <v>80</v>
      </c>
      <c r="C2468" s="1" t="n">
        <v>185</v>
      </c>
      <c r="D2468" s="1" t="s">
        <v>939</v>
      </c>
      <c r="E2468" s="1" t="n">
        <v>-26183.666</v>
      </c>
      <c r="F2468" s="1" t="n">
        <v>13.639</v>
      </c>
      <c r="G2468" s="1" t="n">
        <f aca="false">IF(ISNUMBER(E2468),E2468,VALUE(SUBSTITUTE(E2468,"#",".01")))</f>
        <v>-26183.666</v>
      </c>
    </row>
    <row r="2469" customFormat="false" ht="12.75" hidden="false" customHeight="false" outlineLevel="0" collapsed="false">
      <c r="A2469" s="1" t="n">
        <v>104</v>
      </c>
      <c r="B2469" s="1" t="n">
        <v>81</v>
      </c>
      <c r="C2469" s="1" t="n">
        <v>185</v>
      </c>
      <c r="D2469" s="1" t="s">
        <v>955</v>
      </c>
      <c r="E2469" s="1" t="n">
        <v>-19757.741</v>
      </c>
      <c r="F2469" s="1" t="n">
        <v>20.674</v>
      </c>
      <c r="G2469" s="1" t="n">
        <f aca="false">IF(ISNUMBER(E2469),E2469,VALUE(SUBSTITUTE(E2469,"#",".01")))</f>
        <v>-19757.741</v>
      </c>
    </row>
    <row r="2470" customFormat="false" ht="12.75" hidden="false" customHeight="false" outlineLevel="0" collapsed="false">
      <c r="A2470" s="1" t="n">
        <v>103</v>
      </c>
      <c r="B2470" s="1" t="n">
        <v>82</v>
      </c>
      <c r="C2470" s="1" t="n">
        <v>185</v>
      </c>
      <c r="D2470" s="1" t="s">
        <v>963</v>
      </c>
      <c r="E2470" s="1" t="n">
        <v>-11541.22</v>
      </c>
      <c r="F2470" s="1" t="n">
        <v>16.175</v>
      </c>
      <c r="G2470" s="1" t="n">
        <f aca="false">IF(ISNUMBER(E2470),E2470,VALUE(SUBSTITUTE(E2470,"#",".01")))</f>
        <v>-11541.22</v>
      </c>
    </row>
    <row r="2471" customFormat="false" ht="12.75" hidden="false" customHeight="false" outlineLevel="0" collapsed="false">
      <c r="A2471" s="1" t="n">
        <v>102</v>
      </c>
      <c r="B2471" s="1" t="n">
        <v>83</v>
      </c>
      <c r="C2471" s="1" t="n">
        <v>185</v>
      </c>
      <c r="D2471" s="1" t="s">
        <v>974</v>
      </c>
      <c r="E2471" s="1" t="s">
        <v>977</v>
      </c>
      <c r="F2471" s="1" t="s">
        <v>978</v>
      </c>
      <c r="G2471" s="1" t="n">
        <f aca="false">IF(ISNUMBER(E2471),E2471,VALUE(SUBSTITUTE(E2471,"#",".01")))</f>
        <v>-2236.01</v>
      </c>
    </row>
    <row r="2472" customFormat="false" ht="12.75" hidden="false" customHeight="false" outlineLevel="0" collapsed="false">
      <c r="A2472" s="1" t="n">
        <v>115</v>
      </c>
      <c r="B2472" s="1" t="n">
        <v>71</v>
      </c>
      <c r="C2472" s="1" t="n">
        <v>186</v>
      </c>
      <c r="D2472" s="1" t="s">
        <v>836</v>
      </c>
      <c r="E2472" s="1" t="s">
        <v>979</v>
      </c>
      <c r="F2472" s="1" t="s">
        <v>320</v>
      </c>
      <c r="G2472" s="1" t="n">
        <f aca="false">IF(ISNUMBER(E2472),E2472,VALUE(SUBSTITUTE(E2472,"#",".01")))</f>
        <v>-30210.01</v>
      </c>
    </row>
    <row r="2473" customFormat="false" ht="12.75" hidden="false" customHeight="false" outlineLevel="0" collapsed="false">
      <c r="A2473" s="1" t="n">
        <v>114</v>
      </c>
      <c r="B2473" s="1" t="n">
        <v>72</v>
      </c>
      <c r="C2473" s="1" t="n">
        <v>186</v>
      </c>
      <c r="D2473" s="1" t="s">
        <v>850</v>
      </c>
      <c r="E2473" s="1" t="n">
        <v>-36424.21</v>
      </c>
      <c r="F2473" s="1" t="n">
        <v>51.232</v>
      </c>
      <c r="G2473" s="1" t="n">
        <f aca="false">IF(ISNUMBER(E2473),E2473,VALUE(SUBSTITUTE(E2473,"#",".01")))</f>
        <v>-36424.21</v>
      </c>
    </row>
    <row r="2474" customFormat="false" ht="12.75" hidden="false" customHeight="false" outlineLevel="0" collapsed="false">
      <c r="A2474" s="1" t="n">
        <v>113</v>
      </c>
      <c r="B2474" s="1" t="n">
        <v>73</v>
      </c>
      <c r="C2474" s="1" t="n">
        <v>186</v>
      </c>
      <c r="D2474" s="1" t="s">
        <v>859</v>
      </c>
      <c r="E2474" s="1" t="n">
        <v>-38607.528</v>
      </c>
      <c r="F2474" s="1" t="n">
        <v>60.012</v>
      </c>
      <c r="G2474" s="1" t="n">
        <f aca="false">IF(ISNUMBER(E2474),E2474,VALUE(SUBSTITUTE(E2474,"#",".01")))</f>
        <v>-38607.528</v>
      </c>
    </row>
    <row r="2475" customFormat="false" ht="12.75" hidden="false" customHeight="false" outlineLevel="0" collapsed="false">
      <c r="A2475" s="1" t="n">
        <v>112</v>
      </c>
      <c r="B2475" s="1" t="n">
        <v>74</v>
      </c>
      <c r="C2475" s="1" t="n">
        <v>186</v>
      </c>
      <c r="D2475" s="1" t="s">
        <v>868</v>
      </c>
      <c r="E2475" s="1" t="n">
        <v>-42508.528</v>
      </c>
      <c r="F2475" s="1" t="n">
        <v>1.212</v>
      </c>
      <c r="G2475" s="1" t="n">
        <f aca="false">IF(ISNUMBER(E2475),E2475,VALUE(SUBSTITUTE(E2475,"#",".01")))</f>
        <v>-42508.528</v>
      </c>
    </row>
    <row r="2476" customFormat="false" ht="12.75" hidden="false" customHeight="false" outlineLevel="0" collapsed="false">
      <c r="A2476" s="1" t="n">
        <v>111</v>
      </c>
      <c r="B2476" s="1" t="n">
        <v>75</v>
      </c>
      <c r="C2476" s="1" t="n">
        <v>186</v>
      </c>
      <c r="D2476" s="1" t="s">
        <v>877</v>
      </c>
      <c r="E2476" s="1" t="n">
        <v>-41927.086</v>
      </c>
      <c r="F2476" s="1" t="n">
        <v>0.826</v>
      </c>
      <c r="G2476" s="1" t="n">
        <f aca="false">IF(ISNUMBER(E2476),E2476,VALUE(SUBSTITUTE(E2476,"#",".01")))</f>
        <v>-41927.086</v>
      </c>
    </row>
    <row r="2477" customFormat="false" ht="12.75" hidden="false" customHeight="false" outlineLevel="0" collapsed="false">
      <c r="A2477" s="1" t="n">
        <v>110</v>
      </c>
      <c r="B2477" s="1" t="n">
        <v>76</v>
      </c>
      <c r="C2477" s="1" t="n">
        <v>186</v>
      </c>
      <c r="D2477" s="1" t="s">
        <v>887</v>
      </c>
      <c r="E2477" s="1" t="n">
        <v>-42999.943</v>
      </c>
      <c r="F2477" s="1" t="n">
        <v>0.761</v>
      </c>
      <c r="G2477" s="1" t="n">
        <f aca="false">IF(ISNUMBER(E2477),E2477,VALUE(SUBSTITUTE(E2477,"#",".01")))</f>
        <v>-42999.943</v>
      </c>
    </row>
    <row r="2478" customFormat="false" ht="12.75" hidden="false" customHeight="false" outlineLevel="0" collapsed="false">
      <c r="A2478" s="1" t="n">
        <v>109</v>
      </c>
      <c r="B2478" s="1" t="n">
        <v>77</v>
      </c>
      <c r="C2478" s="1" t="n">
        <v>186</v>
      </c>
      <c r="D2478" s="1" t="s">
        <v>900</v>
      </c>
      <c r="E2478" s="1" t="n">
        <v>-39172.346</v>
      </c>
      <c r="F2478" s="1" t="n">
        <v>16.526</v>
      </c>
      <c r="G2478" s="1" t="n">
        <f aca="false">IF(ISNUMBER(E2478),E2478,VALUE(SUBSTITUTE(E2478,"#",".01")))</f>
        <v>-39172.346</v>
      </c>
    </row>
    <row r="2479" customFormat="false" ht="12.75" hidden="false" customHeight="false" outlineLevel="0" collapsed="false">
      <c r="A2479" s="1" t="n">
        <v>108</v>
      </c>
      <c r="B2479" s="1" t="n">
        <v>78</v>
      </c>
      <c r="C2479" s="1" t="n">
        <v>186</v>
      </c>
      <c r="D2479" s="1" t="s">
        <v>915</v>
      </c>
      <c r="E2479" s="1" t="n">
        <v>-37864.443</v>
      </c>
      <c r="F2479" s="1" t="n">
        <v>21.745</v>
      </c>
      <c r="G2479" s="1" t="n">
        <f aca="false">IF(ISNUMBER(E2479),E2479,VALUE(SUBSTITUTE(E2479,"#",".01")))</f>
        <v>-37864.443</v>
      </c>
    </row>
    <row r="2480" customFormat="false" ht="12.75" hidden="false" customHeight="false" outlineLevel="0" collapsed="false">
      <c r="A2480" s="1" t="n">
        <v>107</v>
      </c>
      <c r="B2480" s="1" t="n">
        <v>79</v>
      </c>
      <c r="C2480" s="1" t="n">
        <v>186</v>
      </c>
      <c r="D2480" s="1" t="s">
        <v>930</v>
      </c>
      <c r="E2480" s="1" t="n">
        <v>-31714.852</v>
      </c>
      <c r="F2480" s="1" t="n">
        <v>20.967</v>
      </c>
      <c r="G2480" s="1" t="n">
        <f aca="false">IF(ISNUMBER(E2480),E2480,VALUE(SUBSTITUTE(E2480,"#",".01")))</f>
        <v>-31714.852</v>
      </c>
    </row>
    <row r="2481" customFormat="false" ht="12.75" hidden="false" customHeight="false" outlineLevel="0" collapsed="false">
      <c r="A2481" s="1" t="n">
        <v>106</v>
      </c>
      <c r="B2481" s="1" t="n">
        <v>80</v>
      </c>
      <c r="C2481" s="1" t="n">
        <v>186</v>
      </c>
      <c r="D2481" s="1" t="s">
        <v>939</v>
      </c>
      <c r="E2481" s="1" t="n">
        <v>-28539.097</v>
      </c>
      <c r="F2481" s="1" t="n">
        <v>11.65</v>
      </c>
      <c r="G2481" s="1" t="n">
        <f aca="false">IF(ISNUMBER(E2481),E2481,VALUE(SUBSTITUTE(E2481,"#",".01")))</f>
        <v>-28539.097</v>
      </c>
    </row>
    <row r="2482" customFormat="false" ht="12.75" hidden="false" customHeight="false" outlineLevel="0" collapsed="false">
      <c r="A2482" s="1" t="n">
        <v>105</v>
      </c>
      <c r="B2482" s="1" t="n">
        <v>81</v>
      </c>
      <c r="C2482" s="1" t="n">
        <v>186</v>
      </c>
      <c r="D2482" s="1" t="s">
        <v>955</v>
      </c>
      <c r="E2482" s="1" t="n">
        <v>-19886.613</v>
      </c>
      <c r="F2482" s="1" t="n">
        <v>22.356</v>
      </c>
      <c r="G2482" s="1" t="n">
        <f aca="false">IF(ISNUMBER(E2482),E2482,VALUE(SUBSTITUTE(E2482,"#",".01")))</f>
        <v>-19886.613</v>
      </c>
    </row>
    <row r="2483" customFormat="false" ht="12.75" hidden="false" customHeight="false" outlineLevel="0" collapsed="false">
      <c r="A2483" s="1" t="n">
        <v>104</v>
      </c>
      <c r="B2483" s="1" t="n">
        <v>82</v>
      </c>
      <c r="C2483" s="1" t="n">
        <v>186</v>
      </c>
      <c r="D2483" s="1" t="s">
        <v>963</v>
      </c>
      <c r="E2483" s="1" t="n">
        <v>-14682.026</v>
      </c>
      <c r="F2483" s="1" t="n">
        <v>11.363</v>
      </c>
      <c r="G2483" s="1" t="n">
        <f aca="false">IF(ISNUMBER(E2483),E2483,VALUE(SUBSTITUTE(E2483,"#",".01")))</f>
        <v>-14682.026</v>
      </c>
    </row>
    <row r="2484" customFormat="false" ht="12.75" hidden="false" customHeight="false" outlineLevel="0" collapsed="false">
      <c r="A2484" s="1" t="n">
        <v>103</v>
      </c>
      <c r="B2484" s="1" t="n">
        <v>83</v>
      </c>
      <c r="C2484" s="1" t="n">
        <v>186</v>
      </c>
      <c r="D2484" s="1" t="s">
        <v>974</v>
      </c>
      <c r="E2484" s="1" t="n">
        <v>-3146.212</v>
      </c>
      <c r="F2484" s="1" t="n">
        <v>16.857</v>
      </c>
      <c r="G2484" s="1" t="n">
        <f aca="false">IF(ISNUMBER(E2484),E2484,VALUE(SUBSTITUTE(E2484,"#",".01")))</f>
        <v>-3146.212</v>
      </c>
    </row>
    <row r="2485" customFormat="false" ht="12.75" hidden="false" customHeight="false" outlineLevel="0" collapsed="false">
      <c r="A2485" s="1" t="n">
        <v>102</v>
      </c>
      <c r="B2485" s="1" t="n">
        <v>84</v>
      </c>
      <c r="C2485" s="1" t="n">
        <v>186</v>
      </c>
      <c r="D2485" s="1" t="s">
        <v>980</v>
      </c>
      <c r="E2485" s="1" t="n">
        <v>4100.974</v>
      </c>
      <c r="F2485" s="1" t="n">
        <v>18.286</v>
      </c>
      <c r="G2485" s="1" t="n">
        <f aca="false">IF(ISNUMBER(E2485),E2485,VALUE(SUBSTITUTE(E2485,"#",".01")))</f>
        <v>4100.974</v>
      </c>
    </row>
    <row r="2486" customFormat="false" ht="12.75" hidden="false" customHeight="false" outlineLevel="0" collapsed="false">
      <c r="A2486" s="1" t="n">
        <v>116</v>
      </c>
      <c r="B2486" s="1" t="n">
        <v>71</v>
      </c>
      <c r="C2486" s="1" t="n">
        <v>187</v>
      </c>
      <c r="D2486" s="1" t="s">
        <v>836</v>
      </c>
      <c r="E2486" s="1" t="s">
        <v>981</v>
      </c>
      <c r="F2486" s="1" t="s">
        <v>320</v>
      </c>
      <c r="G2486" s="1" t="n">
        <f aca="false">IF(ISNUMBER(E2486),E2486,VALUE(SUBSTITUTE(E2486,"#",".01")))</f>
        <v>-27580.01</v>
      </c>
    </row>
    <row r="2487" customFormat="false" ht="12.75" hidden="false" customHeight="false" outlineLevel="0" collapsed="false">
      <c r="A2487" s="1" t="n">
        <v>115</v>
      </c>
      <c r="B2487" s="1" t="n">
        <v>72</v>
      </c>
      <c r="C2487" s="1" t="n">
        <v>187</v>
      </c>
      <c r="D2487" s="1" t="s">
        <v>850</v>
      </c>
      <c r="E2487" s="1" t="s">
        <v>982</v>
      </c>
      <c r="F2487" s="1" t="s">
        <v>360</v>
      </c>
      <c r="G2487" s="1" t="n">
        <f aca="false">IF(ISNUMBER(E2487),E2487,VALUE(SUBSTITUTE(E2487,"#",".01")))</f>
        <v>-32817.01</v>
      </c>
    </row>
    <row r="2488" customFormat="false" ht="12.75" hidden="false" customHeight="false" outlineLevel="0" collapsed="false">
      <c r="A2488" s="1" t="n">
        <v>114</v>
      </c>
      <c r="B2488" s="1" t="n">
        <v>73</v>
      </c>
      <c r="C2488" s="1" t="n">
        <v>187</v>
      </c>
      <c r="D2488" s="1" t="s">
        <v>859</v>
      </c>
      <c r="E2488" s="1" t="n">
        <v>-36895.546</v>
      </c>
      <c r="F2488" s="1" t="n">
        <v>55.89</v>
      </c>
      <c r="G2488" s="1" t="n">
        <f aca="false">IF(ISNUMBER(E2488),E2488,VALUE(SUBSTITUTE(E2488,"#",".01")))</f>
        <v>-36895.546</v>
      </c>
    </row>
    <row r="2489" customFormat="false" ht="12.75" hidden="false" customHeight="false" outlineLevel="0" collapsed="false">
      <c r="A2489" s="1" t="n">
        <v>113</v>
      </c>
      <c r="B2489" s="1" t="n">
        <v>74</v>
      </c>
      <c r="C2489" s="1" t="n">
        <v>187</v>
      </c>
      <c r="D2489" s="1" t="s">
        <v>868</v>
      </c>
      <c r="E2489" s="1" t="n">
        <v>-39903.97</v>
      </c>
      <c r="F2489" s="1" t="n">
        <v>1.212</v>
      </c>
      <c r="G2489" s="1" t="n">
        <f aca="false">IF(ISNUMBER(E2489),E2489,VALUE(SUBSTITUTE(E2489,"#",".01")))</f>
        <v>-39903.97</v>
      </c>
    </row>
    <row r="2490" customFormat="false" ht="12.75" hidden="false" customHeight="false" outlineLevel="0" collapsed="false">
      <c r="A2490" s="1" t="n">
        <v>112</v>
      </c>
      <c r="B2490" s="1" t="n">
        <v>75</v>
      </c>
      <c r="C2490" s="1" t="n">
        <v>187</v>
      </c>
      <c r="D2490" s="1" t="s">
        <v>877</v>
      </c>
      <c r="E2490" s="1" t="n">
        <v>-41216.478</v>
      </c>
      <c r="F2490" s="1" t="n">
        <v>0.736</v>
      </c>
      <c r="G2490" s="1" t="n">
        <f aca="false">IF(ISNUMBER(E2490),E2490,VALUE(SUBSTITUTE(E2490,"#",".01")))</f>
        <v>-41216.478</v>
      </c>
    </row>
    <row r="2491" customFormat="false" ht="12.75" hidden="false" customHeight="false" outlineLevel="0" collapsed="false">
      <c r="A2491" s="1" t="n">
        <v>111</v>
      </c>
      <c r="B2491" s="1" t="n">
        <v>76</v>
      </c>
      <c r="C2491" s="1" t="n">
        <v>187</v>
      </c>
      <c r="D2491" s="1" t="s">
        <v>887</v>
      </c>
      <c r="E2491" s="1" t="n">
        <v>-41218.945</v>
      </c>
      <c r="F2491" s="1" t="n">
        <v>0.736</v>
      </c>
      <c r="G2491" s="1" t="n">
        <f aca="false">IF(ISNUMBER(E2491),E2491,VALUE(SUBSTITUTE(E2491,"#",".01")))</f>
        <v>-41218.945</v>
      </c>
    </row>
    <row r="2492" customFormat="false" ht="12.75" hidden="false" customHeight="false" outlineLevel="0" collapsed="false">
      <c r="A2492" s="1" t="n">
        <v>110</v>
      </c>
      <c r="B2492" s="1" t="n">
        <v>77</v>
      </c>
      <c r="C2492" s="1" t="n">
        <v>187</v>
      </c>
      <c r="D2492" s="1" t="s">
        <v>900</v>
      </c>
      <c r="E2492" s="1" t="n">
        <v>-39549.372</v>
      </c>
      <c r="F2492" s="1" t="n">
        <v>27.945</v>
      </c>
      <c r="G2492" s="1" t="n">
        <f aca="false">IF(ISNUMBER(E2492),E2492,VALUE(SUBSTITUTE(E2492,"#",".01")))</f>
        <v>-39549.372</v>
      </c>
    </row>
    <row r="2493" customFormat="false" ht="12.75" hidden="false" customHeight="false" outlineLevel="0" collapsed="false">
      <c r="A2493" s="1" t="n">
        <v>109</v>
      </c>
      <c r="B2493" s="1" t="n">
        <v>78</v>
      </c>
      <c r="C2493" s="1" t="n">
        <v>187</v>
      </c>
      <c r="D2493" s="1" t="s">
        <v>915</v>
      </c>
      <c r="E2493" s="1" t="n">
        <v>-36685.05</v>
      </c>
      <c r="F2493" s="1" t="n">
        <v>24.048</v>
      </c>
      <c r="G2493" s="1" t="n">
        <f aca="false">IF(ISNUMBER(E2493),E2493,VALUE(SUBSTITUTE(E2493,"#",".01")))</f>
        <v>-36685.05</v>
      </c>
    </row>
    <row r="2494" customFormat="false" ht="12.75" hidden="false" customHeight="false" outlineLevel="0" collapsed="false">
      <c r="A2494" s="1" t="n">
        <v>108</v>
      </c>
      <c r="B2494" s="1" t="n">
        <v>79</v>
      </c>
      <c r="C2494" s="1" t="n">
        <v>187</v>
      </c>
      <c r="D2494" s="1" t="s">
        <v>930</v>
      </c>
      <c r="E2494" s="1" t="n">
        <v>-33027.838</v>
      </c>
      <c r="F2494" s="1" t="n">
        <v>22.308</v>
      </c>
      <c r="G2494" s="1" t="n">
        <f aca="false">IF(ISNUMBER(E2494),E2494,VALUE(SUBSTITUTE(E2494,"#",".01")))</f>
        <v>-33027.838</v>
      </c>
    </row>
    <row r="2495" customFormat="false" ht="12.75" hidden="false" customHeight="false" outlineLevel="0" collapsed="false">
      <c r="A2495" s="1" t="n">
        <v>107</v>
      </c>
      <c r="B2495" s="1" t="n">
        <v>80</v>
      </c>
      <c r="C2495" s="1" t="n">
        <v>187</v>
      </c>
      <c r="D2495" s="1" t="s">
        <v>939</v>
      </c>
      <c r="E2495" s="1" t="n">
        <v>-28117.93</v>
      </c>
      <c r="F2495" s="1" t="n">
        <v>13.905</v>
      </c>
      <c r="G2495" s="1" t="n">
        <f aca="false">IF(ISNUMBER(E2495),E2495,VALUE(SUBSTITUTE(E2495,"#",".01")))</f>
        <v>-28117.93</v>
      </c>
    </row>
    <row r="2496" customFormat="false" ht="12.75" hidden="false" customHeight="false" outlineLevel="0" collapsed="false">
      <c r="A2496" s="1" t="n">
        <v>106</v>
      </c>
      <c r="B2496" s="1" t="n">
        <v>81</v>
      </c>
      <c r="C2496" s="1" t="n">
        <v>187</v>
      </c>
      <c r="D2496" s="1" t="s">
        <v>955</v>
      </c>
      <c r="E2496" s="1" t="n">
        <v>-22444.587</v>
      </c>
      <c r="F2496" s="1" t="n">
        <v>8.048</v>
      </c>
      <c r="G2496" s="1" t="n">
        <f aca="false">IF(ISNUMBER(E2496),E2496,VALUE(SUBSTITUTE(E2496,"#",".01")))</f>
        <v>-22444.587</v>
      </c>
    </row>
    <row r="2497" customFormat="false" ht="12.75" hidden="false" customHeight="false" outlineLevel="0" collapsed="false">
      <c r="A2497" s="1" t="n">
        <v>105</v>
      </c>
      <c r="B2497" s="1" t="n">
        <v>82</v>
      </c>
      <c r="C2497" s="1" t="n">
        <v>187</v>
      </c>
      <c r="D2497" s="1" t="s">
        <v>963</v>
      </c>
      <c r="E2497" s="1" t="n">
        <v>-14986.959</v>
      </c>
      <c r="F2497" s="1" t="n">
        <v>5.094</v>
      </c>
      <c r="G2497" s="1" t="n">
        <f aca="false">IF(ISNUMBER(E2497),E2497,VALUE(SUBSTITUTE(E2497,"#",".01")))</f>
        <v>-14986.959</v>
      </c>
    </row>
    <row r="2498" customFormat="false" ht="12.75" hidden="false" customHeight="false" outlineLevel="0" collapsed="false">
      <c r="A2498" s="1" t="n">
        <v>104</v>
      </c>
      <c r="B2498" s="1" t="n">
        <v>83</v>
      </c>
      <c r="C2498" s="1" t="n">
        <v>187</v>
      </c>
      <c r="D2498" s="1" t="s">
        <v>974</v>
      </c>
      <c r="E2498" s="1" t="n">
        <v>-6383.271</v>
      </c>
      <c r="F2498" s="1" t="n">
        <v>10.005</v>
      </c>
      <c r="G2498" s="1" t="n">
        <f aca="false">IF(ISNUMBER(E2498),E2498,VALUE(SUBSTITUTE(E2498,"#",".01")))</f>
        <v>-6383.271</v>
      </c>
    </row>
    <row r="2499" customFormat="false" ht="12.75" hidden="false" customHeight="false" outlineLevel="0" collapsed="false">
      <c r="A2499" s="1" t="n">
        <v>103</v>
      </c>
      <c r="B2499" s="1" t="n">
        <v>84</v>
      </c>
      <c r="C2499" s="1" t="n">
        <v>187</v>
      </c>
      <c r="D2499" s="1" t="s">
        <v>980</v>
      </c>
      <c r="E2499" s="1" t="n">
        <v>2828.597</v>
      </c>
      <c r="F2499" s="1" t="n">
        <v>31.898</v>
      </c>
      <c r="G2499" s="1" t="n">
        <f aca="false">IF(ISNUMBER(E2499),E2499,VALUE(SUBSTITUTE(E2499,"#",".01")))</f>
        <v>2828.597</v>
      </c>
    </row>
    <row r="2500" customFormat="false" ht="12.75" hidden="false" customHeight="false" outlineLevel="0" collapsed="false">
      <c r="A2500" s="1" t="n">
        <v>117</v>
      </c>
      <c r="B2500" s="1" t="n">
        <v>71</v>
      </c>
      <c r="C2500" s="1" t="n">
        <v>188</v>
      </c>
      <c r="D2500" s="1" t="s">
        <v>836</v>
      </c>
      <c r="E2500" s="1" t="s">
        <v>983</v>
      </c>
      <c r="F2500" s="1" t="s">
        <v>323</v>
      </c>
      <c r="G2500" s="1" t="n">
        <f aca="false">IF(ISNUMBER(E2500),E2500,VALUE(SUBSTITUTE(E2500,"#",".01")))</f>
        <v>-23790.01</v>
      </c>
    </row>
    <row r="2501" customFormat="false" ht="12.75" hidden="false" customHeight="false" outlineLevel="0" collapsed="false">
      <c r="A2501" s="1" t="n">
        <v>116</v>
      </c>
      <c r="B2501" s="1" t="n">
        <v>72</v>
      </c>
      <c r="C2501" s="1" t="n">
        <v>188</v>
      </c>
      <c r="D2501" s="1" t="s">
        <v>850</v>
      </c>
      <c r="E2501" s="1" t="s">
        <v>984</v>
      </c>
      <c r="F2501" s="1" t="s">
        <v>360</v>
      </c>
      <c r="G2501" s="1" t="n">
        <f aca="false">IF(ISNUMBER(E2501),E2501,VALUE(SUBSTITUTE(E2501,"#",".01")))</f>
        <v>-30879.01</v>
      </c>
    </row>
    <row r="2502" customFormat="false" ht="12.75" hidden="false" customHeight="false" outlineLevel="0" collapsed="false">
      <c r="A2502" s="1" t="n">
        <v>115</v>
      </c>
      <c r="B2502" s="1" t="n">
        <v>73</v>
      </c>
      <c r="C2502" s="1" t="n">
        <v>188</v>
      </c>
      <c r="D2502" s="1" t="s">
        <v>859</v>
      </c>
      <c r="E2502" s="1" t="n">
        <v>-33612.03</v>
      </c>
      <c r="F2502" s="1" t="n">
        <v>54.958</v>
      </c>
      <c r="G2502" s="1" t="n">
        <f aca="false">IF(ISNUMBER(E2502),E2502,VALUE(SUBSTITUTE(E2502,"#",".01")))</f>
        <v>-33612.03</v>
      </c>
    </row>
    <row r="2503" customFormat="false" ht="12.75" hidden="false" customHeight="false" outlineLevel="0" collapsed="false">
      <c r="A2503" s="1" t="n">
        <v>114</v>
      </c>
      <c r="B2503" s="1" t="n">
        <v>74</v>
      </c>
      <c r="C2503" s="1" t="n">
        <v>188</v>
      </c>
      <c r="D2503" s="1" t="s">
        <v>868</v>
      </c>
      <c r="E2503" s="1" t="n">
        <v>-38667.811</v>
      </c>
      <c r="F2503" s="1" t="n">
        <v>3.089</v>
      </c>
      <c r="G2503" s="1" t="n">
        <f aca="false">IF(ISNUMBER(E2503),E2503,VALUE(SUBSTITUTE(E2503,"#",".01")))</f>
        <v>-38667.811</v>
      </c>
    </row>
    <row r="2504" customFormat="false" ht="12.75" hidden="false" customHeight="false" outlineLevel="0" collapsed="false">
      <c r="A2504" s="1" t="n">
        <v>113</v>
      </c>
      <c r="B2504" s="1" t="n">
        <v>75</v>
      </c>
      <c r="C2504" s="1" t="n">
        <v>188</v>
      </c>
      <c r="D2504" s="1" t="s">
        <v>877</v>
      </c>
      <c r="E2504" s="1" t="n">
        <v>-39016.811</v>
      </c>
      <c r="F2504" s="1" t="n">
        <v>0.738</v>
      </c>
      <c r="G2504" s="1" t="n">
        <f aca="false">IF(ISNUMBER(E2504),E2504,VALUE(SUBSTITUTE(E2504,"#",".01")))</f>
        <v>-39016.811</v>
      </c>
    </row>
    <row r="2505" customFormat="false" ht="12.75" hidden="false" customHeight="false" outlineLevel="0" collapsed="false">
      <c r="A2505" s="1" t="n">
        <v>112</v>
      </c>
      <c r="B2505" s="1" t="n">
        <v>76</v>
      </c>
      <c r="C2505" s="1" t="n">
        <v>188</v>
      </c>
      <c r="D2505" s="1" t="s">
        <v>887</v>
      </c>
      <c r="E2505" s="1" t="n">
        <v>-41137.233</v>
      </c>
      <c r="F2505" s="1" t="n">
        <v>0.734</v>
      </c>
      <c r="G2505" s="1" t="n">
        <f aca="false">IF(ISNUMBER(E2505),E2505,VALUE(SUBSTITUTE(E2505,"#",".01")))</f>
        <v>-41137.233</v>
      </c>
    </row>
    <row r="2506" customFormat="false" ht="12.75" hidden="false" customHeight="false" outlineLevel="0" collapsed="false">
      <c r="A2506" s="1" t="n">
        <v>111</v>
      </c>
      <c r="B2506" s="1" t="n">
        <v>77</v>
      </c>
      <c r="C2506" s="1" t="n">
        <v>188</v>
      </c>
      <c r="D2506" s="1" t="s">
        <v>900</v>
      </c>
      <c r="E2506" s="1" t="n">
        <v>-38344.907</v>
      </c>
      <c r="F2506" s="1" t="n">
        <v>9.423</v>
      </c>
      <c r="G2506" s="1" t="n">
        <f aca="false">IF(ISNUMBER(E2506),E2506,VALUE(SUBSTITUTE(E2506,"#",".01")))</f>
        <v>-38344.907</v>
      </c>
    </row>
    <row r="2507" customFormat="false" ht="12.75" hidden="false" customHeight="false" outlineLevel="0" collapsed="false">
      <c r="A2507" s="1" t="n">
        <v>110</v>
      </c>
      <c r="B2507" s="1" t="n">
        <v>78</v>
      </c>
      <c r="C2507" s="1" t="n">
        <v>188</v>
      </c>
      <c r="D2507" s="1" t="s">
        <v>915</v>
      </c>
      <c r="E2507" s="1" t="n">
        <v>-37820.929</v>
      </c>
      <c r="F2507" s="1" t="n">
        <v>5.304</v>
      </c>
      <c r="G2507" s="1" t="n">
        <f aca="false">IF(ISNUMBER(E2507),E2507,VALUE(SUBSTITUTE(E2507,"#",".01")))</f>
        <v>-37820.929</v>
      </c>
    </row>
    <row r="2508" customFormat="false" ht="12.75" hidden="false" customHeight="false" outlineLevel="0" collapsed="false">
      <c r="A2508" s="1" t="n">
        <v>109</v>
      </c>
      <c r="B2508" s="1" t="n">
        <v>79</v>
      </c>
      <c r="C2508" s="1" t="n">
        <v>188</v>
      </c>
      <c r="D2508" s="1" t="s">
        <v>930</v>
      </c>
      <c r="E2508" s="1" t="n">
        <v>-32371.308</v>
      </c>
      <c r="F2508" s="1" t="n">
        <v>2.701</v>
      </c>
      <c r="G2508" s="1" t="n">
        <f aca="false">IF(ISNUMBER(E2508),E2508,VALUE(SUBSTITUTE(E2508,"#",".01")))</f>
        <v>-32371.308</v>
      </c>
    </row>
    <row r="2509" customFormat="false" ht="12.75" hidden="false" customHeight="false" outlineLevel="0" collapsed="false">
      <c r="A2509" s="1" t="n">
        <v>108</v>
      </c>
      <c r="B2509" s="1" t="n">
        <v>80</v>
      </c>
      <c r="C2509" s="1" t="n">
        <v>188</v>
      </c>
      <c r="D2509" s="1" t="s">
        <v>939</v>
      </c>
      <c r="E2509" s="1" t="n">
        <v>-30201.914</v>
      </c>
      <c r="F2509" s="1" t="n">
        <v>12.275</v>
      </c>
      <c r="G2509" s="1" t="n">
        <f aca="false">IF(ISNUMBER(E2509),E2509,VALUE(SUBSTITUTE(E2509,"#",".01")))</f>
        <v>-30201.914</v>
      </c>
    </row>
    <row r="2510" customFormat="false" ht="12.75" hidden="false" customHeight="false" outlineLevel="0" collapsed="false">
      <c r="A2510" s="1" t="n">
        <v>107</v>
      </c>
      <c r="B2510" s="1" t="n">
        <v>81</v>
      </c>
      <c r="C2510" s="1" t="n">
        <v>188</v>
      </c>
      <c r="D2510" s="1" t="s">
        <v>955</v>
      </c>
      <c r="E2510" s="1" t="n">
        <v>-22336.4</v>
      </c>
      <c r="F2510" s="1" t="n">
        <v>29.904</v>
      </c>
      <c r="G2510" s="1" t="n">
        <f aca="false">IF(ISNUMBER(E2510),E2510,VALUE(SUBSTITUTE(E2510,"#",".01")))</f>
        <v>-22336.4</v>
      </c>
    </row>
    <row r="2511" customFormat="false" ht="12.75" hidden="false" customHeight="false" outlineLevel="0" collapsed="false">
      <c r="A2511" s="1" t="n">
        <v>106</v>
      </c>
      <c r="B2511" s="1" t="n">
        <v>82</v>
      </c>
      <c r="C2511" s="1" t="n">
        <v>188</v>
      </c>
      <c r="D2511" s="1" t="s">
        <v>963</v>
      </c>
      <c r="E2511" s="1" t="n">
        <v>-17815.202</v>
      </c>
      <c r="F2511" s="1" t="n">
        <v>10.622</v>
      </c>
      <c r="G2511" s="1" t="n">
        <f aca="false">IF(ISNUMBER(E2511),E2511,VALUE(SUBSTITUTE(E2511,"#",".01")))</f>
        <v>-17815.202</v>
      </c>
    </row>
    <row r="2512" customFormat="false" ht="12.75" hidden="false" customHeight="false" outlineLevel="0" collapsed="false">
      <c r="A2512" s="1" t="n">
        <v>105</v>
      </c>
      <c r="B2512" s="1" t="n">
        <v>83</v>
      </c>
      <c r="C2512" s="1" t="n">
        <v>188</v>
      </c>
      <c r="D2512" s="1" t="s">
        <v>974</v>
      </c>
      <c r="E2512" s="1" t="n">
        <v>-7194.687</v>
      </c>
      <c r="F2512" s="1" t="n">
        <v>11.187</v>
      </c>
      <c r="G2512" s="1" t="n">
        <f aca="false">IF(ISNUMBER(E2512),E2512,VALUE(SUBSTITUTE(E2512,"#",".01")))</f>
        <v>-7194.687</v>
      </c>
    </row>
    <row r="2513" customFormat="false" ht="12.75" hidden="false" customHeight="false" outlineLevel="0" collapsed="false">
      <c r="A2513" s="1" t="n">
        <v>104</v>
      </c>
      <c r="B2513" s="1" t="n">
        <v>84</v>
      </c>
      <c r="C2513" s="1" t="n">
        <v>188</v>
      </c>
      <c r="D2513" s="1" t="s">
        <v>980</v>
      </c>
      <c r="E2513" s="1" t="n">
        <v>-544.313</v>
      </c>
      <c r="F2513" s="1" t="n">
        <v>19.973</v>
      </c>
      <c r="G2513" s="1" t="n">
        <f aca="false">IF(ISNUMBER(E2513),E2513,VALUE(SUBSTITUTE(E2513,"#",".01")))</f>
        <v>-544.313</v>
      </c>
    </row>
    <row r="2514" customFormat="false" ht="12.75" hidden="false" customHeight="false" outlineLevel="0" collapsed="false">
      <c r="A2514" s="1" t="n">
        <v>117</v>
      </c>
      <c r="B2514" s="1" t="n">
        <v>72</v>
      </c>
      <c r="C2514" s="1" t="n">
        <v>189</v>
      </c>
      <c r="D2514" s="1" t="s">
        <v>850</v>
      </c>
      <c r="E2514" s="1" t="s">
        <v>985</v>
      </c>
      <c r="F2514" s="1" t="s">
        <v>360</v>
      </c>
      <c r="G2514" s="1" t="n">
        <f aca="false">IF(ISNUMBER(E2514),E2514,VALUE(SUBSTITUTE(E2514,"#",".01")))</f>
        <v>-27162.01</v>
      </c>
    </row>
    <row r="2515" customFormat="false" ht="12.75" hidden="false" customHeight="false" outlineLevel="0" collapsed="false">
      <c r="A2515" s="1" t="n">
        <v>116</v>
      </c>
      <c r="B2515" s="1" t="n">
        <v>73</v>
      </c>
      <c r="C2515" s="1" t="n">
        <v>189</v>
      </c>
      <c r="D2515" s="1" t="s">
        <v>859</v>
      </c>
      <c r="E2515" s="1" t="s">
        <v>986</v>
      </c>
      <c r="F2515" s="1" t="s">
        <v>333</v>
      </c>
      <c r="G2515" s="1" t="n">
        <f aca="false">IF(ISNUMBER(E2515),E2515,VALUE(SUBSTITUTE(E2515,"#",".01")))</f>
        <v>-31829.01</v>
      </c>
    </row>
    <row r="2516" customFormat="false" ht="12.75" hidden="false" customHeight="false" outlineLevel="0" collapsed="false">
      <c r="A2516" s="1" t="n">
        <v>115</v>
      </c>
      <c r="B2516" s="1" t="n">
        <v>74</v>
      </c>
      <c r="C2516" s="1" t="n">
        <v>189</v>
      </c>
      <c r="D2516" s="1" t="s">
        <v>868</v>
      </c>
      <c r="E2516" s="1" t="n">
        <v>-35617.536</v>
      </c>
      <c r="F2516" s="1" t="n">
        <v>40.054</v>
      </c>
      <c r="G2516" s="1" t="n">
        <f aca="false">IF(ISNUMBER(E2516),E2516,VALUE(SUBSTITUTE(E2516,"#",".01")))</f>
        <v>-35617.536</v>
      </c>
    </row>
    <row r="2517" customFormat="false" ht="12.75" hidden="false" customHeight="false" outlineLevel="0" collapsed="false">
      <c r="A2517" s="1" t="n">
        <v>114</v>
      </c>
      <c r="B2517" s="1" t="n">
        <v>75</v>
      </c>
      <c r="C2517" s="1" t="n">
        <v>189</v>
      </c>
      <c r="D2517" s="1" t="s">
        <v>877</v>
      </c>
      <c r="E2517" s="1" t="n">
        <v>-37979.043</v>
      </c>
      <c r="F2517" s="1" t="n">
        <v>8.191</v>
      </c>
      <c r="G2517" s="1" t="n">
        <f aca="false">IF(ISNUMBER(E2517),E2517,VALUE(SUBSTITUTE(E2517,"#",".01")))</f>
        <v>-37979.043</v>
      </c>
    </row>
    <row r="2518" customFormat="false" ht="12.75" hidden="false" customHeight="false" outlineLevel="0" collapsed="false">
      <c r="A2518" s="1" t="n">
        <v>113</v>
      </c>
      <c r="B2518" s="1" t="n">
        <v>76</v>
      </c>
      <c r="C2518" s="1" t="n">
        <v>189</v>
      </c>
      <c r="D2518" s="1" t="s">
        <v>887</v>
      </c>
      <c r="E2518" s="1" t="n">
        <v>-38986.745</v>
      </c>
      <c r="F2518" s="1" t="n">
        <v>0.666</v>
      </c>
      <c r="G2518" s="1" t="n">
        <f aca="false">IF(ISNUMBER(E2518),E2518,VALUE(SUBSTITUTE(E2518,"#",".01")))</f>
        <v>-38986.745</v>
      </c>
    </row>
    <row r="2519" customFormat="false" ht="12.75" hidden="false" customHeight="false" outlineLevel="0" collapsed="false">
      <c r="A2519" s="1" t="n">
        <v>112</v>
      </c>
      <c r="B2519" s="1" t="n">
        <v>77</v>
      </c>
      <c r="C2519" s="1" t="n">
        <v>189</v>
      </c>
      <c r="D2519" s="1" t="s">
        <v>900</v>
      </c>
      <c r="E2519" s="1" t="n">
        <v>-38449.586</v>
      </c>
      <c r="F2519" s="1" t="n">
        <v>12.576</v>
      </c>
      <c r="G2519" s="1" t="n">
        <f aca="false">IF(ISNUMBER(E2519),E2519,VALUE(SUBSTITUTE(E2519,"#",".01")))</f>
        <v>-38449.586</v>
      </c>
    </row>
    <row r="2520" customFormat="false" ht="12.75" hidden="false" customHeight="false" outlineLevel="0" collapsed="false">
      <c r="A2520" s="1" t="n">
        <v>111</v>
      </c>
      <c r="B2520" s="1" t="n">
        <v>78</v>
      </c>
      <c r="C2520" s="1" t="n">
        <v>189</v>
      </c>
      <c r="D2520" s="1" t="s">
        <v>915</v>
      </c>
      <c r="E2520" s="1" t="n">
        <v>-36469.348</v>
      </c>
      <c r="F2520" s="1" t="n">
        <v>10.09</v>
      </c>
      <c r="G2520" s="1" t="n">
        <f aca="false">IF(ISNUMBER(E2520),E2520,VALUE(SUBSTITUTE(E2520,"#",".01")))</f>
        <v>-36469.348</v>
      </c>
    </row>
    <row r="2521" customFormat="false" ht="12.75" hidden="false" customHeight="false" outlineLevel="0" collapsed="false">
      <c r="A2521" s="1" t="n">
        <v>110</v>
      </c>
      <c r="B2521" s="1" t="n">
        <v>79</v>
      </c>
      <c r="C2521" s="1" t="n">
        <v>189</v>
      </c>
      <c r="D2521" s="1" t="s">
        <v>930</v>
      </c>
      <c r="E2521" s="1" t="n">
        <v>-33581.955</v>
      </c>
      <c r="F2521" s="1" t="n">
        <v>20.081</v>
      </c>
      <c r="G2521" s="1" t="n">
        <f aca="false">IF(ISNUMBER(E2521),E2521,VALUE(SUBSTITUTE(E2521,"#",".01")))</f>
        <v>-33581.955</v>
      </c>
    </row>
    <row r="2522" customFormat="false" ht="12.75" hidden="false" customHeight="false" outlineLevel="0" collapsed="false">
      <c r="A2522" s="1" t="n">
        <v>109</v>
      </c>
      <c r="B2522" s="1" t="n">
        <v>80</v>
      </c>
      <c r="C2522" s="1" t="n">
        <v>189</v>
      </c>
      <c r="D2522" s="1" t="s">
        <v>939</v>
      </c>
      <c r="E2522" s="1" t="n">
        <v>-29626.401</v>
      </c>
      <c r="F2522" s="1" t="n">
        <v>31.553</v>
      </c>
      <c r="G2522" s="1" t="n">
        <f aca="false">IF(ISNUMBER(E2522),E2522,VALUE(SUBSTITUTE(E2522,"#",".01")))</f>
        <v>-29626.401</v>
      </c>
    </row>
    <row r="2523" customFormat="false" ht="12.75" hidden="false" customHeight="false" outlineLevel="0" collapsed="false">
      <c r="A2523" s="1" t="n">
        <v>108</v>
      </c>
      <c r="B2523" s="1" t="n">
        <v>81</v>
      </c>
      <c r="C2523" s="1" t="n">
        <v>189</v>
      </c>
      <c r="D2523" s="1" t="s">
        <v>955</v>
      </c>
      <c r="E2523" s="1" t="n">
        <v>-24616.1</v>
      </c>
      <c r="F2523" s="1" t="n">
        <v>8.368</v>
      </c>
      <c r="G2523" s="1" t="n">
        <f aca="false">IF(ISNUMBER(E2523),E2523,VALUE(SUBSTITUTE(E2523,"#",".01")))</f>
        <v>-24616.1</v>
      </c>
    </row>
    <row r="2524" customFormat="false" ht="12.75" hidden="false" customHeight="false" outlineLevel="0" collapsed="false">
      <c r="A2524" s="1" t="n">
        <v>107</v>
      </c>
      <c r="B2524" s="1" t="n">
        <v>82</v>
      </c>
      <c r="C2524" s="1" t="n">
        <v>189</v>
      </c>
      <c r="D2524" s="1" t="s">
        <v>963</v>
      </c>
      <c r="E2524" s="1" t="n">
        <v>-17844.035</v>
      </c>
      <c r="F2524" s="1" t="n">
        <v>14.062</v>
      </c>
      <c r="G2524" s="1" t="n">
        <f aca="false">IF(ISNUMBER(E2524),E2524,VALUE(SUBSTITUTE(E2524,"#",".01")))</f>
        <v>-17844.035</v>
      </c>
    </row>
    <row r="2525" customFormat="false" ht="12.75" hidden="false" customHeight="false" outlineLevel="0" collapsed="false">
      <c r="A2525" s="1" t="n">
        <v>106</v>
      </c>
      <c r="B2525" s="1" t="n">
        <v>83</v>
      </c>
      <c r="C2525" s="1" t="n">
        <v>189</v>
      </c>
      <c r="D2525" s="1" t="s">
        <v>974</v>
      </c>
      <c r="E2525" s="1" t="n">
        <v>-10064.66</v>
      </c>
      <c r="F2525" s="1" t="n">
        <v>20.851</v>
      </c>
      <c r="G2525" s="1" t="n">
        <f aca="false">IF(ISNUMBER(E2525),E2525,VALUE(SUBSTITUTE(E2525,"#",".01")))</f>
        <v>-10064.66</v>
      </c>
    </row>
    <row r="2526" customFormat="false" ht="12.75" hidden="false" customHeight="false" outlineLevel="0" collapsed="false">
      <c r="A2526" s="1" t="n">
        <v>105</v>
      </c>
      <c r="B2526" s="1" t="n">
        <v>84</v>
      </c>
      <c r="C2526" s="1" t="n">
        <v>189</v>
      </c>
      <c r="D2526" s="1" t="s">
        <v>980</v>
      </c>
      <c r="E2526" s="1" t="n">
        <v>-1422.005</v>
      </c>
      <c r="F2526" s="1" t="n">
        <v>22.059</v>
      </c>
      <c r="G2526" s="1" t="n">
        <f aca="false">IF(ISNUMBER(E2526),E2526,VALUE(SUBSTITUTE(E2526,"#",".01")))</f>
        <v>-1422.005</v>
      </c>
    </row>
    <row r="2527" customFormat="false" ht="12.75" hidden="false" customHeight="false" outlineLevel="0" collapsed="false">
      <c r="A2527" s="1" t="n">
        <v>118</v>
      </c>
      <c r="B2527" s="1" t="n">
        <v>72</v>
      </c>
      <c r="C2527" s="1" t="n">
        <v>190</v>
      </c>
      <c r="D2527" s="1" t="s">
        <v>850</v>
      </c>
      <c r="E2527" s="1" t="s">
        <v>987</v>
      </c>
      <c r="F2527" s="1" t="s">
        <v>320</v>
      </c>
      <c r="G2527" s="1" t="n">
        <f aca="false">IF(ISNUMBER(E2527),E2527,VALUE(SUBSTITUTE(E2527,"#",".01")))</f>
        <v>-25030.01</v>
      </c>
    </row>
    <row r="2528" customFormat="false" ht="12.75" hidden="false" customHeight="false" outlineLevel="0" collapsed="false">
      <c r="A2528" s="1" t="n">
        <v>117</v>
      </c>
      <c r="B2528" s="1" t="n">
        <v>73</v>
      </c>
      <c r="C2528" s="1" t="n">
        <v>190</v>
      </c>
      <c r="D2528" s="1" t="s">
        <v>859</v>
      </c>
      <c r="E2528" s="1" t="s">
        <v>988</v>
      </c>
      <c r="F2528" s="1" t="s">
        <v>333</v>
      </c>
      <c r="G2528" s="1" t="n">
        <f aca="false">IF(ISNUMBER(E2528),E2528,VALUE(SUBSTITUTE(E2528,"#",".01")))</f>
        <v>-28513.01</v>
      </c>
    </row>
    <row r="2529" customFormat="false" ht="12.75" hidden="false" customHeight="false" outlineLevel="0" collapsed="false">
      <c r="A2529" s="1" t="n">
        <v>116</v>
      </c>
      <c r="B2529" s="1" t="n">
        <v>74</v>
      </c>
      <c r="C2529" s="1" t="n">
        <v>190</v>
      </c>
      <c r="D2529" s="1" t="s">
        <v>868</v>
      </c>
      <c r="E2529" s="1" t="n">
        <v>-34382.313</v>
      </c>
      <c r="F2529" s="1" t="n">
        <v>39.726</v>
      </c>
      <c r="G2529" s="1" t="n">
        <f aca="false">IF(ISNUMBER(E2529),E2529,VALUE(SUBSTITUTE(E2529,"#",".01")))</f>
        <v>-34382.313</v>
      </c>
    </row>
    <row r="2530" customFormat="false" ht="12.75" hidden="false" customHeight="false" outlineLevel="0" collapsed="false">
      <c r="A2530" s="1" t="n">
        <v>115</v>
      </c>
      <c r="B2530" s="1" t="n">
        <v>75</v>
      </c>
      <c r="C2530" s="1" t="n">
        <v>190</v>
      </c>
      <c r="D2530" s="1" t="s">
        <v>877</v>
      </c>
      <c r="E2530" s="1" t="n">
        <v>-35635.83</v>
      </c>
      <c r="F2530" s="1" t="n">
        <v>70.852</v>
      </c>
      <c r="G2530" s="1" t="n">
        <f aca="false">IF(ISNUMBER(E2530),E2530,VALUE(SUBSTITUTE(E2530,"#",".01")))</f>
        <v>-35635.83</v>
      </c>
    </row>
    <row r="2531" customFormat="false" ht="12.75" hidden="false" customHeight="false" outlineLevel="0" collapsed="false">
      <c r="A2531" s="1" t="n">
        <v>114</v>
      </c>
      <c r="B2531" s="1" t="n">
        <v>76</v>
      </c>
      <c r="C2531" s="1" t="n">
        <v>190</v>
      </c>
      <c r="D2531" s="1" t="s">
        <v>887</v>
      </c>
      <c r="E2531" s="1" t="n">
        <v>-38707.771</v>
      </c>
      <c r="F2531" s="1" t="n">
        <v>0.65</v>
      </c>
      <c r="G2531" s="1" t="n">
        <f aca="false">IF(ISNUMBER(E2531),E2531,VALUE(SUBSTITUTE(E2531,"#",".01")))</f>
        <v>-38707.771</v>
      </c>
    </row>
    <row r="2532" customFormat="false" ht="12.75" hidden="false" customHeight="false" outlineLevel="0" collapsed="false">
      <c r="A2532" s="1" t="n">
        <v>113</v>
      </c>
      <c r="B2532" s="1" t="n">
        <v>77</v>
      </c>
      <c r="C2532" s="1" t="n">
        <v>190</v>
      </c>
      <c r="D2532" s="1" t="s">
        <v>900</v>
      </c>
      <c r="E2532" s="1" t="n">
        <v>-36753.544</v>
      </c>
      <c r="F2532" s="1" t="n">
        <v>1.37</v>
      </c>
      <c r="G2532" s="1" t="n">
        <f aca="false">IF(ISNUMBER(E2532),E2532,VALUE(SUBSTITUTE(E2532,"#",".01")))</f>
        <v>-36753.544</v>
      </c>
    </row>
    <row r="2533" customFormat="false" ht="12.75" hidden="false" customHeight="false" outlineLevel="0" collapsed="false">
      <c r="A2533" s="1" t="n">
        <v>112</v>
      </c>
      <c r="B2533" s="1" t="n">
        <v>78</v>
      </c>
      <c r="C2533" s="1" t="n">
        <v>190</v>
      </c>
      <c r="D2533" s="1" t="s">
        <v>915</v>
      </c>
      <c r="E2533" s="1" t="n">
        <v>-37306.45</v>
      </c>
      <c r="F2533" s="1" t="n">
        <v>0.657</v>
      </c>
      <c r="G2533" s="1" t="n">
        <f aca="false">IF(ISNUMBER(E2533),E2533,VALUE(SUBSTITUTE(E2533,"#",".01")))</f>
        <v>-37306.45</v>
      </c>
    </row>
    <row r="2534" customFormat="false" ht="12.75" hidden="false" customHeight="false" outlineLevel="0" collapsed="false">
      <c r="A2534" s="1" t="n">
        <v>111</v>
      </c>
      <c r="B2534" s="1" t="n">
        <v>79</v>
      </c>
      <c r="C2534" s="1" t="n">
        <v>190</v>
      </c>
      <c r="D2534" s="1" t="s">
        <v>930</v>
      </c>
      <c r="E2534" s="1" t="n">
        <v>-32833.533</v>
      </c>
      <c r="F2534" s="1" t="n">
        <v>3.447</v>
      </c>
      <c r="G2534" s="1" t="n">
        <f aca="false">IF(ISNUMBER(E2534),E2534,VALUE(SUBSTITUTE(E2534,"#",".01")))</f>
        <v>-32833.533</v>
      </c>
    </row>
    <row r="2535" customFormat="false" ht="12.75" hidden="false" customHeight="false" outlineLevel="0" collapsed="false">
      <c r="A2535" s="1" t="n">
        <v>110</v>
      </c>
      <c r="B2535" s="1" t="n">
        <v>80</v>
      </c>
      <c r="C2535" s="1" t="n">
        <v>190</v>
      </c>
      <c r="D2535" s="1" t="s">
        <v>939</v>
      </c>
      <c r="E2535" s="1" t="n">
        <v>-31370.697</v>
      </c>
      <c r="F2535" s="1" t="n">
        <v>15.907</v>
      </c>
      <c r="G2535" s="1" t="n">
        <f aca="false">IF(ISNUMBER(E2535),E2535,VALUE(SUBSTITUTE(E2535,"#",".01")))</f>
        <v>-31370.697</v>
      </c>
    </row>
    <row r="2536" customFormat="false" ht="12.75" hidden="false" customHeight="false" outlineLevel="0" collapsed="false">
      <c r="A2536" s="1" t="n">
        <v>109</v>
      </c>
      <c r="B2536" s="1" t="n">
        <v>81</v>
      </c>
      <c r="C2536" s="1" t="n">
        <v>190</v>
      </c>
      <c r="D2536" s="1" t="s">
        <v>955</v>
      </c>
      <c r="E2536" s="1" t="n">
        <v>-24372.027</v>
      </c>
      <c r="F2536" s="1" t="n">
        <v>7.948</v>
      </c>
      <c r="G2536" s="1" t="n">
        <f aca="false">IF(ISNUMBER(E2536),E2536,VALUE(SUBSTITUTE(E2536,"#",".01")))</f>
        <v>-24372.027</v>
      </c>
    </row>
    <row r="2537" customFormat="false" ht="12.75" hidden="false" customHeight="false" outlineLevel="0" collapsed="false">
      <c r="A2537" s="1" t="n">
        <v>108</v>
      </c>
      <c r="B2537" s="1" t="n">
        <v>82</v>
      </c>
      <c r="C2537" s="1" t="n">
        <v>190</v>
      </c>
      <c r="D2537" s="1" t="s">
        <v>963</v>
      </c>
      <c r="E2537" s="1" t="n">
        <v>-20416.645</v>
      </c>
      <c r="F2537" s="1" t="n">
        <v>12.514</v>
      </c>
      <c r="G2537" s="1" t="n">
        <f aca="false">IF(ISNUMBER(E2537),E2537,VALUE(SUBSTITUTE(E2537,"#",".01")))</f>
        <v>-20416.645</v>
      </c>
    </row>
    <row r="2538" customFormat="false" ht="12.75" hidden="false" customHeight="false" outlineLevel="0" collapsed="false">
      <c r="A2538" s="1" t="n">
        <v>107</v>
      </c>
      <c r="B2538" s="1" t="n">
        <v>83</v>
      </c>
      <c r="C2538" s="1" t="n">
        <v>190</v>
      </c>
      <c r="D2538" s="1" t="s">
        <v>974</v>
      </c>
      <c r="E2538" s="1" t="n">
        <v>-10599.579</v>
      </c>
      <c r="F2538" s="1" t="n">
        <v>22.562</v>
      </c>
      <c r="G2538" s="1" t="n">
        <f aca="false">IF(ISNUMBER(E2538),E2538,VALUE(SUBSTITUTE(E2538,"#",".01")))</f>
        <v>-10599.579</v>
      </c>
    </row>
    <row r="2539" customFormat="false" ht="12.75" hidden="false" customHeight="false" outlineLevel="0" collapsed="false">
      <c r="A2539" s="1" t="n">
        <v>106</v>
      </c>
      <c r="B2539" s="1" t="n">
        <v>84</v>
      </c>
      <c r="C2539" s="1" t="n">
        <v>190</v>
      </c>
      <c r="D2539" s="1" t="s">
        <v>980</v>
      </c>
      <c r="E2539" s="1" t="n">
        <v>-4563.837</v>
      </c>
      <c r="F2539" s="1" t="n">
        <v>13.465</v>
      </c>
      <c r="G2539" s="1" t="n">
        <f aca="false">IF(ISNUMBER(E2539),E2539,VALUE(SUBSTITUTE(E2539,"#",".01")))</f>
        <v>-4563.837</v>
      </c>
    </row>
    <row r="2540" customFormat="false" ht="12.75" hidden="false" customHeight="false" outlineLevel="0" collapsed="false">
      <c r="A2540" s="1" t="n">
        <v>118</v>
      </c>
      <c r="B2540" s="1" t="n">
        <v>73</v>
      </c>
      <c r="C2540" s="1" t="n">
        <v>191</v>
      </c>
      <c r="D2540" s="1" t="s">
        <v>859</v>
      </c>
      <c r="E2540" s="1" t="s">
        <v>989</v>
      </c>
      <c r="F2540" s="1" t="s">
        <v>360</v>
      </c>
      <c r="G2540" s="1" t="n">
        <f aca="false">IF(ISNUMBER(E2540),E2540,VALUE(SUBSTITUTE(E2540,"#",".01")))</f>
        <v>-26492.01</v>
      </c>
    </row>
    <row r="2541" customFormat="false" ht="12.75" hidden="false" customHeight="false" outlineLevel="0" collapsed="false">
      <c r="A2541" s="1" t="n">
        <v>117</v>
      </c>
      <c r="B2541" s="1" t="n">
        <v>74</v>
      </c>
      <c r="C2541" s="1" t="n">
        <v>191</v>
      </c>
      <c r="D2541" s="1" t="s">
        <v>868</v>
      </c>
      <c r="E2541" s="1" t="n">
        <v>-31176.173</v>
      </c>
      <c r="F2541" s="1" t="n">
        <v>41.917</v>
      </c>
      <c r="G2541" s="1" t="n">
        <f aca="false">IF(ISNUMBER(E2541),E2541,VALUE(SUBSTITUTE(E2541,"#",".01")))</f>
        <v>-31176.173</v>
      </c>
    </row>
    <row r="2542" customFormat="false" ht="12.75" hidden="false" customHeight="false" outlineLevel="0" collapsed="false">
      <c r="A2542" s="1" t="n">
        <v>116</v>
      </c>
      <c r="B2542" s="1" t="n">
        <v>75</v>
      </c>
      <c r="C2542" s="1" t="n">
        <v>191</v>
      </c>
      <c r="D2542" s="1" t="s">
        <v>877</v>
      </c>
      <c r="E2542" s="1" t="n">
        <v>-34350.296</v>
      </c>
      <c r="F2542" s="1" t="n">
        <v>10.265</v>
      </c>
      <c r="G2542" s="1" t="n">
        <f aca="false">IF(ISNUMBER(E2542),E2542,VALUE(SUBSTITUTE(E2542,"#",".01")))</f>
        <v>-34350.296</v>
      </c>
    </row>
    <row r="2543" customFormat="false" ht="12.75" hidden="false" customHeight="false" outlineLevel="0" collapsed="false">
      <c r="A2543" s="1" t="n">
        <v>115</v>
      </c>
      <c r="B2543" s="1" t="n">
        <v>76</v>
      </c>
      <c r="C2543" s="1" t="n">
        <v>191</v>
      </c>
      <c r="D2543" s="1" t="s">
        <v>887</v>
      </c>
      <c r="E2543" s="1" t="n">
        <v>-36395.185</v>
      </c>
      <c r="F2543" s="1" t="n">
        <v>0.659</v>
      </c>
      <c r="G2543" s="1" t="n">
        <f aca="false">IF(ISNUMBER(E2543),E2543,VALUE(SUBSTITUTE(E2543,"#",".01")))</f>
        <v>-36395.185</v>
      </c>
    </row>
    <row r="2544" customFormat="false" ht="12.75" hidden="false" customHeight="false" outlineLevel="0" collapsed="false">
      <c r="A2544" s="1" t="n">
        <v>114</v>
      </c>
      <c r="B2544" s="1" t="n">
        <v>77</v>
      </c>
      <c r="C2544" s="1" t="n">
        <v>191</v>
      </c>
      <c r="D2544" s="1" t="s">
        <v>900</v>
      </c>
      <c r="E2544" s="1" t="n">
        <v>-36708.756</v>
      </c>
      <c r="F2544" s="1" t="n">
        <v>1.311</v>
      </c>
      <c r="G2544" s="1" t="n">
        <f aca="false">IF(ISNUMBER(E2544),E2544,VALUE(SUBSTITUTE(E2544,"#",".01")))</f>
        <v>-36708.756</v>
      </c>
    </row>
    <row r="2545" customFormat="false" ht="12.75" hidden="false" customHeight="false" outlineLevel="0" collapsed="false">
      <c r="A2545" s="1" t="n">
        <v>113</v>
      </c>
      <c r="B2545" s="1" t="n">
        <v>78</v>
      </c>
      <c r="C2545" s="1" t="n">
        <v>191</v>
      </c>
      <c r="D2545" s="1" t="s">
        <v>915</v>
      </c>
      <c r="E2545" s="1" t="n">
        <v>-35698.237</v>
      </c>
      <c r="F2545" s="1" t="n">
        <v>4.127</v>
      </c>
      <c r="G2545" s="1" t="n">
        <f aca="false">IF(ISNUMBER(E2545),E2545,VALUE(SUBSTITUTE(E2545,"#",".01")))</f>
        <v>-35698.237</v>
      </c>
    </row>
    <row r="2546" customFormat="false" ht="12.75" hidden="false" customHeight="false" outlineLevel="0" collapsed="false">
      <c r="A2546" s="1" t="n">
        <v>112</v>
      </c>
      <c r="B2546" s="1" t="n">
        <v>79</v>
      </c>
      <c r="C2546" s="1" t="n">
        <v>191</v>
      </c>
      <c r="D2546" s="1" t="s">
        <v>930</v>
      </c>
      <c r="E2546" s="1" t="n">
        <v>-33797.904</v>
      </c>
      <c r="F2546" s="1" t="n">
        <v>4.926</v>
      </c>
      <c r="G2546" s="1" t="n">
        <f aca="false">IF(ISNUMBER(E2546),E2546,VALUE(SUBSTITUTE(E2546,"#",".01")))</f>
        <v>-33797.904</v>
      </c>
    </row>
    <row r="2547" customFormat="false" ht="12.75" hidden="false" customHeight="false" outlineLevel="0" collapsed="false">
      <c r="A2547" s="1" t="n">
        <v>111</v>
      </c>
      <c r="B2547" s="1" t="n">
        <v>80</v>
      </c>
      <c r="C2547" s="1" t="n">
        <v>191</v>
      </c>
      <c r="D2547" s="1" t="s">
        <v>939</v>
      </c>
      <c r="E2547" s="1" t="n">
        <v>-30591.896</v>
      </c>
      <c r="F2547" s="1" t="n">
        <v>22.28</v>
      </c>
      <c r="G2547" s="1" t="n">
        <f aca="false">IF(ISNUMBER(E2547),E2547,VALUE(SUBSTITUTE(E2547,"#",".01")))</f>
        <v>-30591.896</v>
      </c>
    </row>
    <row r="2548" customFormat="false" ht="12.75" hidden="false" customHeight="false" outlineLevel="0" collapsed="false">
      <c r="A2548" s="1" t="n">
        <v>110</v>
      </c>
      <c r="B2548" s="1" t="n">
        <v>81</v>
      </c>
      <c r="C2548" s="1" t="n">
        <v>191</v>
      </c>
      <c r="D2548" s="1" t="s">
        <v>955</v>
      </c>
      <c r="E2548" s="1" t="n">
        <v>-26282.945</v>
      </c>
      <c r="F2548" s="1" t="n">
        <v>7.349</v>
      </c>
      <c r="G2548" s="1" t="n">
        <f aca="false">IF(ISNUMBER(E2548),E2548,VALUE(SUBSTITUTE(E2548,"#",".01")))</f>
        <v>-26282.945</v>
      </c>
    </row>
    <row r="2549" customFormat="false" ht="12.75" hidden="false" customHeight="false" outlineLevel="0" collapsed="false">
      <c r="A2549" s="1" t="n">
        <v>109</v>
      </c>
      <c r="B2549" s="1" t="n">
        <v>82</v>
      </c>
      <c r="C2549" s="1" t="n">
        <v>191</v>
      </c>
      <c r="D2549" s="1" t="s">
        <v>963</v>
      </c>
      <c r="E2549" s="1" t="n">
        <v>-20231.118</v>
      </c>
      <c r="F2549" s="1" t="n">
        <v>37.26</v>
      </c>
      <c r="G2549" s="1" t="n">
        <f aca="false">IF(ISNUMBER(E2549),E2549,VALUE(SUBSTITUTE(E2549,"#",".01")))</f>
        <v>-20231.118</v>
      </c>
    </row>
    <row r="2550" customFormat="false" ht="12.75" hidden="false" customHeight="false" outlineLevel="0" collapsed="false">
      <c r="A2550" s="1" t="n">
        <v>108</v>
      </c>
      <c r="B2550" s="1" t="n">
        <v>83</v>
      </c>
      <c r="C2550" s="1" t="n">
        <v>191</v>
      </c>
      <c r="D2550" s="1" t="s">
        <v>974</v>
      </c>
      <c r="E2550" s="1" t="n">
        <v>-13239.347</v>
      </c>
      <c r="F2550" s="1" t="n">
        <v>7.487</v>
      </c>
      <c r="G2550" s="1" t="n">
        <f aca="false">IF(ISNUMBER(E2550),E2550,VALUE(SUBSTITUTE(E2550,"#",".01")))</f>
        <v>-13239.347</v>
      </c>
    </row>
    <row r="2551" customFormat="false" ht="12.75" hidden="false" customHeight="false" outlineLevel="0" collapsed="false">
      <c r="A2551" s="1" t="n">
        <v>107</v>
      </c>
      <c r="B2551" s="1" t="n">
        <v>84</v>
      </c>
      <c r="C2551" s="1" t="n">
        <v>191</v>
      </c>
      <c r="D2551" s="1" t="s">
        <v>980</v>
      </c>
      <c r="E2551" s="1" t="n">
        <v>-5068.735</v>
      </c>
      <c r="F2551" s="1" t="n">
        <v>7.103</v>
      </c>
      <c r="G2551" s="1" t="n">
        <f aca="false">IF(ISNUMBER(E2551),E2551,VALUE(SUBSTITUTE(E2551,"#",".01")))</f>
        <v>-5068.735</v>
      </c>
    </row>
    <row r="2552" customFormat="false" ht="12.75" hidden="false" customHeight="false" outlineLevel="0" collapsed="false">
      <c r="A2552" s="1" t="n">
        <v>106</v>
      </c>
      <c r="B2552" s="1" t="n">
        <v>85</v>
      </c>
      <c r="C2552" s="1" t="n">
        <v>191</v>
      </c>
      <c r="D2552" s="1" t="s">
        <v>990</v>
      </c>
      <c r="E2552" s="1" t="n">
        <v>3863.917</v>
      </c>
      <c r="F2552" s="1" t="n">
        <v>16.103</v>
      </c>
      <c r="G2552" s="1" t="n">
        <f aca="false">IF(ISNUMBER(E2552),E2552,VALUE(SUBSTITUTE(E2552,"#",".01")))</f>
        <v>3863.917</v>
      </c>
    </row>
    <row r="2553" customFormat="false" ht="12.75" hidden="false" customHeight="false" outlineLevel="0" collapsed="false">
      <c r="A2553" s="1" t="n">
        <v>119</v>
      </c>
      <c r="B2553" s="1" t="n">
        <v>73</v>
      </c>
      <c r="C2553" s="1" t="n">
        <v>192</v>
      </c>
      <c r="D2553" s="1" t="s">
        <v>859</v>
      </c>
      <c r="E2553" s="1" t="s">
        <v>991</v>
      </c>
      <c r="F2553" s="1" t="s">
        <v>320</v>
      </c>
      <c r="G2553" s="1" t="n">
        <f aca="false">IF(ISNUMBER(E2553),E2553,VALUE(SUBSTITUTE(E2553,"#",".01")))</f>
        <v>-23064.01</v>
      </c>
    </row>
    <row r="2554" customFormat="false" ht="12.75" hidden="false" customHeight="false" outlineLevel="0" collapsed="false">
      <c r="A2554" s="1" t="n">
        <v>118</v>
      </c>
      <c r="B2554" s="1" t="n">
        <v>74</v>
      </c>
      <c r="C2554" s="1" t="n">
        <v>192</v>
      </c>
      <c r="D2554" s="1" t="s">
        <v>868</v>
      </c>
      <c r="E2554" s="1" t="s">
        <v>535</v>
      </c>
      <c r="F2554" s="1" t="s">
        <v>333</v>
      </c>
      <c r="G2554" s="1" t="n">
        <f aca="false">IF(ISNUMBER(E2554),E2554,VALUE(SUBSTITUTE(E2554,"#",".01")))</f>
        <v>-29649.01</v>
      </c>
    </row>
    <row r="2555" customFormat="false" ht="12.75" hidden="false" customHeight="false" outlineLevel="0" collapsed="false">
      <c r="A2555" s="1" t="n">
        <v>117</v>
      </c>
      <c r="B2555" s="1" t="n">
        <v>75</v>
      </c>
      <c r="C2555" s="1" t="n">
        <v>192</v>
      </c>
      <c r="D2555" s="1" t="s">
        <v>877</v>
      </c>
      <c r="E2555" s="1" t="n">
        <v>-31588.825</v>
      </c>
      <c r="F2555" s="1" t="n">
        <v>70.794</v>
      </c>
      <c r="G2555" s="1" t="n">
        <f aca="false">IF(ISNUMBER(E2555),E2555,VALUE(SUBSTITUTE(E2555,"#",".01")))</f>
        <v>-31588.825</v>
      </c>
    </row>
    <row r="2556" customFormat="false" ht="12.75" hidden="false" customHeight="false" outlineLevel="0" collapsed="false">
      <c r="A2556" s="1" t="n">
        <v>116</v>
      </c>
      <c r="B2556" s="1" t="n">
        <v>76</v>
      </c>
      <c r="C2556" s="1" t="n">
        <v>192</v>
      </c>
      <c r="D2556" s="1" t="s">
        <v>887</v>
      </c>
      <c r="E2556" s="1" t="n">
        <v>-35882.191</v>
      </c>
      <c r="F2556" s="1" t="n">
        <v>2.315</v>
      </c>
      <c r="G2556" s="1" t="n">
        <f aca="false">IF(ISNUMBER(E2556),E2556,VALUE(SUBSTITUTE(E2556,"#",".01")))</f>
        <v>-35882.191</v>
      </c>
    </row>
    <row r="2557" customFormat="false" ht="12.75" hidden="false" customHeight="false" outlineLevel="0" collapsed="false">
      <c r="A2557" s="1" t="n">
        <v>115</v>
      </c>
      <c r="B2557" s="1" t="n">
        <v>77</v>
      </c>
      <c r="C2557" s="1" t="n">
        <v>192</v>
      </c>
      <c r="D2557" s="1" t="s">
        <v>900</v>
      </c>
      <c r="E2557" s="1" t="n">
        <v>-34835.561</v>
      </c>
      <c r="F2557" s="1" t="n">
        <v>1.314</v>
      </c>
      <c r="G2557" s="1" t="n">
        <f aca="false">IF(ISNUMBER(E2557),E2557,VALUE(SUBSTITUTE(E2557,"#",".01")))</f>
        <v>-34835.561</v>
      </c>
    </row>
    <row r="2558" customFormat="false" ht="12.75" hidden="false" customHeight="false" outlineLevel="0" collapsed="false">
      <c r="A2558" s="1" t="n">
        <v>114</v>
      </c>
      <c r="B2558" s="1" t="n">
        <v>78</v>
      </c>
      <c r="C2558" s="1" t="n">
        <v>192</v>
      </c>
      <c r="D2558" s="1" t="s">
        <v>915</v>
      </c>
      <c r="E2558" s="1" t="n">
        <v>-36288.457</v>
      </c>
      <c r="F2558" s="1" t="n">
        <v>2.57</v>
      </c>
      <c r="G2558" s="1" t="n">
        <f aca="false">IF(ISNUMBER(E2558),E2558,VALUE(SUBSTITUTE(E2558,"#",".01")))</f>
        <v>-36288.457</v>
      </c>
    </row>
    <row r="2559" customFormat="false" ht="12.75" hidden="false" customHeight="false" outlineLevel="0" collapsed="false">
      <c r="A2559" s="1" t="n">
        <v>113</v>
      </c>
      <c r="B2559" s="1" t="n">
        <v>79</v>
      </c>
      <c r="C2559" s="1" t="n">
        <v>192</v>
      </c>
      <c r="D2559" s="1" t="s">
        <v>930</v>
      </c>
      <c r="E2559" s="1" t="n">
        <v>-32772.116</v>
      </c>
      <c r="F2559" s="1" t="n">
        <v>15.827</v>
      </c>
      <c r="G2559" s="1" t="n">
        <f aca="false">IF(ISNUMBER(E2559),E2559,VALUE(SUBSTITUTE(E2559,"#",".01")))</f>
        <v>-32772.116</v>
      </c>
    </row>
    <row r="2560" customFormat="false" ht="12.75" hidden="false" customHeight="false" outlineLevel="0" collapsed="false">
      <c r="A2560" s="1" t="n">
        <v>112</v>
      </c>
      <c r="B2560" s="1" t="n">
        <v>80</v>
      </c>
      <c r="C2560" s="1" t="n">
        <v>192</v>
      </c>
      <c r="D2560" s="1" t="s">
        <v>939</v>
      </c>
      <c r="E2560" s="1" t="n">
        <v>-32011.553</v>
      </c>
      <c r="F2560" s="1" t="n">
        <v>15.537</v>
      </c>
      <c r="G2560" s="1" t="n">
        <f aca="false">IF(ISNUMBER(E2560),E2560,VALUE(SUBSTITUTE(E2560,"#",".01")))</f>
        <v>-32011.553</v>
      </c>
    </row>
    <row r="2561" customFormat="false" ht="12.75" hidden="false" customHeight="false" outlineLevel="0" collapsed="false">
      <c r="A2561" s="1" t="n">
        <v>111</v>
      </c>
      <c r="B2561" s="1" t="n">
        <v>81</v>
      </c>
      <c r="C2561" s="1" t="n">
        <v>192</v>
      </c>
      <c r="D2561" s="1" t="s">
        <v>955</v>
      </c>
      <c r="E2561" s="1" t="n">
        <v>-25872.246</v>
      </c>
      <c r="F2561" s="1" t="n">
        <v>31.671</v>
      </c>
      <c r="G2561" s="1" t="n">
        <f aca="false">IF(ISNUMBER(E2561),E2561,VALUE(SUBSTITUTE(E2561,"#",".01")))</f>
        <v>-25872.246</v>
      </c>
    </row>
    <row r="2562" customFormat="false" ht="12.75" hidden="false" customHeight="false" outlineLevel="0" collapsed="false">
      <c r="A2562" s="1" t="n">
        <v>110</v>
      </c>
      <c r="B2562" s="1" t="n">
        <v>82</v>
      </c>
      <c r="C2562" s="1" t="n">
        <v>192</v>
      </c>
      <c r="D2562" s="1" t="s">
        <v>963</v>
      </c>
      <c r="E2562" s="1" t="n">
        <v>-22556.02</v>
      </c>
      <c r="F2562" s="1" t="n">
        <v>13.295</v>
      </c>
      <c r="G2562" s="1" t="n">
        <f aca="false">IF(ISNUMBER(E2562),E2562,VALUE(SUBSTITUTE(E2562,"#",".01")))</f>
        <v>-22556.02</v>
      </c>
    </row>
    <row r="2563" customFormat="false" ht="12.75" hidden="false" customHeight="false" outlineLevel="0" collapsed="false">
      <c r="A2563" s="1" t="n">
        <v>109</v>
      </c>
      <c r="B2563" s="1" t="n">
        <v>83</v>
      </c>
      <c r="C2563" s="1" t="n">
        <v>192</v>
      </c>
      <c r="D2563" s="1" t="s">
        <v>974</v>
      </c>
      <c r="E2563" s="1" t="n">
        <v>-13534.535</v>
      </c>
      <c r="F2563" s="1" t="n">
        <v>30.112</v>
      </c>
      <c r="G2563" s="1" t="n">
        <f aca="false">IF(ISNUMBER(E2563),E2563,VALUE(SUBSTITUTE(E2563,"#",".01")))</f>
        <v>-13534.535</v>
      </c>
    </row>
    <row r="2564" customFormat="false" ht="12.75" hidden="false" customHeight="false" outlineLevel="0" collapsed="false">
      <c r="A2564" s="1" t="n">
        <v>108</v>
      </c>
      <c r="B2564" s="1" t="n">
        <v>84</v>
      </c>
      <c r="C2564" s="1" t="n">
        <v>192</v>
      </c>
      <c r="D2564" s="1" t="s">
        <v>980</v>
      </c>
      <c r="E2564" s="1" t="n">
        <v>-8070.661</v>
      </c>
      <c r="F2564" s="1" t="n">
        <v>11.11</v>
      </c>
      <c r="G2564" s="1" t="n">
        <f aca="false">IF(ISNUMBER(E2564),E2564,VALUE(SUBSTITUTE(E2564,"#",".01")))</f>
        <v>-8070.661</v>
      </c>
    </row>
    <row r="2565" customFormat="false" ht="12.75" hidden="false" customHeight="false" outlineLevel="0" collapsed="false">
      <c r="A2565" s="1" t="n">
        <v>107</v>
      </c>
      <c r="B2565" s="1" t="n">
        <v>85</v>
      </c>
      <c r="C2565" s="1" t="n">
        <v>192</v>
      </c>
      <c r="D2565" s="1" t="s">
        <v>990</v>
      </c>
      <c r="E2565" s="1" t="n">
        <v>2925.854</v>
      </c>
      <c r="F2565" s="1" t="n">
        <v>27.876</v>
      </c>
      <c r="G2565" s="1" t="n">
        <f aca="false">IF(ISNUMBER(E2565),E2565,VALUE(SUBSTITUTE(E2565,"#",".01")))</f>
        <v>2925.854</v>
      </c>
    </row>
    <row r="2566" customFormat="false" ht="12.75" hidden="false" customHeight="false" outlineLevel="0" collapsed="false">
      <c r="A2566" s="1" t="n">
        <v>120</v>
      </c>
      <c r="B2566" s="1" t="n">
        <v>73</v>
      </c>
      <c r="C2566" s="1" t="n">
        <v>193</v>
      </c>
      <c r="D2566" s="1" t="s">
        <v>859</v>
      </c>
      <c r="E2566" s="1" t="s">
        <v>992</v>
      </c>
      <c r="F2566" s="1" t="s">
        <v>320</v>
      </c>
      <c r="G2566" s="1" t="n">
        <f aca="false">IF(ISNUMBER(E2566),E2566,VALUE(SUBSTITUTE(E2566,"#",".01")))</f>
        <v>-20870.01</v>
      </c>
    </row>
    <row r="2567" customFormat="false" ht="12.75" hidden="false" customHeight="false" outlineLevel="0" collapsed="false">
      <c r="A2567" s="1" t="n">
        <v>119</v>
      </c>
      <c r="B2567" s="1" t="n">
        <v>74</v>
      </c>
      <c r="C2567" s="1" t="n">
        <v>193</v>
      </c>
      <c r="D2567" s="1" t="s">
        <v>868</v>
      </c>
      <c r="E2567" s="1" t="s">
        <v>993</v>
      </c>
      <c r="F2567" s="1" t="s">
        <v>333</v>
      </c>
      <c r="G2567" s="1" t="n">
        <f aca="false">IF(ISNUMBER(E2567),E2567,VALUE(SUBSTITUTE(E2567,"#",".01")))</f>
        <v>-26287.01</v>
      </c>
    </row>
    <row r="2568" customFormat="false" ht="12.75" hidden="false" customHeight="false" outlineLevel="0" collapsed="false">
      <c r="A2568" s="1" t="n">
        <v>118</v>
      </c>
      <c r="B2568" s="1" t="n">
        <v>75</v>
      </c>
      <c r="C2568" s="1" t="n">
        <v>193</v>
      </c>
      <c r="D2568" s="1" t="s">
        <v>877</v>
      </c>
      <c r="E2568" s="1" t="n">
        <v>-30231.638</v>
      </c>
      <c r="F2568" s="1" t="n">
        <v>39.123</v>
      </c>
      <c r="G2568" s="1" t="n">
        <f aca="false">IF(ISNUMBER(E2568),E2568,VALUE(SUBSTITUTE(E2568,"#",".01")))</f>
        <v>-30231.638</v>
      </c>
    </row>
    <row r="2569" customFormat="false" ht="12.75" hidden="false" customHeight="false" outlineLevel="0" collapsed="false">
      <c r="A2569" s="1" t="n">
        <v>117</v>
      </c>
      <c r="B2569" s="1" t="n">
        <v>76</v>
      </c>
      <c r="C2569" s="1" t="n">
        <v>193</v>
      </c>
      <c r="D2569" s="1" t="s">
        <v>887</v>
      </c>
      <c r="E2569" s="1" t="n">
        <v>-33394.289</v>
      </c>
      <c r="F2569" s="1" t="n">
        <v>2.321</v>
      </c>
      <c r="G2569" s="1" t="n">
        <f aca="false">IF(ISNUMBER(E2569),E2569,VALUE(SUBSTITUTE(E2569,"#",".01")))</f>
        <v>-33394.289</v>
      </c>
    </row>
    <row r="2570" customFormat="false" ht="12.75" hidden="false" customHeight="false" outlineLevel="0" collapsed="false">
      <c r="A2570" s="1" t="n">
        <v>116</v>
      </c>
      <c r="B2570" s="1" t="n">
        <v>77</v>
      </c>
      <c r="C2570" s="1" t="n">
        <v>193</v>
      </c>
      <c r="D2570" s="1" t="s">
        <v>900</v>
      </c>
      <c r="E2570" s="1" t="n">
        <v>-34536.235</v>
      </c>
      <c r="F2570" s="1" t="n">
        <v>1.328</v>
      </c>
      <c r="G2570" s="1" t="n">
        <f aca="false">IF(ISNUMBER(E2570),E2570,VALUE(SUBSTITUTE(E2570,"#",".01")))</f>
        <v>-34536.235</v>
      </c>
    </row>
    <row r="2571" customFormat="false" ht="12.75" hidden="false" customHeight="false" outlineLevel="0" collapsed="false">
      <c r="A2571" s="1" t="n">
        <v>115</v>
      </c>
      <c r="B2571" s="1" t="n">
        <v>78</v>
      </c>
      <c r="C2571" s="1" t="n">
        <v>193</v>
      </c>
      <c r="D2571" s="1" t="s">
        <v>915</v>
      </c>
      <c r="E2571" s="1" t="n">
        <v>-34479.608</v>
      </c>
      <c r="F2571" s="1" t="n">
        <v>1.359</v>
      </c>
      <c r="G2571" s="1" t="n">
        <f aca="false">IF(ISNUMBER(E2571),E2571,VALUE(SUBSTITUTE(E2571,"#",".01")))</f>
        <v>-34479.608</v>
      </c>
    </row>
    <row r="2572" customFormat="false" ht="12.75" hidden="false" customHeight="false" outlineLevel="0" collapsed="false">
      <c r="A2572" s="1" t="n">
        <v>114</v>
      </c>
      <c r="B2572" s="1" t="n">
        <v>79</v>
      </c>
      <c r="C2572" s="1" t="n">
        <v>193</v>
      </c>
      <c r="D2572" s="1" t="s">
        <v>930</v>
      </c>
      <c r="E2572" s="1" t="n">
        <v>-33404.821</v>
      </c>
      <c r="F2572" s="1" t="n">
        <v>8.674</v>
      </c>
      <c r="G2572" s="1" t="n">
        <f aca="false">IF(ISNUMBER(E2572),E2572,VALUE(SUBSTITUTE(E2572,"#",".01")))</f>
        <v>-33404.821</v>
      </c>
    </row>
    <row r="2573" customFormat="false" ht="12.75" hidden="false" customHeight="false" outlineLevel="0" collapsed="false">
      <c r="A2573" s="1" t="n">
        <v>113</v>
      </c>
      <c r="B2573" s="1" t="n">
        <v>80</v>
      </c>
      <c r="C2573" s="1" t="n">
        <v>193</v>
      </c>
      <c r="D2573" s="1" t="s">
        <v>939</v>
      </c>
      <c r="E2573" s="1" t="n">
        <v>-31062.179</v>
      </c>
      <c r="F2573" s="1" t="n">
        <v>15.505</v>
      </c>
      <c r="G2573" s="1" t="n">
        <f aca="false">IF(ISNUMBER(E2573),E2573,VALUE(SUBSTITUTE(E2573,"#",".01")))</f>
        <v>-31062.179</v>
      </c>
    </row>
    <row r="2574" customFormat="false" ht="12.75" hidden="false" customHeight="false" outlineLevel="0" collapsed="false">
      <c r="A2574" s="1" t="n">
        <v>112</v>
      </c>
      <c r="B2574" s="1" t="n">
        <v>81</v>
      </c>
      <c r="C2574" s="1" t="n">
        <v>193</v>
      </c>
      <c r="D2574" s="1" t="s">
        <v>955</v>
      </c>
      <c r="E2574" s="1" t="n">
        <v>-27477.212</v>
      </c>
      <c r="F2574" s="1" t="n">
        <v>6.707</v>
      </c>
      <c r="G2574" s="1" t="n">
        <f aca="false">IF(ISNUMBER(E2574),E2574,VALUE(SUBSTITUTE(E2574,"#",".01")))</f>
        <v>-27477.212</v>
      </c>
    </row>
    <row r="2575" customFormat="false" ht="12.75" hidden="false" customHeight="false" outlineLevel="0" collapsed="false">
      <c r="A2575" s="1" t="n">
        <v>111</v>
      </c>
      <c r="B2575" s="1" t="n">
        <v>82</v>
      </c>
      <c r="C2575" s="1" t="n">
        <v>193</v>
      </c>
      <c r="D2575" s="1" t="s">
        <v>963</v>
      </c>
      <c r="E2575" s="1" t="n">
        <v>-22194.49</v>
      </c>
      <c r="F2575" s="1" t="n">
        <v>49.577</v>
      </c>
      <c r="G2575" s="1" t="n">
        <f aca="false">IF(ISNUMBER(E2575),E2575,VALUE(SUBSTITUTE(E2575,"#",".01")))</f>
        <v>-22194.49</v>
      </c>
    </row>
    <row r="2576" customFormat="false" ht="12.75" hidden="false" customHeight="false" outlineLevel="0" collapsed="false">
      <c r="A2576" s="1" t="n">
        <v>110</v>
      </c>
      <c r="B2576" s="1" t="n">
        <v>83</v>
      </c>
      <c r="C2576" s="1" t="n">
        <v>193</v>
      </c>
      <c r="D2576" s="1" t="s">
        <v>974</v>
      </c>
      <c r="E2576" s="1" t="n">
        <v>-15884.559</v>
      </c>
      <c r="F2576" s="1" t="n">
        <v>7.576</v>
      </c>
      <c r="G2576" s="1" t="n">
        <f aca="false">IF(ISNUMBER(E2576),E2576,VALUE(SUBSTITUTE(E2576,"#",".01")))</f>
        <v>-15884.559</v>
      </c>
    </row>
    <row r="2577" customFormat="false" ht="12.75" hidden="false" customHeight="false" outlineLevel="0" collapsed="false">
      <c r="A2577" s="1" t="n">
        <v>109</v>
      </c>
      <c r="B2577" s="1" t="n">
        <v>84</v>
      </c>
      <c r="C2577" s="1" t="n">
        <v>193</v>
      </c>
      <c r="D2577" s="1" t="s">
        <v>980</v>
      </c>
      <c r="E2577" s="1" t="n">
        <v>-8325.318</v>
      </c>
      <c r="F2577" s="1" t="n">
        <v>14.531</v>
      </c>
      <c r="G2577" s="1" t="n">
        <f aca="false">IF(ISNUMBER(E2577),E2577,VALUE(SUBSTITUTE(E2577,"#",".01")))</f>
        <v>-8325.318</v>
      </c>
    </row>
    <row r="2578" customFormat="false" ht="12.75" hidden="false" customHeight="false" outlineLevel="0" collapsed="false">
      <c r="A2578" s="1" t="n">
        <v>108</v>
      </c>
      <c r="B2578" s="1" t="n">
        <v>85</v>
      </c>
      <c r="C2578" s="1" t="n">
        <v>193</v>
      </c>
      <c r="D2578" s="1" t="s">
        <v>990</v>
      </c>
      <c r="E2578" s="1" t="n">
        <v>-67.32</v>
      </c>
      <c r="F2578" s="1" t="n">
        <v>21.632</v>
      </c>
      <c r="G2578" s="1" t="n">
        <f aca="false">IF(ISNUMBER(E2578),E2578,VALUE(SUBSTITUTE(E2578,"#",".01")))</f>
        <v>-67.32</v>
      </c>
    </row>
    <row r="2579" customFormat="false" ht="12.75" hidden="false" customHeight="false" outlineLevel="0" collapsed="false">
      <c r="A2579" s="1" t="n">
        <v>107</v>
      </c>
      <c r="B2579" s="1" t="n">
        <v>86</v>
      </c>
      <c r="C2579" s="1" t="n">
        <v>193</v>
      </c>
      <c r="D2579" s="1" t="s">
        <v>994</v>
      </c>
      <c r="E2579" s="1" t="n">
        <v>9042.911</v>
      </c>
      <c r="F2579" s="1" t="n">
        <v>25.112</v>
      </c>
      <c r="G2579" s="1" t="n">
        <f aca="false">IF(ISNUMBER(E2579),E2579,VALUE(SUBSTITUTE(E2579,"#",".01")))</f>
        <v>9042.911</v>
      </c>
    </row>
    <row r="2580" customFormat="false" ht="12.75" hidden="false" customHeight="false" outlineLevel="0" collapsed="false">
      <c r="A2580" s="1" t="n">
        <v>121</v>
      </c>
      <c r="B2580" s="1" t="n">
        <v>73</v>
      </c>
      <c r="C2580" s="1" t="n">
        <v>194</v>
      </c>
      <c r="D2580" s="1" t="s">
        <v>859</v>
      </c>
      <c r="E2580" s="1" t="s">
        <v>995</v>
      </c>
      <c r="F2580" s="1" t="s">
        <v>323</v>
      </c>
      <c r="G2580" s="1" t="n">
        <f aca="false">IF(ISNUMBER(E2580),E2580,VALUE(SUBSTITUTE(E2580,"#",".01")))</f>
        <v>-17300.01</v>
      </c>
    </row>
    <row r="2581" customFormat="false" ht="12.75" hidden="false" customHeight="false" outlineLevel="0" collapsed="false">
      <c r="A2581" s="1" t="n">
        <v>120</v>
      </c>
      <c r="B2581" s="1" t="n">
        <v>74</v>
      </c>
      <c r="C2581" s="1" t="n">
        <v>194</v>
      </c>
      <c r="D2581" s="1" t="s">
        <v>868</v>
      </c>
      <c r="E2581" s="1" t="s">
        <v>996</v>
      </c>
      <c r="F2581" s="1" t="s">
        <v>360</v>
      </c>
      <c r="G2581" s="1" t="n">
        <f aca="false">IF(ISNUMBER(E2581),E2581,VALUE(SUBSTITUTE(E2581,"#",".01")))</f>
        <v>-24526.01</v>
      </c>
    </row>
    <row r="2582" customFormat="false" ht="12.75" hidden="false" customHeight="false" outlineLevel="0" collapsed="false">
      <c r="A2582" s="1" t="n">
        <v>119</v>
      </c>
      <c r="B2582" s="1" t="n">
        <v>75</v>
      </c>
      <c r="C2582" s="1" t="n">
        <v>194</v>
      </c>
      <c r="D2582" s="1" t="s">
        <v>877</v>
      </c>
      <c r="E2582" s="1" t="s">
        <v>997</v>
      </c>
      <c r="F2582" s="1" t="s">
        <v>333</v>
      </c>
      <c r="G2582" s="1" t="n">
        <f aca="false">IF(ISNUMBER(E2582),E2582,VALUE(SUBSTITUTE(E2582,"#",".01")))</f>
        <v>-27237.01</v>
      </c>
    </row>
    <row r="2583" customFormat="false" ht="12.75" hidden="false" customHeight="false" outlineLevel="0" collapsed="false">
      <c r="A2583" s="1" t="n">
        <v>118</v>
      </c>
      <c r="B2583" s="1" t="n">
        <v>76</v>
      </c>
      <c r="C2583" s="1" t="n">
        <v>194</v>
      </c>
      <c r="D2583" s="1" t="s">
        <v>887</v>
      </c>
      <c r="E2583" s="1" t="n">
        <v>-32435.108</v>
      </c>
      <c r="F2583" s="1" t="n">
        <v>2.403</v>
      </c>
      <c r="G2583" s="1" t="n">
        <f aca="false">IF(ISNUMBER(E2583),E2583,VALUE(SUBSTITUTE(E2583,"#",".01")))</f>
        <v>-32435.108</v>
      </c>
    </row>
    <row r="2584" customFormat="false" ht="12.75" hidden="false" customHeight="false" outlineLevel="0" collapsed="false">
      <c r="A2584" s="1" t="n">
        <v>117</v>
      </c>
      <c r="B2584" s="1" t="n">
        <v>77</v>
      </c>
      <c r="C2584" s="1" t="n">
        <v>194</v>
      </c>
      <c r="D2584" s="1" t="s">
        <v>900</v>
      </c>
      <c r="E2584" s="1" t="n">
        <v>-32531.708</v>
      </c>
      <c r="F2584" s="1" t="n">
        <v>1.332</v>
      </c>
      <c r="G2584" s="1" t="n">
        <f aca="false">IF(ISNUMBER(E2584),E2584,VALUE(SUBSTITUTE(E2584,"#",".01")))</f>
        <v>-32531.708</v>
      </c>
    </row>
    <row r="2585" customFormat="false" ht="12.75" hidden="false" customHeight="false" outlineLevel="0" collapsed="false">
      <c r="A2585" s="1" t="n">
        <v>116</v>
      </c>
      <c r="B2585" s="1" t="n">
        <v>78</v>
      </c>
      <c r="C2585" s="1" t="n">
        <v>194</v>
      </c>
      <c r="D2585" s="1" t="s">
        <v>915</v>
      </c>
      <c r="E2585" s="1" t="n">
        <v>-34760.07</v>
      </c>
      <c r="F2585" s="1" t="n">
        <v>0.496</v>
      </c>
      <c r="G2585" s="1" t="n">
        <f aca="false">IF(ISNUMBER(E2585),E2585,VALUE(SUBSTITUTE(E2585,"#",".01")))</f>
        <v>-34760.07</v>
      </c>
    </row>
    <row r="2586" customFormat="false" ht="12.75" hidden="false" customHeight="false" outlineLevel="0" collapsed="false">
      <c r="A2586" s="1" t="n">
        <v>115</v>
      </c>
      <c r="B2586" s="1" t="n">
        <v>79</v>
      </c>
      <c r="C2586" s="1" t="n">
        <v>194</v>
      </c>
      <c r="D2586" s="1" t="s">
        <v>930</v>
      </c>
      <c r="E2586" s="1" t="n">
        <v>-32211.936</v>
      </c>
      <c r="F2586" s="1" t="n">
        <v>2.118</v>
      </c>
      <c r="G2586" s="1" t="n">
        <f aca="false">IF(ISNUMBER(E2586),E2586,VALUE(SUBSTITUTE(E2586,"#",".01")))</f>
        <v>-32211.936</v>
      </c>
    </row>
    <row r="2587" customFormat="false" ht="12.75" hidden="false" customHeight="false" outlineLevel="0" collapsed="false">
      <c r="A2587" s="1" t="n">
        <v>114</v>
      </c>
      <c r="B2587" s="1" t="n">
        <v>80</v>
      </c>
      <c r="C2587" s="1" t="n">
        <v>194</v>
      </c>
      <c r="D2587" s="1" t="s">
        <v>939</v>
      </c>
      <c r="E2587" s="1" t="n">
        <v>-32183.945</v>
      </c>
      <c r="F2587" s="1" t="n">
        <v>2.888</v>
      </c>
      <c r="G2587" s="1" t="n">
        <f aca="false">IF(ISNUMBER(E2587),E2587,VALUE(SUBSTITUTE(E2587,"#",".01")))</f>
        <v>-32183.945</v>
      </c>
    </row>
    <row r="2588" customFormat="false" ht="12.75" hidden="false" customHeight="false" outlineLevel="0" collapsed="false">
      <c r="A2588" s="1" t="n">
        <v>113</v>
      </c>
      <c r="B2588" s="1" t="n">
        <v>81</v>
      </c>
      <c r="C2588" s="1" t="n">
        <v>194</v>
      </c>
      <c r="D2588" s="1" t="s">
        <v>955</v>
      </c>
      <c r="E2588" s="1" t="n">
        <v>-26937.491</v>
      </c>
      <c r="F2588" s="1" t="n">
        <v>13.972</v>
      </c>
      <c r="G2588" s="1" t="n">
        <f aca="false">IF(ISNUMBER(E2588),E2588,VALUE(SUBSTITUTE(E2588,"#",".01")))</f>
        <v>-26937.491</v>
      </c>
    </row>
    <row r="2589" customFormat="false" ht="12.75" hidden="false" customHeight="false" outlineLevel="0" collapsed="false">
      <c r="A2589" s="1" t="n">
        <v>112</v>
      </c>
      <c r="B2589" s="1" t="n">
        <v>82</v>
      </c>
      <c r="C2589" s="1" t="n">
        <v>194</v>
      </c>
      <c r="D2589" s="1" t="s">
        <v>963</v>
      </c>
      <c r="E2589" s="1" t="n">
        <v>-24207.94</v>
      </c>
      <c r="F2589" s="1" t="n">
        <v>17.435</v>
      </c>
      <c r="G2589" s="1" t="n">
        <f aca="false">IF(ISNUMBER(E2589),E2589,VALUE(SUBSTITUTE(E2589,"#",".01")))</f>
        <v>-24207.94</v>
      </c>
    </row>
    <row r="2590" customFormat="false" ht="12.75" hidden="false" customHeight="false" outlineLevel="0" collapsed="false">
      <c r="A2590" s="1" t="n">
        <v>111</v>
      </c>
      <c r="B2590" s="1" t="n">
        <v>83</v>
      </c>
      <c r="C2590" s="1" t="n">
        <v>194</v>
      </c>
      <c r="D2590" s="1" t="s">
        <v>974</v>
      </c>
      <c r="E2590" s="1" t="n">
        <v>-16028.811</v>
      </c>
      <c r="F2590" s="1" t="n">
        <v>6.178</v>
      </c>
      <c r="G2590" s="1" t="n">
        <f aca="false">IF(ISNUMBER(E2590),E2590,VALUE(SUBSTITUTE(E2590,"#",".01")))</f>
        <v>-16028.811</v>
      </c>
    </row>
    <row r="2591" customFormat="false" ht="12.75" hidden="false" customHeight="false" outlineLevel="0" collapsed="false">
      <c r="A2591" s="1" t="n">
        <v>110</v>
      </c>
      <c r="B2591" s="1" t="n">
        <v>84</v>
      </c>
      <c r="C2591" s="1" t="n">
        <v>194</v>
      </c>
      <c r="D2591" s="1" t="s">
        <v>980</v>
      </c>
      <c r="E2591" s="1" t="n">
        <v>-11004.655</v>
      </c>
      <c r="F2591" s="1" t="n">
        <v>12.911</v>
      </c>
      <c r="G2591" s="1" t="n">
        <f aca="false">IF(ISNUMBER(E2591),E2591,VALUE(SUBSTITUTE(E2591,"#",".01")))</f>
        <v>-11004.655</v>
      </c>
    </row>
    <row r="2592" customFormat="false" ht="12.75" hidden="false" customHeight="false" outlineLevel="0" collapsed="false">
      <c r="A2592" s="1" t="n">
        <v>109</v>
      </c>
      <c r="B2592" s="1" t="n">
        <v>85</v>
      </c>
      <c r="C2592" s="1" t="n">
        <v>194</v>
      </c>
      <c r="D2592" s="1" t="s">
        <v>990</v>
      </c>
      <c r="E2592" s="1" t="n">
        <v>-720.163</v>
      </c>
      <c r="F2592" s="1" t="n">
        <v>24.931</v>
      </c>
      <c r="G2592" s="1" t="n">
        <f aca="false">IF(ISNUMBER(E2592),E2592,VALUE(SUBSTITUTE(E2592,"#",".01")))</f>
        <v>-720.163</v>
      </c>
    </row>
    <row r="2593" customFormat="false" ht="12.75" hidden="false" customHeight="false" outlineLevel="0" collapsed="false">
      <c r="A2593" s="1" t="n">
        <v>108</v>
      </c>
      <c r="B2593" s="1" t="n">
        <v>86</v>
      </c>
      <c r="C2593" s="1" t="n">
        <v>194</v>
      </c>
      <c r="D2593" s="1" t="s">
        <v>994</v>
      </c>
      <c r="E2593" s="1" t="n">
        <v>5723.495</v>
      </c>
      <c r="F2593" s="1" t="n">
        <v>16.899</v>
      </c>
      <c r="G2593" s="1" t="n">
        <f aca="false">IF(ISNUMBER(E2593),E2593,VALUE(SUBSTITUTE(E2593,"#",".01")))</f>
        <v>5723.495</v>
      </c>
    </row>
    <row r="2594" customFormat="false" ht="12.75" hidden="false" customHeight="false" outlineLevel="0" collapsed="false">
      <c r="A2594" s="1" t="n">
        <v>121</v>
      </c>
      <c r="B2594" s="1" t="n">
        <v>74</v>
      </c>
      <c r="C2594" s="1" t="n">
        <v>195</v>
      </c>
      <c r="D2594" s="1" t="s">
        <v>868</v>
      </c>
      <c r="E2594" s="1" t="s">
        <v>998</v>
      </c>
      <c r="F2594" s="1" t="s">
        <v>360</v>
      </c>
      <c r="G2594" s="1" t="n">
        <f aca="false">IF(ISNUMBER(E2594),E2594,VALUE(SUBSTITUTE(E2594,"#",".01")))</f>
        <v>-21010.01</v>
      </c>
    </row>
    <row r="2595" customFormat="false" ht="12.75" hidden="false" customHeight="false" outlineLevel="0" collapsed="false">
      <c r="A2595" s="1" t="n">
        <v>120</v>
      </c>
      <c r="B2595" s="1" t="n">
        <v>75</v>
      </c>
      <c r="C2595" s="1" t="n">
        <v>195</v>
      </c>
      <c r="D2595" s="1" t="s">
        <v>877</v>
      </c>
      <c r="E2595" s="1" t="s">
        <v>999</v>
      </c>
      <c r="F2595" s="1" t="s">
        <v>360</v>
      </c>
      <c r="G2595" s="1" t="n">
        <f aca="false">IF(ISNUMBER(E2595),E2595,VALUE(SUBSTITUTE(E2595,"#",".01")))</f>
        <v>-25579.01</v>
      </c>
    </row>
    <row r="2596" customFormat="false" ht="12.75" hidden="false" customHeight="false" outlineLevel="0" collapsed="false">
      <c r="A2596" s="1" t="n">
        <v>119</v>
      </c>
      <c r="B2596" s="1" t="n">
        <v>76</v>
      </c>
      <c r="C2596" s="1" t="n">
        <v>195</v>
      </c>
      <c r="D2596" s="1" t="s">
        <v>887</v>
      </c>
      <c r="E2596" s="1" t="n">
        <v>-29511.593</v>
      </c>
      <c r="F2596" s="1" t="n">
        <v>55.89</v>
      </c>
      <c r="G2596" s="1" t="n">
        <f aca="false">IF(ISNUMBER(E2596),E2596,VALUE(SUBSTITUTE(E2596,"#",".01")))</f>
        <v>-29511.593</v>
      </c>
    </row>
    <row r="2597" customFormat="false" ht="12.75" hidden="false" customHeight="false" outlineLevel="0" collapsed="false">
      <c r="A2597" s="1" t="n">
        <v>118</v>
      </c>
      <c r="B2597" s="1" t="n">
        <v>77</v>
      </c>
      <c r="C2597" s="1" t="n">
        <v>195</v>
      </c>
      <c r="D2597" s="1" t="s">
        <v>900</v>
      </c>
      <c r="E2597" s="1" t="n">
        <v>-31692.251</v>
      </c>
      <c r="F2597" s="1" t="n">
        <v>1.333</v>
      </c>
      <c r="G2597" s="1" t="n">
        <f aca="false">IF(ISNUMBER(E2597),E2597,VALUE(SUBSTITUTE(E2597,"#",".01")))</f>
        <v>-31692.251</v>
      </c>
    </row>
    <row r="2598" customFormat="false" ht="12.75" hidden="false" customHeight="false" outlineLevel="0" collapsed="false">
      <c r="A2598" s="1" t="n">
        <v>117</v>
      </c>
      <c r="B2598" s="1" t="n">
        <v>78</v>
      </c>
      <c r="C2598" s="1" t="n">
        <v>195</v>
      </c>
      <c r="D2598" s="1" t="s">
        <v>915</v>
      </c>
      <c r="E2598" s="1" t="n">
        <v>-32793.849</v>
      </c>
      <c r="F2598" s="1" t="n">
        <v>0.503</v>
      </c>
      <c r="G2598" s="1" t="n">
        <f aca="false">IF(ISNUMBER(E2598),E2598,VALUE(SUBSTITUTE(E2598,"#",".01")))</f>
        <v>-32793.849</v>
      </c>
    </row>
    <row r="2599" customFormat="false" ht="12.75" hidden="false" customHeight="false" outlineLevel="0" collapsed="false">
      <c r="A2599" s="1" t="n">
        <v>116</v>
      </c>
      <c r="B2599" s="1" t="n">
        <v>79</v>
      </c>
      <c r="C2599" s="1" t="n">
        <v>195</v>
      </c>
      <c r="D2599" s="1" t="s">
        <v>930</v>
      </c>
      <c r="E2599" s="1" t="n">
        <v>-32567.031</v>
      </c>
      <c r="F2599" s="1" t="n">
        <v>1.119</v>
      </c>
      <c r="G2599" s="1" t="n">
        <f aca="false">IF(ISNUMBER(E2599),E2599,VALUE(SUBSTITUTE(E2599,"#",".01")))</f>
        <v>-32567.031</v>
      </c>
    </row>
    <row r="2600" customFormat="false" ht="12.75" hidden="false" customHeight="false" outlineLevel="0" collapsed="false">
      <c r="A2600" s="1" t="n">
        <v>115</v>
      </c>
      <c r="B2600" s="1" t="n">
        <v>80</v>
      </c>
      <c r="C2600" s="1" t="n">
        <v>195</v>
      </c>
      <c r="D2600" s="1" t="s">
        <v>939</v>
      </c>
      <c r="E2600" s="1" t="n">
        <v>-31013.393</v>
      </c>
      <c r="F2600" s="1" t="n">
        <v>23.142</v>
      </c>
      <c r="G2600" s="1" t="n">
        <f aca="false">IF(ISNUMBER(E2600),E2600,VALUE(SUBSTITUTE(E2600,"#",".01")))</f>
        <v>-31013.393</v>
      </c>
    </row>
    <row r="2601" customFormat="false" ht="12.75" hidden="false" customHeight="false" outlineLevel="0" collapsed="false">
      <c r="A2601" s="1" t="n">
        <v>114</v>
      </c>
      <c r="B2601" s="1" t="n">
        <v>81</v>
      </c>
      <c r="C2601" s="1" t="n">
        <v>195</v>
      </c>
      <c r="D2601" s="1" t="s">
        <v>955</v>
      </c>
      <c r="E2601" s="1" t="n">
        <v>-28155.248</v>
      </c>
      <c r="F2601" s="1" t="n">
        <v>11.093</v>
      </c>
      <c r="G2601" s="1" t="n">
        <f aca="false">IF(ISNUMBER(E2601),E2601,VALUE(SUBSTITUTE(E2601,"#",".01")))</f>
        <v>-28155.248</v>
      </c>
    </row>
    <row r="2602" customFormat="false" ht="12.75" hidden="false" customHeight="false" outlineLevel="0" collapsed="false">
      <c r="A2602" s="1" t="n">
        <v>113</v>
      </c>
      <c r="B2602" s="1" t="n">
        <v>82</v>
      </c>
      <c r="C2602" s="1" t="n">
        <v>195</v>
      </c>
      <c r="D2602" s="1" t="s">
        <v>963</v>
      </c>
      <c r="E2602" s="1" t="n">
        <v>-23707.693</v>
      </c>
      <c r="F2602" s="1" t="n">
        <v>17.96</v>
      </c>
      <c r="G2602" s="1" t="n">
        <f aca="false">IF(ISNUMBER(E2602),E2602,VALUE(SUBSTITUTE(E2602,"#",".01")))</f>
        <v>-23707.693</v>
      </c>
    </row>
    <row r="2603" customFormat="false" ht="12.75" hidden="false" customHeight="false" outlineLevel="0" collapsed="false">
      <c r="A2603" s="1" t="n">
        <v>112</v>
      </c>
      <c r="B2603" s="1" t="n">
        <v>83</v>
      </c>
      <c r="C2603" s="1" t="n">
        <v>195</v>
      </c>
      <c r="D2603" s="1" t="s">
        <v>974</v>
      </c>
      <c r="E2603" s="1" t="n">
        <v>-18025.561</v>
      </c>
      <c r="F2603" s="1" t="n">
        <v>5.287</v>
      </c>
      <c r="G2603" s="1" t="n">
        <f aca="false">IF(ISNUMBER(E2603),E2603,VALUE(SUBSTITUTE(E2603,"#",".01")))</f>
        <v>-18025.561</v>
      </c>
    </row>
    <row r="2604" customFormat="false" ht="12.75" hidden="false" customHeight="false" outlineLevel="0" collapsed="false">
      <c r="A2604" s="1" t="n">
        <v>111</v>
      </c>
      <c r="B2604" s="1" t="n">
        <v>84</v>
      </c>
      <c r="C2604" s="1" t="n">
        <v>195</v>
      </c>
      <c r="D2604" s="1" t="s">
        <v>980</v>
      </c>
      <c r="E2604" s="1" t="n">
        <v>-11056.259</v>
      </c>
      <c r="F2604" s="1" t="n">
        <v>37.364</v>
      </c>
      <c r="G2604" s="1" t="n">
        <f aca="false">IF(ISNUMBER(E2604),E2604,VALUE(SUBSTITUTE(E2604,"#",".01")))</f>
        <v>-11056.259</v>
      </c>
    </row>
    <row r="2605" customFormat="false" ht="12.75" hidden="false" customHeight="false" outlineLevel="0" collapsed="false">
      <c r="A2605" s="1" t="n">
        <v>110</v>
      </c>
      <c r="B2605" s="1" t="n">
        <v>85</v>
      </c>
      <c r="C2605" s="1" t="n">
        <v>195</v>
      </c>
      <c r="D2605" s="1" t="s">
        <v>990</v>
      </c>
      <c r="E2605" s="1" t="n">
        <v>-3470.295</v>
      </c>
      <c r="F2605" s="1" t="n">
        <v>9.573</v>
      </c>
      <c r="G2605" s="1" t="n">
        <f aca="false">IF(ISNUMBER(E2605),E2605,VALUE(SUBSTITUTE(E2605,"#",".01")))</f>
        <v>-3470.295</v>
      </c>
    </row>
    <row r="2606" customFormat="false" ht="12.75" hidden="false" customHeight="false" outlineLevel="0" collapsed="false">
      <c r="A2606" s="1" t="n">
        <v>109</v>
      </c>
      <c r="B2606" s="1" t="n">
        <v>86</v>
      </c>
      <c r="C2606" s="1" t="n">
        <v>195</v>
      </c>
      <c r="D2606" s="1" t="s">
        <v>994</v>
      </c>
      <c r="E2606" s="1" t="n">
        <v>5050.281</v>
      </c>
      <c r="F2606" s="1" t="n">
        <v>50.502</v>
      </c>
      <c r="G2606" s="1" t="n">
        <f aca="false">IF(ISNUMBER(E2606),E2606,VALUE(SUBSTITUTE(E2606,"#",".01")))</f>
        <v>5050.281</v>
      </c>
    </row>
    <row r="2607" customFormat="false" ht="12.75" hidden="false" customHeight="false" outlineLevel="0" collapsed="false">
      <c r="A2607" s="1" t="n">
        <v>122</v>
      </c>
      <c r="B2607" s="1" t="n">
        <v>74</v>
      </c>
      <c r="C2607" s="1" t="n">
        <v>196</v>
      </c>
      <c r="D2607" s="1" t="s">
        <v>868</v>
      </c>
      <c r="E2607" s="1" t="s">
        <v>1000</v>
      </c>
      <c r="F2607" s="1" t="s">
        <v>320</v>
      </c>
      <c r="G2607" s="1" t="n">
        <f aca="false">IF(ISNUMBER(E2607),E2607,VALUE(SUBSTITUTE(E2607,"#",".01")))</f>
        <v>-18880.01</v>
      </c>
    </row>
    <row r="2608" customFormat="false" ht="12.75" hidden="false" customHeight="false" outlineLevel="0" collapsed="false">
      <c r="A2608" s="1" t="n">
        <v>121</v>
      </c>
      <c r="B2608" s="1" t="n">
        <v>75</v>
      </c>
      <c r="C2608" s="1" t="n">
        <v>196</v>
      </c>
      <c r="D2608" s="1" t="s">
        <v>877</v>
      </c>
      <c r="E2608" s="1" t="s">
        <v>1001</v>
      </c>
      <c r="F2608" s="1" t="s">
        <v>360</v>
      </c>
      <c r="G2608" s="1" t="n">
        <f aca="false">IF(ISNUMBER(E2608),E2608,VALUE(SUBSTITUTE(E2608,"#",".01")))</f>
        <v>-22542.01</v>
      </c>
    </row>
    <row r="2609" customFormat="false" ht="12.75" hidden="false" customHeight="false" outlineLevel="0" collapsed="false">
      <c r="A2609" s="1" t="n">
        <v>120</v>
      </c>
      <c r="B2609" s="1" t="n">
        <v>76</v>
      </c>
      <c r="C2609" s="1" t="n">
        <v>196</v>
      </c>
      <c r="D2609" s="1" t="s">
        <v>887</v>
      </c>
      <c r="E2609" s="1" t="n">
        <v>-28277.105</v>
      </c>
      <c r="F2609" s="1" t="n">
        <v>40.055</v>
      </c>
      <c r="G2609" s="1" t="n">
        <f aca="false">IF(ISNUMBER(E2609),E2609,VALUE(SUBSTITUTE(E2609,"#",".01")))</f>
        <v>-28277.105</v>
      </c>
    </row>
    <row r="2610" customFormat="false" ht="12.75" hidden="false" customHeight="false" outlineLevel="0" collapsed="false">
      <c r="A2610" s="1" t="n">
        <v>119</v>
      </c>
      <c r="B2610" s="1" t="n">
        <v>77</v>
      </c>
      <c r="C2610" s="1" t="n">
        <v>196</v>
      </c>
      <c r="D2610" s="1" t="s">
        <v>900</v>
      </c>
      <c r="E2610" s="1" t="n">
        <v>-29435.493</v>
      </c>
      <c r="F2610" s="1" t="n">
        <v>38.414</v>
      </c>
      <c r="G2610" s="1" t="n">
        <f aca="false">IF(ISNUMBER(E2610),E2610,VALUE(SUBSTITUTE(E2610,"#",".01")))</f>
        <v>-29435.493</v>
      </c>
    </row>
    <row r="2611" customFormat="false" ht="12.75" hidden="false" customHeight="false" outlineLevel="0" collapsed="false">
      <c r="A2611" s="1" t="n">
        <v>118</v>
      </c>
      <c r="B2611" s="1" t="n">
        <v>78</v>
      </c>
      <c r="C2611" s="1" t="n">
        <v>196</v>
      </c>
      <c r="D2611" s="1" t="s">
        <v>915</v>
      </c>
      <c r="E2611" s="1" t="n">
        <v>-32644.51</v>
      </c>
      <c r="F2611" s="1" t="n">
        <v>0.51</v>
      </c>
      <c r="G2611" s="1" t="n">
        <f aca="false">IF(ISNUMBER(E2611),E2611,VALUE(SUBSTITUTE(E2611,"#",".01")))</f>
        <v>-32644.51</v>
      </c>
    </row>
    <row r="2612" customFormat="false" ht="12.75" hidden="false" customHeight="false" outlineLevel="0" collapsed="false">
      <c r="A2612" s="1" t="n">
        <v>117</v>
      </c>
      <c r="B2612" s="1" t="n">
        <v>79</v>
      </c>
      <c r="C2612" s="1" t="n">
        <v>196</v>
      </c>
      <c r="D2612" s="1" t="s">
        <v>930</v>
      </c>
      <c r="E2612" s="1" t="n">
        <v>-31138.706</v>
      </c>
      <c r="F2612" s="1" t="n">
        <v>2.962</v>
      </c>
      <c r="G2612" s="1" t="n">
        <f aca="false">IF(ISNUMBER(E2612),E2612,VALUE(SUBSTITUTE(E2612,"#",".01")))</f>
        <v>-31138.706</v>
      </c>
    </row>
    <row r="2613" customFormat="false" ht="12.75" hidden="false" customHeight="false" outlineLevel="0" collapsed="false">
      <c r="A2613" s="1" t="n">
        <v>116</v>
      </c>
      <c r="B2613" s="1" t="n">
        <v>80</v>
      </c>
      <c r="C2613" s="1" t="n">
        <v>196</v>
      </c>
      <c r="D2613" s="1" t="s">
        <v>939</v>
      </c>
      <c r="E2613" s="1" t="n">
        <v>-31825.941</v>
      </c>
      <c r="F2613" s="1" t="n">
        <v>2.946</v>
      </c>
      <c r="G2613" s="1" t="n">
        <f aca="false">IF(ISNUMBER(E2613),E2613,VALUE(SUBSTITUTE(E2613,"#",".01")))</f>
        <v>-31825.941</v>
      </c>
    </row>
    <row r="2614" customFormat="false" ht="12.75" hidden="false" customHeight="false" outlineLevel="0" collapsed="false">
      <c r="A2614" s="1" t="n">
        <v>115</v>
      </c>
      <c r="B2614" s="1" t="n">
        <v>81</v>
      </c>
      <c r="C2614" s="1" t="n">
        <v>196</v>
      </c>
      <c r="D2614" s="1" t="s">
        <v>955</v>
      </c>
      <c r="E2614" s="1" t="n">
        <v>-27496.592</v>
      </c>
      <c r="F2614" s="1" t="n">
        <v>12.109</v>
      </c>
      <c r="G2614" s="1" t="n">
        <f aca="false">IF(ISNUMBER(E2614),E2614,VALUE(SUBSTITUTE(E2614,"#",".01")))</f>
        <v>-27496.592</v>
      </c>
    </row>
    <row r="2615" customFormat="false" ht="12.75" hidden="false" customHeight="false" outlineLevel="0" collapsed="false">
      <c r="A2615" s="1" t="n">
        <v>114</v>
      </c>
      <c r="B2615" s="1" t="n">
        <v>82</v>
      </c>
      <c r="C2615" s="1" t="n">
        <v>196</v>
      </c>
      <c r="D2615" s="1" t="s">
        <v>963</v>
      </c>
      <c r="E2615" s="1" t="n">
        <v>-25348.312</v>
      </c>
      <c r="F2615" s="1" t="n">
        <v>7.71</v>
      </c>
      <c r="G2615" s="1" t="n">
        <f aca="false">IF(ISNUMBER(E2615),E2615,VALUE(SUBSTITUTE(E2615,"#",".01")))</f>
        <v>-25348.312</v>
      </c>
    </row>
    <row r="2616" customFormat="false" ht="12.75" hidden="false" customHeight="false" outlineLevel="0" collapsed="false">
      <c r="A2616" s="1" t="n">
        <v>113</v>
      </c>
      <c r="B2616" s="1" t="n">
        <v>83</v>
      </c>
      <c r="C2616" s="1" t="n">
        <v>196</v>
      </c>
      <c r="D2616" s="1" t="s">
        <v>974</v>
      </c>
      <c r="E2616" s="1" t="n">
        <v>-18009.031</v>
      </c>
      <c r="F2616" s="1" t="n">
        <v>24.428</v>
      </c>
      <c r="G2616" s="1" t="n">
        <f aca="false">IF(ISNUMBER(E2616),E2616,VALUE(SUBSTITUTE(E2616,"#",".01")))</f>
        <v>-18009.031</v>
      </c>
    </row>
    <row r="2617" customFormat="false" ht="12.75" hidden="false" customHeight="false" outlineLevel="0" collapsed="false">
      <c r="A2617" s="1" t="n">
        <v>112</v>
      </c>
      <c r="B2617" s="1" t="n">
        <v>84</v>
      </c>
      <c r="C2617" s="1" t="n">
        <v>196</v>
      </c>
      <c r="D2617" s="1" t="s">
        <v>980</v>
      </c>
      <c r="E2617" s="1" t="n">
        <v>-13473.042</v>
      </c>
      <c r="F2617" s="1" t="n">
        <v>13.512</v>
      </c>
      <c r="G2617" s="1" t="n">
        <f aca="false">IF(ISNUMBER(E2617),E2617,VALUE(SUBSTITUTE(E2617,"#",".01")))</f>
        <v>-13473.042</v>
      </c>
    </row>
    <row r="2618" customFormat="false" ht="12.75" hidden="false" customHeight="false" outlineLevel="0" collapsed="false">
      <c r="A2618" s="1" t="n">
        <v>111</v>
      </c>
      <c r="B2618" s="1" t="n">
        <v>85</v>
      </c>
      <c r="C2618" s="1" t="n">
        <v>196</v>
      </c>
      <c r="D2618" s="1" t="s">
        <v>990</v>
      </c>
      <c r="E2618" s="1" t="n">
        <v>-3914.677</v>
      </c>
      <c r="F2618" s="1" t="n">
        <v>30.284</v>
      </c>
      <c r="G2618" s="1" t="n">
        <f aca="false">IF(ISNUMBER(E2618),E2618,VALUE(SUBSTITUTE(E2618,"#",".01")))</f>
        <v>-3914.677</v>
      </c>
    </row>
    <row r="2619" customFormat="false" ht="12.75" hidden="false" customHeight="false" outlineLevel="0" collapsed="false">
      <c r="A2619" s="1" t="n">
        <v>110</v>
      </c>
      <c r="B2619" s="1" t="n">
        <v>86</v>
      </c>
      <c r="C2619" s="1" t="n">
        <v>196</v>
      </c>
      <c r="D2619" s="1" t="s">
        <v>994</v>
      </c>
      <c r="E2619" s="1" t="n">
        <v>1970.991</v>
      </c>
      <c r="F2619" s="1" t="n">
        <v>14.417</v>
      </c>
      <c r="G2619" s="1" t="n">
        <f aca="false">IF(ISNUMBER(E2619),E2619,VALUE(SUBSTITUTE(E2619,"#",".01")))</f>
        <v>1970.991</v>
      </c>
    </row>
    <row r="2620" customFormat="false" ht="12.75" hidden="false" customHeight="false" outlineLevel="0" collapsed="false">
      <c r="A2620" s="1" t="n">
        <v>123</v>
      </c>
      <c r="B2620" s="1" t="n">
        <v>74</v>
      </c>
      <c r="C2620" s="1" t="n">
        <v>197</v>
      </c>
      <c r="D2620" s="1" t="s">
        <v>868</v>
      </c>
      <c r="E2620" s="1" t="s">
        <v>1002</v>
      </c>
      <c r="F2620" s="1" t="s">
        <v>320</v>
      </c>
      <c r="G2620" s="1" t="n">
        <f aca="false">IF(ISNUMBER(E2620),E2620,VALUE(SUBSTITUTE(E2620,"#",".01")))</f>
        <v>-15140.01</v>
      </c>
    </row>
    <row r="2621" customFormat="false" ht="12.75" hidden="false" customHeight="false" outlineLevel="0" collapsed="false">
      <c r="A2621" s="1" t="n">
        <v>122</v>
      </c>
      <c r="B2621" s="1" t="n">
        <v>75</v>
      </c>
      <c r="C2621" s="1" t="n">
        <v>197</v>
      </c>
      <c r="D2621" s="1" t="s">
        <v>877</v>
      </c>
      <c r="E2621" s="1" t="s">
        <v>1003</v>
      </c>
      <c r="F2621" s="1" t="s">
        <v>360</v>
      </c>
      <c r="G2621" s="1" t="n">
        <f aca="false">IF(ISNUMBER(E2621),E2621,VALUE(SUBSTITUTE(E2621,"#",".01")))</f>
        <v>-20502.01</v>
      </c>
    </row>
    <row r="2622" customFormat="false" ht="12.75" hidden="false" customHeight="false" outlineLevel="0" collapsed="false">
      <c r="A2622" s="1" t="n">
        <v>121</v>
      </c>
      <c r="B2622" s="1" t="n">
        <v>76</v>
      </c>
      <c r="C2622" s="1" t="n">
        <v>197</v>
      </c>
      <c r="D2622" s="1" t="s">
        <v>887</v>
      </c>
      <c r="E2622" s="1" t="s">
        <v>1004</v>
      </c>
      <c r="F2622" s="1" t="s">
        <v>333</v>
      </c>
      <c r="G2622" s="1" t="n">
        <f aca="false">IF(ISNUMBER(E2622),E2622,VALUE(SUBSTITUTE(E2622,"#",".01")))</f>
        <v>-25309.01</v>
      </c>
    </row>
    <row r="2623" customFormat="false" ht="12.75" hidden="false" customHeight="false" outlineLevel="0" collapsed="false">
      <c r="A2623" s="1" t="n">
        <v>120</v>
      </c>
      <c r="B2623" s="1" t="n">
        <v>77</v>
      </c>
      <c r="C2623" s="1" t="n">
        <v>197</v>
      </c>
      <c r="D2623" s="1" t="s">
        <v>900</v>
      </c>
      <c r="E2623" s="1" t="n">
        <v>-28264.105</v>
      </c>
      <c r="F2623" s="1" t="n">
        <v>20.11</v>
      </c>
      <c r="G2623" s="1" t="n">
        <f aca="false">IF(ISNUMBER(E2623),E2623,VALUE(SUBSTITUTE(E2623,"#",".01")))</f>
        <v>-28264.105</v>
      </c>
    </row>
    <row r="2624" customFormat="false" ht="12.75" hidden="false" customHeight="false" outlineLevel="0" collapsed="false">
      <c r="A2624" s="1" t="n">
        <v>119</v>
      </c>
      <c r="B2624" s="1" t="n">
        <v>78</v>
      </c>
      <c r="C2624" s="1" t="n">
        <v>197</v>
      </c>
      <c r="D2624" s="1" t="s">
        <v>915</v>
      </c>
      <c r="E2624" s="1" t="n">
        <v>-30419.75</v>
      </c>
      <c r="F2624" s="1" t="n">
        <v>0.536</v>
      </c>
      <c r="G2624" s="1" t="n">
        <f aca="false">IF(ISNUMBER(E2624),E2624,VALUE(SUBSTITUTE(E2624,"#",".01")))</f>
        <v>-30419.75</v>
      </c>
    </row>
    <row r="2625" customFormat="false" ht="12.75" hidden="false" customHeight="false" outlineLevel="0" collapsed="false">
      <c r="A2625" s="1" t="n">
        <v>118</v>
      </c>
      <c r="B2625" s="1" t="n">
        <v>79</v>
      </c>
      <c r="C2625" s="1" t="n">
        <v>197</v>
      </c>
      <c r="D2625" s="1" t="s">
        <v>930</v>
      </c>
      <c r="E2625" s="1" t="n">
        <v>-31139.738</v>
      </c>
      <c r="F2625" s="1" t="n">
        <v>0.542</v>
      </c>
      <c r="G2625" s="1" t="n">
        <f aca="false">IF(ISNUMBER(E2625),E2625,VALUE(SUBSTITUTE(E2625,"#",".01")))</f>
        <v>-31139.738</v>
      </c>
    </row>
    <row r="2626" customFormat="false" ht="12.75" hidden="false" customHeight="false" outlineLevel="0" collapsed="false">
      <c r="A2626" s="1" t="n">
        <v>117</v>
      </c>
      <c r="B2626" s="1" t="n">
        <v>80</v>
      </c>
      <c r="C2626" s="1" t="n">
        <v>197</v>
      </c>
      <c r="D2626" s="1" t="s">
        <v>939</v>
      </c>
      <c r="E2626" s="1" t="n">
        <v>-30540.229</v>
      </c>
      <c r="F2626" s="1" t="n">
        <v>3.207</v>
      </c>
      <c r="G2626" s="1" t="n">
        <f aca="false">IF(ISNUMBER(E2626),E2626,VALUE(SUBSTITUTE(E2626,"#",".01")))</f>
        <v>-30540.229</v>
      </c>
    </row>
    <row r="2627" customFormat="false" ht="12.75" hidden="false" customHeight="false" outlineLevel="0" collapsed="false">
      <c r="A2627" s="1" t="n">
        <v>116</v>
      </c>
      <c r="B2627" s="1" t="n">
        <v>81</v>
      </c>
      <c r="C2627" s="1" t="n">
        <v>197</v>
      </c>
      <c r="D2627" s="1" t="s">
        <v>955</v>
      </c>
      <c r="E2627" s="1" t="n">
        <v>-28341.649</v>
      </c>
      <c r="F2627" s="1" t="n">
        <v>16.325</v>
      </c>
      <c r="G2627" s="1" t="n">
        <f aca="false">IF(ISNUMBER(E2627),E2627,VALUE(SUBSTITUTE(E2627,"#",".01")))</f>
        <v>-28341.649</v>
      </c>
    </row>
    <row r="2628" customFormat="false" ht="12.75" hidden="false" customHeight="false" outlineLevel="0" collapsed="false">
      <c r="A2628" s="1" t="n">
        <v>115</v>
      </c>
      <c r="B2628" s="1" t="n">
        <v>82</v>
      </c>
      <c r="C2628" s="1" t="n">
        <v>197</v>
      </c>
      <c r="D2628" s="1" t="s">
        <v>963</v>
      </c>
      <c r="E2628" s="1" t="n">
        <v>-24745.401</v>
      </c>
      <c r="F2628" s="1" t="n">
        <v>4.804</v>
      </c>
      <c r="G2628" s="1" t="n">
        <f aca="false">IF(ISNUMBER(E2628),E2628,VALUE(SUBSTITUTE(E2628,"#",".01")))</f>
        <v>-24745.401</v>
      </c>
    </row>
    <row r="2629" customFormat="false" ht="12.75" hidden="false" customHeight="false" outlineLevel="0" collapsed="false">
      <c r="A2629" s="1" t="n">
        <v>114</v>
      </c>
      <c r="B2629" s="1" t="n">
        <v>83</v>
      </c>
      <c r="C2629" s="1" t="n">
        <v>197</v>
      </c>
      <c r="D2629" s="1" t="s">
        <v>974</v>
      </c>
      <c r="E2629" s="1" t="n">
        <v>-19687.191</v>
      </c>
      <c r="F2629" s="1" t="n">
        <v>8.333</v>
      </c>
      <c r="G2629" s="1" t="n">
        <f aca="false">IF(ISNUMBER(E2629),E2629,VALUE(SUBSTITUTE(E2629,"#",".01")))</f>
        <v>-19687.191</v>
      </c>
    </row>
    <row r="2630" customFormat="false" ht="12.75" hidden="false" customHeight="false" outlineLevel="0" collapsed="false">
      <c r="A2630" s="1" t="n">
        <v>113</v>
      </c>
      <c r="B2630" s="1" t="n">
        <v>84</v>
      </c>
      <c r="C2630" s="1" t="n">
        <v>197</v>
      </c>
      <c r="D2630" s="1" t="s">
        <v>980</v>
      </c>
      <c r="E2630" s="1" t="n">
        <v>-13357.99</v>
      </c>
      <c r="F2630" s="1" t="n">
        <v>49.679</v>
      </c>
      <c r="G2630" s="1" t="n">
        <f aca="false">IF(ISNUMBER(E2630),E2630,VALUE(SUBSTITUTE(E2630,"#",".01")))</f>
        <v>-13357.99</v>
      </c>
    </row>
    <row r="2631" customFormat="false" ht="12.75" hidden="false" customHeight="false" outlineLevel="0" collapsed="false">
      <c r="A2631" s="1" t="n">
        <v>112</v>
      </c>
      <c r="B2631" s="1" t="n">
        <v>85</v>
      </c>
      <c r="C2631" s="1" t="n">
        <v>197</v>
      </c>
      <c r="D2631" s="1" t="s">
        <v>990</v>
      </c>
      <c r="E2631" s="1" t="n">
        <v>-6355.25</v>
      </c>
      <c r="F2631" s="1" t="n">
        <v>7.983</v>
      </c>
      <c r="G2631" s="1" t="n">
        <f aca="false">IF(ISNUMBER(E2631),E2631,VALUE(SUBSTITUTE(E2631,"#",".01")))</f>
        <v>-6355.25</v>
      </c>
    </row>
    <row r="2632" customFormat="false" ht="12.75" hidden="false" customHeight="false" outlineLevel="0" collapsed="false">
      <c r="A2632" s="1" t="n">
        <v>111</v>
      </c>
      <c r="B2632" s="1" t="n">
        <v>86</v>
      </c>
      <c r="C2632" s="1" t="n">
        <v>197</v>
      </c>
      <c r="D2632" s="1" t="s">
        <v>994</v>
      </c>
      <c r="E2632" s="1" t="n">
        <v>1510.353</v>
      </c>
      <c r="F2632" s="1" t="n">
        <v>16.193</v>
      </c>
      <c r="G2632" s="1" t="n">
        <f aca="false">IF(ISNUMBER(E2632),E2632,VALUE(SUBSTITUTE(E2632,"#",".01")))</f>
        <v>1510.353</v>
      </c>
    </row>
    <row r="2633" customFormat="false" ht="12.75" hidden="false" customHeight="false" outlineLevel="0" collapsed="false">
      <c r="A2633" s="1" t="n">
        <v>110</v>
      </c>
      <c r="B2633" s="1" t="n">
        <v>87</v>
      </c>
      <c r="C2633" s="1" t="n">
        <v>197</v>
      </c>
      <c r="D2633" s="1" t="s">
        <v>1005</v>
      </c>
      <c r="E2633" s="1" t="n">
        <v>10253.971</v>
      </c>
      <c r="F2633" s="1" t="n">
        <v>54.404</v>
      </c>
      <c r="G2633" s="1" t="n">
        <f aca="false">IF(ISNUMBER(E2633),E2633,VALUE(SUBSTITUTE(E2633,"#",".01")))</f>
        <v>10253.971</v>
      </c>
    </row>
    <row r="2634" customFormat="false" ht="12.75" hidden="false" customHeight="false" outlineLevel="0" collapsed="false">
      <c r="A2634" s="1" t="n">
        <v>123</v>
      </c>
      <c r="B2634" s="1" t="n">
        <v>75</v>
      </c>
      <c r="C2634" s="1" t="n">
        <v>198</v>
      </c>
      <c r="D2634" s="1" t="s">
        <v>877</v>
      </c>
      <c r="E2634" s="1" t="s">
        <v>1006</v>
      </c>
      <c r="F2634" s="1" t="s">
        <v>320</v>
      </c>
      <c r="G2634" s="1" t="n">
        <f aca="false">IF(ISNUMBER(E2634),E2634,VALUE(SUBSTITUTE(E2634,"#",".01")))</f>
        <v>-17139.01</v>
      </c>
    </row>
    <row r="2635" customFormat="false" ht="12.75" hidden="false" customHeight="false" outlineLevel="0" collapsed="false">
      <c r="A2635" s="1" t="n">
        <v>122</v>
      </c>
      <c r="B2635" s="1" t="n">
        <v>76</v>
      </c>
      <c r="C2635" s="1" t="n">
        <v>198</v>
      </c>
      <c r="D2635" s="1" t="s">
        <v>887</v>
      </c>
      <c r="E2635" s="1" t="s">
        <v>1007</v>
      </c>
      <c r="F2635" s="1" t="s">
        <v>333</v>
      </c>
      <c r="G2635" s="1" t="n">
        <f aca="false">IF(ISNUMBER(E2635),E2635,VALUE(SUBSTITUTE(E2635,"#",".01")))</f>
        <v>-23837.01</v>
      </c>
    </row>
    <row r="2636" customFormat="false" ht="12.75" hidden="false" customHeight="false" outlineLevel="0" collapsed="false">
      <c r="A2636" s="1" t="n">
        <v>121</v>
      </c>
      <c r="B2636" s="1" t="n">
        <v>77</v>
      </c>
      <c r="C2636" s="1" t="n">
        <v>198</v>
      </c>
      <c r="D2636" s="1" t="s">
        <v>900</v>
      </c>
      <c r="E2636" s="1" t="s">
        <v>1008</v>
      </c>
      <c r="F2636" s="1" t="s">
        <v>333</v>
      </c>
      <c r="G2636" s="1" t="n">
        <f aca="false">IF(ISNUMBER(E2636),E2636,VALUE(SUBSTITUTE(E2636,"#",".01")))</f>
        <v>-25821.01</v>
      </c>
    </row>
    <row r="2637" customFormat="false" ht="12.75" hidden="false" customHeight="false" outlineLevel="0" collapsed="false">
      <c r="A2637" s="1" t="n">
        <v>120</v>
      </c>
      <c r="B2637" s="1" t="n">
        <v>78</v>
      </c>
      <c r="C2637" s="1" t="n">
        <v>198</v>
      </c>
      <c r="D2637" s="1" t="s">
        <v>915</v>
      </c>
      <c r="E2637" s="1" t="n">
        <v>-29903.999</v>
      </c>
      <c r="F2637" s="1" t="n">
        <v>2.1</v>
      </c>
      <c r="G2637" s="1" t="n">
        <f aca="false">IF(ISNUMBER(E2637),E2637,VALUE(SUBSTITUTE(E2637,"#",".01")))</f>
        <v>-29903.999</v>
      </c>
    </row>
    <row r="2638" customFormat="false" ht="12.75" hidden="false" customHeight="false" outlineLevel="0" collapsed="false">
      <c r="A2638" s="1" t="n">
        <v>119</v>
      </c>
      <c r="B2638" s="1" t="n">
        <v>79</v>
      </c>
      <c r="C2638" s="1" t="n">
        <v>198</v>
      </c>
      <c r="D2638" s="1" t="s">
        <v>930</v>
      </c>
      <c r="E2638" s="1" t="n">
        <v>-29580.781</v>
      </c>
      <c r="F2638" s="1" t="n">
        <v>0.54</v>
      </c>
      <c r="G2638" s="1" t="n">
        <f aca="false">IF(ISNUMBER(E2638),E2638,VALUE(SUBSTITUTE(E2638,"#",".01")))</f>
        <v>-29580.781</v>
      </c>
    </row>
    <row r="2639" customFormat="false" ht="12.75" hidden="false" customHeight="false" outlineLevel="0" collapsed="false">
      <c r="A2639" s="1" t="n">
        <v>118</v>
      </c>
      <c r="B2639" s="1" t="n">
        <v>80</v>
      </c>
      <c r="C2639" s="1" t="n">
        <v>198</v>
      </c>
      <c r="D2639" s="1" t="s">
        <v>939</v>
      </c>
      <c r="E2639" s="1" t="n">
        <v>-30954.31</v>
      </c>
      <c r="F2639" s="1" t="n">
        <v>0.458</v>
      </c>
      <c r="G2639" s="1" t="n">
        <f aca="false">IF(ISNUMBER(E2639),E2639,VALUE(SUBSTITUTE(E2639,"#",".01")))</f>
        <v>-30954.31</v>
      </c>
    </row>
    <row r="2640" customFormat="false" ht="12.75" hidden="false" customHeight="false" outlineLevel="0" collapsed="false">
      <c r="A2640" s="1" t="n">
        <v>117</v>
      </c>
      <c r="B2640" s="1" t="n">
        <v>81</v>
      </c>
      <c r="C2640" s="1" t="n">
        <v>198</v>
      </c>
      <c r="D2640" s="1" t="s">
        <v>955</v>
      </c>
      <c r="E2640" s="1" t="n">
        <v>-27528.746</v>
      </c>
      <c r="F2640" s="1" t="n">
        <v>7.545</v>
      </c>
      <c r="G2640" s="1" t="n">
        <f aca="false">IF(ISNUMBER(E2640),E2640,VALUE(SUBSTITUTE(E2640,"#",".01")))</f>
        <v>-27528.746</v>
      </c>
    </row>
    <row r="2641" customFormat="false" ht="12.75" hidden="false" customHeight="false" outlineLevel="0" collapsed="false">
      <c r="A2641" s="1" t="n">
        <v>116</v>
      </c>
      <c r="B2641" s="1" t="n">
        <v>82</v>
      </c>
      <c r="C2641" s="1" t="n">
        <v>198</v>
      </c>
      <c r="D2641" s="1" t="s">
        <v>963</v>
      </c>
      <c r="E2641" s="1" t="n">
        <v>-26067.489</v>
      </c>
      <c r="F2641" s="1" t="n">
        <v>8.75</v>
      </c>
      <c r="G2641" s="1" t="n">
        <f aca="false">IF(ISNUMBER(E2641),E2641,VALUE(SUBSTITUTE(E2641,"#",".01")))</f>
        <v>-26067.489</v>
      </c>
    </row>
    <row r="2642" customFormat="false" ht="12.75" hidden="false" customHeight="false" outlineLevel="0" collapsed="false">
      <c r="A2642" s="1" t="n">
        <v>115</v>
      </c>
      <c r="B2642" s="1" t="n">
        <v>83</v>
      </c>
      <c r="C2642" s="1" t="n">
        <v>198</v>
      </c>
      <c r="D2642" s="1" t="s">
        <v>974</v>
      </c>
      <c r="E2642" s="1" t="n">
        <v>-19369.486</v>
      </c>
      <c r="F2642" s="1" t="n">
        <v>27.945</v>
      </c>
      <c r="G2642" s="1" t="n">
        <f aca="false">IF(ISNUMBER(E2642),E2642,VALUE(SUBSTITUTE(E2642,"#",".01")))</f>
        <v>-19369.486</v>
      </c>
    </row>
    <row r="2643" customFormat="false" ht="12.75" hidden="false" customHeight="false" outlineLevel="0" collapsed="false">
      <c r="A2643" s="1" t="n">
        <v>114</v>
      </c>
      <c r="B2643" s="1" t="n">
        <v>84</v>
      </c>
      <c r="C2643" s="1" t="n">
        <v>198</v>
      </c>
      <c r="D2643" s="1" t="s">
        <v>980</v>
      </c>
      <c r="E2643" s="1" t="n">
        <v>-15473.352</v>
      </c>
      <c r="F2643" s="1" t="n">
        <v>17.424</v>
      </c>
      <c r="G2643" s="1" t="n">
        <f aca="false">IF(ISNUMBER(E2643),E2643,VALUE(SUBSTITUTE(E2643,"#",".01")))</f>
        <v>-15473.352</v>
      </c>
    </row>
    <row r="2644" customFormat="false" ht="12.75" hidden="false" customHeight="false" outlineLevel="0" collapsed="false">
      <c r="A2644" s="1" t="n">
        <v>113</v>
      </c>
      <c r="B2644" s="1" t="n">
        <v>85</v>
      </c>
      <c r="C2644" s="1" t="n">
        <v>198</v>
      </c>
      <c r="D2644" s="1" t="s">
        <v>990</v>
      </c>
      <c r="E2644" s="1" t="n">
        <v>-6714.513</v>
      </c>
      <c r="F2644" s="1" t="n">
        <v>5.868</v>
      </c>
      <c r="G2644" s="1" t="n">
        <f aca="false">IF(ISNUMBER(E2644),E2644,VALUE(SUBSTITUTE(E2644,"#",".01")))</f>
        <v>-6714.513</v>
      </c>
    </row>
    <row r="2645" customFormat="false" ht="12.75" hidden="false" customHeight="false" outlineLevel="0" collapsed="false">
      <c r="A2645" s="1" t="n">
        <v>112</v>
      </c>
      <c r="B2645" s="1" t="n">
        <v>86</v>
      </c>
      <c r="C2645" s="1" t="n">
        <v>198</v>
      </c>
      <c r="D2645" s="1" t="s">
        <v>994</v>
      </c>
      <c r="E2645" s="1" t="n">
        <v>-1230.358</v>
      </c>
      <c r="F2645" s="1" t="n">
        <v>13.42</v>
      </c>
      <c r="G2645" s="1" t="n">
        <f aca="false">IF(ISNUMBER(E2645),E2645,VALUE(SUBSTITUTE(E2645,"#",".01")))</f>
        <v>-1230.358</v>
      </c>
    </row>
    <row r="2646" customFormat="false" ht="12.75" hidden="false" customHeight="false" outlineLevel="0" collapsed="false">
      <c r="A2646" s="1" t="n">
        <v>111</v>
      </c>
      <c r="B2646" s="1" t="n">
        <v>87</v>
      </c>
      <c r="C2646" s="1" t="n">
        <v>198</v>
      </c>
      <c r="D2646" s="1" t="s">
        <v>1005</v>
      </c>
      <c r="E2646" s="1" t="n">
        <v>9574.024</v>
      </c>
      <c r="F2646" s="1" t="n">
        <v>32.222</v>
      </c>
      <c r="G2646" s="1" t="n">
        <f aca="false">IF(ISNUMBER(E2646),E2646,VALUE(SUBSTITUTE(E2646,"#",".01")))</f>
        <v>9574.024</v>
      </c>
    </row>
    <row r="2647" customFormat="false" ht="12.75" hidden="false" customHeight="false" outlineLevel="0" collapsed="false">
      <c r="A2647" s="1" t="n">
        <v>124</v>
      </c>
      <c r="B2647" s="1" t="n">
        <v>75</v>
      </c>
      <c r="C2647" s="1" t="n">
        <v>199</v>
      </c>
      <c r="D2647" s="1" t="s">
        <v>877</v>
      </c>
      <c r="E2647" s="1" t="s">
        <v>1009</v>
      </c>
      <c r="F2647" s="1" t="s">
        <v>320</v>
      </c>
      <c r="G2647" s="1" t="n">
        <f aca="false">IF(ISNUMBER(E2647),E2647,VALUE(SUBSTITUTE(E2647,"#",".01")))</f>
        <v>-14860.01</v>
      </c>
    </row>
    <row r="2648" customFormat="false" ht="12.75" hidden="false" customHeight="false" outlineLevel="0" collapsed="false">
      <c r="A2648" s="1" t="n">
        <v>123</v>
      </c>
      <c r="B2648" s="1" t="n">
        <v>76</v>
      </c>
      <c r="C2648" s="1" t="n">
        <v>199</v>
      </c>
      <c r="D2648" s="1" t="s">
        <v>887</v>
      </c>
      <c r="E2648" s="1" t="s">
        <v>1010</v>
      </c>
      <c r="F2648" s="1" t="s">
        <v>333</v>
      </c>
      <c r="G2648" s="1" t="n">
        <f aca="false">IF(ISNUMBER(E2648),E2648,VALUE(SUBSTITUTE(E2648,"#",".01")))</f>
        <v>-20484.01</v>
      </c>
    </row>
    <row r="2649" customFormat="false" ht="12.75" hidden="false" customHeight="false" outlineLevel="0" collapsed="false">
      <c r="A2649" s="1" t="n">
        <v>122</v>
      </c>
      <c r="B2649" s="1" t="n">
        <v>77</v>
      </c>
      <c r="C2649" s="1" t="n">
        <v>199</v>
      </c>
      <c r="D2649" s="1" t="s">
        <v>900</v>
      </c>
      <c r="E2649" s="1" t="n">
        <v>-24398.515</v>
      </c>
      <c r="F2649" s="1" t="n">
        <v>41.054</v>
      </c>
      <c r="G2649" s="1" t="n">
        <f aca="false">IF(ISNUMBER(E2649),E2649,VALUE(SUBSTITUTE(E2649,"#",".01")))</f>
        <v>-24398.515</v>
      </c>
    </row>
    <row r="2650" customFormat="false" ht="12.75" hidden="false" customHeight="false" outlineLevel="0" collapsed="false">
      <c r="A2650" s="1" t="n">
        <v>121</v>
      </c>
      <c r="B2650" s="1" t="n">
        <v>78</v>
      </c>
      <c r="C2650" s="1" t="n">
        <v>199</v>
      </c>
      <c r="D2650" s="1" t="s">
        <v>915</v>
      </c>
      <c r="E2650" s="1" t="n">
        <v>-27388.682</v>
      </c>
      <c r="F2650" s="1" t="n">
        <v>2.159</v>
      </c>
      <c r="G2650" s="1" t="n">
        <f aca="false">IF(ISNUMBER(E2650),E2650,VALUE(SUBSTITUTE(E2650,"#",".01")))</f>
        <v>-27388.682</v>
      </c>
    </row>
    <row r="2651" customFormat="false" ht="12.75" hidden="false" customHeight="false" outlineLevel="0" collapsed="false">
      <c r="A2651" s="1" t="n">
        <v>120</v>
      </c>
      <c r="B2651" s="1" t="n">
        <v>79</v>
      </c>
      <c r="C2651" s="1" t="n">
        <v>199</v>
      </c>
      <c r="D2651" s="1" t="s">
        <v>930</v>
      </c>
      <c r="E2651" s="1" t="n">
        <v>-29093.741</v>
      </c>
      <c r="F2651" s="1" t="n">
        <v>0.542</v>
      </c>
      <c r="G2651" s="1" t="n">
        <f aca="false">IF(ISNUMBER(E2651),E2651,VALUE(SUBSTITUTE(E2651,"#",".01")))</f>
        <v>-29093.741</v>
      </c>
    </row>
    <row r="2652" customFormat="false" ht="12.75" hidden="false" customHeight="false" outlineLevel="0" collapsed="false">
      <c r="A2652" s="1" t="n">
        <v>119</v>
      </c>
      <c r="B2652" s="1" t="n">
        <v>80</v>
      </c>
      <c r="C2652" s="1" t="n">
        <v>199</v>
      </c>
      <c r="D2652" s="1" t="s">
        <v>939</v>
      </c>
      <c r="E2652" s="1" t="n">
        <v>-29546.068</v>
      </c>
      <c r="F2652" s="1" t="n">
        <v>0.526</v>
      </c>
      <c r="G2652" s="1" t="n">
        <f aca="false">IF(ISNUMBER(E2652),E2652,VALUE(SUBSTITUTE(E2652,"#",".01")))</f>
        <v>-29546.068</v>
      </c>
    </row>
    <row r="2653" customFormat="false" ht="12.75" hidden="false" customHeight="false" outlineLevel="0" collapsed="false">
      <c r="A2653" s="1" t="n">
        <v>118</v>
      </c>
      <c r="B2653" s="1" t="n">
        <v>81</v>
      </c>
      <c r="C2653" s="1" t="n">
        <v>199</v>
      </c>
      <c r="D2653" s="1" t="s">
        <v>955</v>
      </c>
      <c r="E2653" s="1" t="n">
        <v>-28059.394</v>
      </c>
      <c r="F2653" s="1" t="n">
        <v>27.945</v>
      </c>
      <c r="G2653" s="1" t="n">
        <f aca="false">IF(ISNUMBER(E2653),E2653,VALUE(SUBSTITUTE(E2653,"#",".01")))</f>
        <v>-28059.394</v>
      </c>
    </row>
    <row r="2654" customFormat="false" ht="12.75" hidden="false" customHeight="false" outlineLevel="0" collapsed="false">
      <c r="A2654" s="1" t="n">
        <v>117</v>
      </c>
      <c r="B2654" s="1" t="n">
        <v>82</v>
      </c>
      <c r="C2654" s="1" t="n">
        <v>199</v>
      </c>
      <c r="D2654" s="1" t="s">
        <v>963</v>
      </c>
      <c r="E2654" s="1" t="n">
        <v>-25231.804</v>
      </c>
      <c r="F2654" s="1" t="n">
        <v>9.996</v>
      </c>
      <c r="G2654" s="1" t="n">
        <f aca="false">IF(ISNUMBER(E2654),E2654,VALUE(SUBSTITUTE(E2654,"#",".01")))</f>
        <v>-25231.804</v>
      </c>
    </row>
    <row r="2655" customFormat="false" ht="12.75" hidden="false" customHeight="false" outlineLevel="0" collapsed="false">
      <c r="A2655" s="1" t="n">
        <v>116</v>
      </c>
      <c r="B2655" s="1" t="n">
        <v>83</v>
      </c>
      <c r="C2655" s="1" t="n">
        <v>199</v>
      </c>
      <c r="D2655" s="1" t="s">
        <v>974</v>
      </c>
      <c r="E2655" s="1" t="n">
        <v>-20797.566</v>
      </c>
      <c r="F2655" s="1" t="n">
        <v>10.568</v>
      </c>
      <c r="G2655" s="1" t="n">
        <f aca="false">IF(ISNUMBER(E2655),E2655,VALUE(SUBSTITUTE(E2655,"#",".01")))</f>
        <v>-20797.566</v>
      </c>
    </row>
    <row r="2656" customFormat="false" ht="12.75" hidden="false" customHeight="false" outlineLevel="0" collapsed="false">
      <c r="A2656" s="1" t="n">
        <v>115</v>
      </c>
      <c r="B2656" s="1" t="n">
        <v>84</v>
      </c>
      <c r="C2656" s="1" t="n">
        <v>199</v>
      </c>
      <c r="D2656" s="1" t="s">
        <v>980</v>
      </c>
      <c r="E2656" s="1" t="n">
        <v>-15208.483</v>
      </c>
      <c r="F2656" s="1" t="n">
        <v>18.06</v>
      </c>
      <c r="G2656" s="1" t="n">
        <f aca="false">IF(ISNUMBER(E2656),E2656,VALUE(SUBSTITUTE(E2656,"#",".01")))</f>
        <v>-15208.483</v>
      </c>
    </row>
    <row r="2657" customFormat="false" ht="12.75" hidden="false" customHeight="false" outlineLevel="0" collapsed="false">
      <c r="A2657" s="1" t="n">
        <v>114</v>
      </c>
      <c r="B2657" s="1" t="n">
        <v>85</v>
      </c>
      <c r="C2657" s="1" t="n">
        <v>199</v>
      </c>
      <c r="D2657" s="1" t="s">
        <v>990</v>
      </c>
      <c r="E2657" s="1" t="n">
        <v>-8823.372</v>
      </c>
      <c r="F2657" s="1" t="n">
        <v>5.384</v>
      </c>
      <c r="G2657" s="1" t="n">
        <f aca="false">IF(ISNUMBER(E2657),E2657,VALUE(SUBSTITUTE(E2657,"#",".01")))</f>
        <v>-8823.372</v>
      </c>
    </row>
    <row r="2658" customFormat="false" ht="12.75" hidden="false" customHeight="false" outlineLevel="0" collapsed="false">
      <c r="A2658" s="1" t="n">
        <v>113</v>
      </c>
      <c r="B2658" s="1" t="n">
        <v>86</v>
      </c>
      <c r="C2658" s="1" t="n">
        <v>199</v>
      </c>
      <c r="D2658" s="1" t="s">
        <v>994</v>
      </c>
      <c r="E2658" s="1" t="n">
        <v>-1499.451</v>
      </c>
      <c r="F2658" s="1" t="n">
        <v>37.588</v>
      </c>
      <c r="G2658" s="1" t="n">
        <f aca="false">IF(ISNUMBER(E2658),E2658,VALUE(SUBSTITUTE(E2658,"#",".01")))</f>
        <v>-1499.451</v>
      </c>
    </row>
    <row r="2659" customFormat="false" ht="12.75" hidden="false" customHeight="false" outlineLevel="0" collapsed="false">
      <c r="A2659" s="1" t="n">
        <v>112</v>
      </c>
      <c r="B2659" s="1" t="n">
        <v>87</v>
      </c>
      <c r="C2659" s="1" t="n">
        <v>199</v>
      </c>
      <c r="D2659" s="1" t="s">
        <v>1005</v>
      </c>
      <c r="E2659" s="1" t="n">
        <v>6771.393</v>
      </c>
      <c r="F2659" s="1" t="n">
        <v>13.726</v>
      </c>
      <c r="G2659" s="1" t="n">
        <f aca="false">IF(ISNUMBER(E2659),E2659,VALUE(SUBSTITUTE(E2659,"#",".01")))</f>
        <v>6771.393</v>
      </c>
    </row>
    <row r="2660" customFormat="false" ht="12.75" hidden="false" customHeight="false" outlineLevel="0" collapsed="false">
      <c r="A2660" s="1" t="n">
        <v>124</v>
      </c>
      <c r="B2660" s="1" t="n">
        <v>76</v>
      </c>
      <c r="C2660" s="1" t="n">
        <v>200</v>
      </c>
      <c r="D2660" s="1" t="s">
        <v>887</v>
      </c>
      <c r="E2660" s="1" t="s">
        <v>1011</v>
      </c>
      <c r="F2660" s="1" t="s">
        <v>360</v>
      </c>
      <c r="G2660" s="1" t="n">
        <f aca="false">IF(ISNUMBER(E2660),E2660,VALUE(SUBSTITUTE(E2660,"#",".01")))</f>
        <v>-18779.01</v>
      </c>
    </row>
    <row r="2661" customFormat="false" ht="12.75" hidden="false" customHeight="false" outlineLevel="0" collapsed="false">
      <c r="A2661" s="1" t="n">
        <v>123</v>
      </c>
      <c r="B2661" s="1" t="n">
        <v>77</v>
      </c>
      <c r="C2661" s="1" t="n">
        <v>200</v>
      </c>
      <c r="D2661" s="1" t="s">
        <v>900</v>
      </c>
      <c r="E2661" s="1" t="s">
        <v>1012</v>
      </c>
      <c r="F2661" s="1" t="s">
        <v>333</v>
      </c>
      <c r="G2661" s="1" t="n">
        <f aca="false">IF(ISNUMBER(E2661),E2661,VALUE(SUBSTITUTE(E2661,"#",".01")))</f>
        <v>-21611.01</v>
      </c>
    </row>
    <row r="2662" customFormat="false" ht="12.75" hidden="false" customHeight="false" outlineLevel="0" collapsed="false">
      <c r="A2662" s="1" t="n">
        <v>122</v>
      </c>
      <c r="B2662" s="1" t="n">
        <v>78</v>
      </c>
      <c r="C2662" s="1" t="n">
        <v>200</v>
      </c>
      <c r="D2662" s="1" t="s">
        <v>915</v>
      </c>
      <c r="E2662" s="1" t="n">
        <v>-26599.16</v>
      </c>
      <c r="F2662" s="1" t="n">
        <v>20.11</v>
      </c>
      <c r="G2662" s="1" t="n">
        <f aca="false">IF(ISNUMBER(E2662),E2662,VALUE(SUBSTITUTE(E2662,"#",".01")))</f>
        <v>-26599.16</v>
      </c>
    </row>
    <row r="2663" customFormat="false" ht="12.75" hidden="false" customHeight="false" outlineLevel="0" collapsed="false">
      <c r="A2663" s="1" t="n">
        <v>121</v>
      </c>
      <c r="B2663" s="1" t="n">
        <v>79</v>
      </c>
      <c r="C2663" s="1" t="n">
        <v>200</v>
      </c>
      <c r="D2663" s="1" t="s">
        <v>930</v>
      </c>
      <c r="E2663" s="1" t="n">
        <v>-27240.092</v>
      </c>
      <c r="F2663" s="1" t="n">
        <v>26.717</v>
      </c>
      <c r="G2663" s="1" t="n">
        <f aca="false">IF(ISNUMBER(E2663),E2663,VALUE(SUBSTITUTE(E2663,"#",".01")))</f>
        <v>-27240.092</v>
      </c>
    </row>
    <row r="2664" customFormat="false" ht="12.75" hidden="false" customHeight="false" outlineLevel="0" collapsed="false">
      <c r="A2664" s="1" t="n">
        <v>120</v>
      </c>
      <c r="B2664" s="1" t="n">
        <v>80</v>
      </c>
      <c r="C2664" s="1" t="n">
        <v>200</v>
      </c>
      <c r="D2664" s="1" t="s">
        <v>939</v>
      </c>
      <c r="E2664" s="1" t="n">
        <v>-29503.27</v>
      </c>
      <c r="F2664" s="1" t="n">
        <v>0.529</v>
      </c>
      <c r="G2664" s="1" t="n">
        <f aca="false">IF(ISNUMBER(E2664),E2664,VALUE(SUBSTITUTE(E2664,"#",".01")))</f>
        <v>-29503.27</v>
      </c>
    </row>
    <row r="2665" customFormat="false" ht="12.75" hidden="false" customHeight="false" outlineLevel="0" collapsed="false">
      <c r="A2665" s="1" t="n">
        <v>119</v>
      </c>
      <c r="B2665" s="1" t="n">
        <v>81</v>
      </c>
      <c r="C2665" s="1" t="n">
        <v>200</v>
      </c>
      <c r="D2665" s="1" t="s">
        <v>955</v>
      </c>
      <c r="E2665" s="1" t="n">
        <v>-27047.23</v>
      </c>
      <c r="F2665" s="1" t="n">
        <v>5.759</v>
      </c>
      <c r="G2665" s="1" t="n">
        <f aca="false">IF(ISNUMBER(E2665),E2665,VALUE(SUBSTITUTE(E2665,"#",".01")))</f>
        <v>-27047.23</v>
      </c>
    </row>
    <row r="2666" customFormat="false" ht="12.75" hidden="false" customHeight="false" outlineLevel="0" collapsed="false">
      <c r="A2666" s="1" t="n">
        <v>118</v>
      </c>
      <c r="B2666" s="1" t="n">
        <v>82</v>
      </c>
      <c r="C2666" s="1" t="n">
        <v>200</v>
      </c>
      <c r="D2666" s="1" t="s">
        <v>963</v>
      </c>
      <c r="E2666" s="1" t="n">
        <v>-26251.054</v>
      </c>
      <c r="F2666" s="1" t="n">
        <v>10.927</v>
      </c>
      <c r="G2666" s="1" t="n">
        <f aca="false">IF(ISNUMBER(E2666),E2666,VALUE(SUBSTITUTE(E2666,"#",".01")))</f>
        <v>-26251.054</v>
      </c>
    </row>
    <row r="2667" customFormat="false" ht="12.75" hidden="false" customHeight="false" outlineLevel="0" collapsed="false">
      <c r="A2667" s="1" t="n">
        <v>117</v>
      </c>
      <c r="B2667" s="1" t="n">
        <v>83</v>
      </c>
      <c r="C2667" s="1" t="n">
        <v>200</v>
      </c>
      <c r="D2667" s="1" t="s">
        <v>974</v>
      </c>
      <c r="E2667" s="1" t="n">
        <v>-20370.755</v>
      </c>
      <c r="F2667" s="1" t="n">
        <v>22.321</v>
      </c>
      <c r="G2667" s="1" t="n">
        <f aca="false">IF(ISNUMBER(E2667),E2667,VALUE(SUBSTITUTE(E2667,"#",".01")))</f>
        <v>-20370.755</v>
      </c>
    </row>
    <row r="2668" customFormat="false" ht="12.75" hidden="false" customHeight="false" outlineLevel="0" collapsed="false">
      <c r="A2668" s="1" t="n">
        <v>116</v>
      </c>
      <c r="B2668" s="1" t="n">
        <v>84</v>
      </c>
      <c r="C2668" s="1" t="n">
        <v>200</v>
      </c>
      <c r="D2668" s="1" t="s">
        <v>980</v>
      </c>
      <c r="E2668" s="1" t="n">
        <v>-16941.761</v>
      </c>
      <c r="F2668" s="1" t="n">
        <v>7.579</v>
      </c>
      <c r="G2668" s="1" t="n">
        <f aca="false">IF(ISNUMBER(E2668),E2668,VALUE(SUBSTITUTE(E2668,"#",".01")))</f>
        <v>-16941.761</v>
      </c>
    </row>
    <row r="2669" customFormat="false" ht="12.75" hidden="false" customHeight="false" outlineLevel="0" collapsed="false">
      <c r="A2669" s="1" t="n">
        <v>115</v>
      </c>
      <c r="B2669" s="1" t="n">
        <v>85</v>
      </c>
      <c r="C2669" s="1" t="n">
        <v>200</v>
      </c>
      <c r="D2669" s="1" t="s">
        <v>990</v>
      </c>
      <c r="E2669" s="1" t="n">
        <v>-8987.892</v>
      </c>
      <c r="F2669" s="1" t="n">
        <v>24.465</v>
      </c>
      <c r="G2669" s="1" t="n">
        <f aca="false">IF(ISNUMBER(E2669),E2669,VALUE(SUBSTITUTE(E2669,"#",".01")))</f>
        <v>-8987.892</v>
      </c>
    </row>
    <row r="2670" customFormat="false" ht="12.75" hidden="false" customHeight="false" outlineLevel="0" collapsed="false">
      <c r="A2670" s="1" t="n">
        <v>114</v>
      </c>
      <c r="B2670" s="1" t="n">
        <v>86</v>
      </c>
      <c r="C2670" s="1" t="n">
        <v>200</v>
      </c>
      <c r="D2670" s="1" t="s">
        <v>994</v>
      </c>
      <c r="E2670" s="1" t="n">
        <v>-4004.765</v>
      </c>
      <c r="F2670" s="1" t="n">
        <v>13.681</v>
      </c>
      <c r="G2670" s="1" t="n">
        <f aca="false">IF(ISNUMBER(E2670),E2670,VALUE(SUBSTITUTE(E2670,"#",".01")))</f>
        <v>-4004.765</v>
      </c>
    </row>
    <row r="2671" customFormat="false" ht="12.75" hidden="false" customHeight="false" outlineLevel="0" collapsed="false">
      <c r="A2671" s="1" t="n">
        <v>113</v>
      </c>
      <c r="B2671" s="1" t="n">
        <v>87</v>
      </c>
      <c r="C2671" s="1" t="n">
        <v>200</v>
      </c>
      <c r="D2671" s="1" t="s">
        <v>1005</v>
      </c>
      <c r="E2671" s="1" t="n">
        <v>6132.498</v>
      </c>
      <c r="F2671" s="1" t="n">
        <v>30.611</v>
      </c>
      <c r="G2671" s="1" t="n">
        <f aca="false">IF(ISNUMBER(E2671),E2671,VALUE(SUBSTITUTE(E2671,"#",".01")))</f>
        <v>6132.498</v>
      </c>
    </row>
    <row r="2672" customFormat="false" ht="12.75" hidden="false" customHeight="false" outlineLevel="0" collapsed="false">
      <c r="A2672" s="1" t="n">
        <v>125</v>
      </c>
      <c r="B2672" s="1" t="n">
        <v>76</v>
      </c>
      <c r="C2672" s="1" t="n">
        <v>201</v>
      </c>
      <c r="D2672" s="1" t="s">
        <v>887</v>
      </c>
      <c r="E2672" s="1" t="s">
        <v>1013</v>
      </c>
      <c r="F2672" s="1" t="s">
        <v>360</v>
      </c>
      <c r="G2672" s="1" t="n">
        <f aca="false">IF(ISNUMBER(E2672),E2672,VALUE(SUBSTITUTE(E2672,"#",".01")))</f>
        <v>-15239.01</v>
      </c>
    </row>
    <row r="2673" customFormat="false" ht="12.75" hidden="false" customHeight="false" outlineLevel="0" collapsed="false">
      <c r="A2673" s="1" t="n">
        <v>124</v>
      </c>
      <c r="B2673" s="1" t="n">
        <v>77</v>
      </c>
      <c r="C2673" s="1" t="n">
        <v>201</v>
      </c>
      <c r="D2673" s="1" t="s">
        <v>900</v>
      </c>
      <c r="E2673" s="1" t="s">
        <v>1014</v>
      </c>
      <c r="F2673" s="1" t="s">
        <v>333</v>
      </c>
      <c r="G2673" s="1" t="n">
        <f aca="false">IF(ISNUMBER(E2673),E2673,VALUE(SUBSTITUTE(E2673,"#",".01")))</f>
        <v>-19897.01</v>
      </c>
    </row>
    <row r="2674" customFormat="false" ht="12.75" hidden="false" customHeight="false" outlineLevel="0" collapsed="false">
      <c r="A2674" s="1" t="n">
        <v>123</v>
      </c>
      <c r="B2674" s="1" t="n">
        <v>78</v>
      </c>
      <c r="C2674" s="1" t="n">
        <v>201</v>
      </c>
      <c r="D2674" s="1" t="s">
        <v>915</v>
      </c>
      <c r="E2674" s="1" t="n">
        <v>-23740.714</v>
      </c>
      <c r="F2674" s="1" t="n">
        <v>50.103</v>
      </c>
      <c r="G2674" s="1" t="n">
        <f aca="false">IF(ISNUMBER(E2674),E2674,VALUE(SUBSTITUTE(E2674,"#",".01")))</f>
        <v>-23740.714</v>
      </c>
    </row>
    <row r="2675" customFormat="false" ht="12.75" hidden="false" customHeight="false" outlineLevel="0" collapsed="false">
      <c r="A2675" s="1" t="n">
        <v>122</v>
      </c>
      <c r="B2675" s="1" t="n">
        <v>79</v>
      </c>
      <c r="C2675" s="1" t="n">
        <v>201</v>
      </c>
      <c r="D2675" s="1" t="s">
        <v>930</v>
      </c>
      <c r="E2675" s="1" t="n">
        <v>-26400.714</v>
      </c>
      <c r="F2675" s="1" t="n">
        <v>3.218</v>
      </c>
      <c r="G2675" s="1" t="n">
        <f aca="false">IF(ISNUMBER(E2675),E2675,VALUE(SUBSTITUTE(E2675,"#",".01")))</f>
        <v>-26400.714</v>
      </c>
    </row>
    <row r="2676" customFormat="false" ht="12.75" hidden="false" customHeight="false" outlineLevel="0" collapsed="false">
      <c r="A2676" s="1" t="n">
        <v>121</v>
      </c>
      <c r="B2676" s="1" t="n">
        <v>80</v>
      </c>
      <c r="C2676" s="1" t="n">
        <v>201</v>
      </c>
      <c r="D2676" s="1" t="s">
        <v>939</v>
      </c>
      <c r="E2676" s="1" t="n">
        <v>-27662.542</v>
      </c>
      <c r="F2676" s="1" t="n">
        <v>0.711</v>
      </c>
      <c r="G2676" s="1" t="n">
        <f aca="false">IF(ISNUMBER(E2676),E2676,VALUE(SUBSTITUTE(E2676,"#",".01")))</f>
        <v>-27662.542</v>
      </c>
    </row>
    <row r="2677" customFormat="false" ht="12.75" hidden="false" customHeight="false" outlineLevel="0" collapsed="false">
      <c r="A2677" s="1" t="n">
        <v>120</v>
      </c>
      <c r="B2677" s="1" t="n">
        <v>81</v>
      </c>
      <c r="C2677" s="1" t="n">
        <v>201</v>
      </c>
      <c r="D2677" s="1" t="s">
        <v>955</v>
      </c>
      <c r="E2677" s="1" t="n">
        <v>-27180.838</v>
      </c>
      <c r="F2677" s="1" t="n">
        <v>14.185</v>
      </c>
      <c r="G2677" s="1" t="n">
        <f aca="false">IF(ISNUMBER(E2677),E2677,VALUE(SUBSTITUTE(E2677,"#",".01")))</f>
        <v>-27180.838</v>
      </c>
    </row>
    <row r="2678" customFormat="false" ht="12.75" hidden="false" customHeight="false" outlineLevel="0" collapsed="false">
      <c r="A2678" s="1" t="n">
        <v>119</v>
      </c>
      <c r="B2678" s="1" t="n">
        <v>82</v>
      </c>
      <c r="C2678" s="1" t="n">
        <v>201</v>
      </c>
      <c r="D2678" s="1" t="s">
        <v>963</v>
      </c>
      <c r="E2678" s="1" t="n">
        <v>-25271.036</v>
      </c>
      <c r="F2678" s="1" t="n">
        <v>13.747</v>
      </c>
      <c r="G2678" s="1" t="n">
        <f aca="false">IF(ISNUMBER(E2678),E2678,VALUE(SUBSTITUTE(E2678,"#",".01")))</f>
        <v>-25271.036</v>
      </c>
    </row>
    <row r="2679" customFormat="false" ht="12.75" hidden="false" customHeight="false" outlineLevel="0" collapsed="false">
      <c r="A2679" s="1" t="n">
        <v>118</v>
      </c>
      <c r="B2679" s="1" t="n">
        <v>83</v>
      </c>
      <c r="C2679" s="1" t="n">
        <v>201</v>
      </c>
      <c r="D2679" s="1" t="s">
        <v>974</v>
      </c>
      <c r="E2679" s="1" t="n">
        <v>-21416.433</v>
      </c>
      <c r="F2679" s="1" t="n">
        <v>15.183</v>
      </c>
      <c r="G2679" s="1" t="n">
        <f aca="false">IF(ISNUMBER(E2679),E2679,VALUE(SUBSTITUTE(E2679,"#",".01")))</f>
        <v>-21416.433</v>
      </c>
    </row>
    <row r="2680" customFormat="false" ht="12.75" hidden="false" customHeight="false" outlineLevel="0" collapsed="false">
      <c r="A2680" s="1" t="n">
        <v>117</v>
      </c>
      <c r="B2680" s="1" t="n">
        <v>84</v>
      </c>
      <c r="C2680" s="1" t="n">
        <v>201</v>
      </c>
      <c r="D2680" s="1" t="s">
        <v>980</v>
      </c>
      <c r="E2680" s="1" t="n">
        <v>-16521.185</v>
      </c>
      <c r="F2680" s="1" t="n">
        <v>4.942</v>
      </c>
      <c r="G2680" s="1" t="n">
        <f aca="false">IF(ISNUMBER(E2680),E2680,VALUE(SUBSTITUTE(E2680,"#",".01")))</f>
        <v>-16521.185</v>
      </c>
    </row>
    <row r="2681" customFormat="false" ht="12.75" hidden="false" customHeight="false" outlineLevel="0" collapsed="false">
      <c r="A2681" s="1" t="n">
        <v>116</v>
      </c>
      <c r="B2681" s="1" t="n">
        <v>85</v>
      </c>
      <c r="C2681" s="1" t="n">
        <v>201</v>
      </c>
      <c r="D2681" s="1" t="s">
        <v>990</v>
      </c>
      <c r="E2681" s="1" t="n">
        <v>-10789.438</v>
      </c>
      <c r="F2681" s="1" t="n">
        <v>8.184</v>
      </c>
      <c r="G2681" s="1" t="n">
        <f aca="false">IF(ISNUMBER(E2681),E2681,VALUE(SUBSTITUTE(E2681,"#",".01")))</f>
        <v>-10789.438</v>
      </c>
    </row>
    <row r="2682" customFormat="false" ht="12.75" hidden="false" customHeight="false" outlineLevel="0" collapsed="false">
      <c r="A2682" s="1" t="n">
        <v>115</v>
      </c>
      <c r="B2682" s="1" t="n">
        <v>86</v>
      </c>
      <c r="C2682" s="1" t="n">
        <v>201</v>
      </c>
      <c r="D2682" s="1" t="s">
        <v>994</v>
      </c>
      <c r="E2682" s="1" t="n">
        <v>-4072.324</v>
      </c>
      <c r="F2682" s="1" t="n">
        <v>49.732</v>
      </c>
      <c r="G2682" s="1" t="n">
        <f aca="false">IF(ISNUMBER(E2682),E2682,VALUE(SUBSTITUTE(E2682,"#",".01")))</f>
        <v>-4072.324</v>
      </c>
    </row>
    <row r="2683" customFormat="false" ht="12.75" hidden="false" customHeight="false" outlineLevel="0" collapsed="false">
      <c r="A2683" s="1" t="n">
        <v>114</v>
      </c>
      <c r="B2683" s="1" t="n">
        <v>87</v>
      </c>
      <c r="C2683" s="1" t="n">
        <v>201</v>
      </c>
      <c r="D2683" s="1" t="s">
        <v>1005</v>
      </c>
      <c r="E2683" s="1" t="n">
        <v>3588.577</v>
      </c>
      <c r="F2683" s="1" t="n">
        <v>9.08</v>
      </c>
      <c r="G2683" s="1" t="n">
        <f aca="false">IF(ISNUMBER(E2683),E2683,VALUE(SUBSTITUTE(E2683,"#",".01")))</f>
        <v>3588.577</v>
      </c>
    </row>
    <row r="2684" customFormat="false" ht="12.75" hidden="false" customHeight="false" outlineLevel="0" collapsed="false">
      <c r="A2684" s="1" t="n">
        <v>113</v>
      </c>
      <c r="B2684" s="1" t="n">
        <v>88</v>
      </c>
      <c r="C2684" s="1" t="n">
        <v>201</v>
      </c>
      <c r="D2684" s="1" t="s">
        <v>1015</v>
      </c>
      <c r="E2684" s="1" t="n">
        <v>11936.801</v>
      </c>
      <c r="F2684" s="1" t="n">
        <v>20.301</v>
      </c>
      <c r="G2684" s="1" t="n">
        <f aca="false">IF(ISNUMBER(E2684),E2684,VALUE(SUBSTITUTE(E2684,"#",".01")))</f>
        <v>11936.801</v>
      </c>
    </row>
    <row r="2685" customFormat="false" ht="12.75" hidden="false" customHeight="false" outlineLevel="0" collapsed="false">
      <c r="A2685" s="1" t="n">
        <v>126</v>
      </c>
      <c r="B2685" s="1" t="n">
        <v>76</v>
      </c>
      <c r="C2685" s="1" t="n">
        <v>202</v>
      </c>
      <c r="D2685" s="1" t="s">
        <v>887</v>
      </c>
      <c r="E2685" s="1" t="s">
        <v>1016</v>
      </c>
      <c r="F2685" s="1" t="s">
        <v>320</v>
      </c>
      <c r="G2685" s="1" t="n">
        <f aca="false">IF(ISNUMBER(E2685),E2685,VALUE(SUBSTITUTE(E2685,"#",".01")))</f>
        <v>-13087.01</v>
      </c>
    </row>
    <row r="2686" customFormat="false" ht="12.75" hidden="false" customHeight="false" outlineLevel="0" collapsed="false">
      <c r="A2686" s="1" t="n">
        <v>125</v>
      </c>
      <c r="B2686" s="1" t="n">
        <v>77</v>
      </c>
      <c r="C2686" s="1" t="n">
        <v>202</v>
      </c>
      <c r="D2686" s="1" t="s">
        <v>900</v>
      </c>
      <c r="E2686" s="1" t="s">
        <v>1017</v>
      </c>
      <c r="F2686" s="1" t="s">
        <v>360</v>
      </c>
      <c r="G2686" s="1" t="n">
        <f aca="false">IF(ISNUMBER(E2686),E2686,VALUE(SUBSTITUTE(E2686,"#",".01")))</f>
        <v>-16776.01</v>
      </c>
    </row>
    <row r="2687" customFormat="false" ht="12.75" hidden="false" customHeight="false" outlineLevel="0" collapsed="false">
      <c r="A2687" s="1" t="n">
        <v>124</v>
      </c>
      <c r="B2687" s="1" t="n">
        <v>78</v>
      </c>
      <c r="C2687" s="1" t="n">
        <v>202</v>
      </c>
      <c r="D2687" s="1" t="s">
        <v>915</v>
      </c>
      <c r="E2687" s="1" t="n">
        <v>-22692.125</v>
      </c>
      <c r="F2687" s="1" t="n">
        <v>25.15</v>
      </c>
      <c r="G2687" s="1" t="n">
        <f aca="false">IF(ISNUMBER(E2687),E2687,VALUE(SUBSTITUTE(E2687,"#",".01")))</f>
        <v>-22692.125</v>
      </c>
    </row>
    <row r="2688" customFormat="false" ht="12.75" hidden="false" customHeight="false" outlineLevel="0" collapsed="false">
      <c r="A2688" s="1" t="n">
        <v>123</v>
      </c>
      <c r="B2688" s="1" t="n">
        <v>79</v>
      </c>
      <c r="C2688" s="1" t="n">
        <v>202</v>
      </c>
      <c r="D2688" s="1" t="s">
        <v>930</v>
      </c>
      <c r="E2688" s="1" t="n">
        <v>-24352.979</v>
      </c>
      <c r="F2688" s="1" t="n">
        <v>23.287</v>
      </c>
      <c r="G2688" s="1" t="n">
        <f aca="false">IF(ISNUMBER(E2688),E2688,VALUE(SUBSTITUTE(E2688,"#",".01")))</f>
        <v>-24352.979</v>
      </c>
    </row>
    <row r="2689" customFormat="false" ht="12.75" hidden="false" customHeight="false" outlineLevel="0" collapsed="false">
      <c r="A2689" s="1" t="n">
        <v>122</v>
      </c>
      <c r="B2689" s="1" t="n">
        <v>80</v>
      </c>
      <c r="C2689" s="1" t="n">
        <v>202</v>
      </c>
      <c r="D2689" s="1" t="s">
        <v>939</v>
      </c>
      <c r="E2689" s="1" t="n">
        <v>-27345.324</v>
      </c>
      <c r="F2689" s="1" t="n">
        <v>0.705</v>
      </c>
      <c r="G2689" s="1" t="n">
        <f aca="false">IF(ISNUMBER(E2689),E2689,VALUE(SUBSTITUTE(E2689,"#",".01")))</f>
        <v>-27345.324</v>
      </c>
    </row>
    <row r="2690" customFormat="false" ht="12.75" hidden="false" customHeight="false" outlineLevel="0" collapsed="false">
      <c r="A2690" s="1" t="n">
        <v>121</v>
      </c>
      <c r="B2690" s="1" t="n">
        <v>81</v>
      </c>
      <c r="C2690" s="1" t="n">
        <v>202</v>
      </c>
      <c r="D2690" s="1" t="s">
        <v>955</v>
      </c>
      <c r="E2690" s="1" t="n">
        <v>-25980.216</v>
      </c>
      <c r="F2690" s="1" t="n">
        <v>1.606</v>
      </c>
      <c r="G2690" s="1" t="n">
        <f aca="false">IF(ISNUMBER(E2690),E2690,VALUE(SUBSTITUTE(E2690,"#",".01")))</f>
        <v>-25980.216</v>
      </c>
    </row>
    <row r="2691" customFormat="false" ht="12.75" hidden="false" customHeight="false" outlineLevel="0" collapsed="false">
      <c r="A2691" s="1" t="n">
        <v>120</v>
      </c>
      <c r="B2691" s="1" t="n">
        <v>82</v>
      </c>
      <c r="C2691" s="1" t="n">
        <v>202</v>
      </c>
      <c r="D2691" s="1" t="s">
        <v>963</v>
      </c>
      <c r="E2691" s="1" t="n">
        <v>-25940.614</v>
      </c>
      <c r="F2691" s="1" t="n">
        <v>3.796</v>
      </c>
      <c r="G2691" s="1" t="n">
        <f aca="false">IF(ISNUMBER(E2691),E2691,VALUE(SUBSTITUTE(E2691,"#",".01")))</f>
        <v>-25940.614</v>
      </c>
    </row>
    <row r="2692" customFormat="false" ht="12.75" hidden="false" customHeight="false" outlineLevel="0" collapsed="false">
      <c r="A2692" s="1" t="n">
        <v>119</v>
      </c>
      <c r="B2692" s="1" t="n">
        <v>83</v>
      </c>
      <c r="C2692" s="1" t="n">
        <v>202</v>
      </c>
      <c r="D2692" s="1" t="s">
        <v>974</v>
      </c>
      <c r="E2692" s="1" t="n">
        <v>-20741.484</v>
      </c>
      <c r="F2692" s="1" t="n">
        <v>15.396</v>
      </c>
      <c r="G2692" s="1" t="n">
        <f aca="false">IF(ISNUMBER(E2692),E2692,VALUE(SUBSTITUTE(E2692,"#",".01")))</f>
        <v>-20741.484</v>
      </c>
    </row>
    <row r="2693" customFormat="false" ht="12.75" hidden="false" customHeight="false" outlineLevel="0" collapsed="false">
      <c r="A2693" s="1" t="n">
        <v>118</v>
      </c>
      <c r="B2693" s="1" t="n">
        <v>84</v>
      </c>
      <c r="C2693" s="1" t="n">
        <v>202</v>
      </c>
      <c r="D2693" s="1" t="s">
        <v>980</v>
      </c>
      <c r="E2693" s="1" t="n">
        <v>-17941.616</v>
      </c>
      <c r="F2693" s="1" t="n">
        <v>8.67</v>
      </c>
      <c r="G2693" s="1" t="n">
        <f aca="false">IF(ISNUMBER(E2693),E2693,VALUE(SUBSTITUTE(E2693,"#",".01")))</f>
        <v>-17941.616</v>
      </c>
    </row>
    <row r="2694" customFormat="false" ht="12.75" hidden="false" customHeight="false" outlineLevel="0" collapsed="false">
      <c r="A2694" s="1" t="n">
        <v>117</v>
      </c>
      <c r="B2694" s="1" t="n">
        <v>85</v>
      </c>
      <c r="C2694" s="1" t="n">
        <v>202</v>
      </c>
      <c r="D2694" s="1" t="s">
        <v>990</v>
      </c>
      <c r="E2694" s="1" t="n">
        <v>-10590.732</v>
      </c>
      <c r="F2694" s="1" t="n">
        <v>27.977</v>
      </c>
      <c r="G2694" s="1" t="n">
        <f aca="false">IF(ISNUMBER(E2694),E2694,VALUE(SUBSTITUTE(E2694,"#",".01")))</f>
        <v>-10590.732</v>
      </c>
    </row>
    <row r="2695" customFormat="false" ht="12.75" hidden="false" customHeight="false" outlineLevel="0" collapsed="false">
      <c r="A2695" s="1" t="n">
        <v>116</v>
      </c>
      <c r="B2695" s="1" t="n">
        <v>86</v>
      </c>
      <c r="C2695" s="1" t="n">
        <v>202</v>
      </c>
      <c r="D2695" s="1" t="s">
        <v>994</v>
      </c>
      <c r="E2695" s="1" t="n">
        <v>-6274.635</v>
      </c>
      <c r="F2695" s="1" t="n">
        <v>17.52</v>
      </c>
      <c r="G2695" s="1" t="n">
        <f aca="false">IF(ISNUMBER(E2695),E2695,VALUE(SUBSTITUTE(E2695,"#",".01")))</f>
        <v>-6274.635</v>
      </c>
    </row>
    <row r="2696" customFormat="false" ht="12.75" hidden="false" customHeight="false" outlineLevel="0" collapsed="false">
      <c r="A2696" s="1" t="n">
        <v>115</v>
      </c>
      <c r="B2696" s="1" t="n">
        <v>87</v>
      </c>
      <c r="C2696" s="1" t="n">
        <v>202</v>
      </c>
      <c r="D2696" s="1" t="s">
        <v>1005</v>
      </c>
      <c r="E2696" s="1" t="n">
        <v>3096.237</v>
      </c>
      <c r="F2696" s="1" t="n">
        <v>7.04</v>
      </c>
      <c r="G2696" s="1" t="n">
        <f aca="false">IF(ISNUMBER(E2696),E2696,VALUE(SUBSTITUTE(E2696,"#",".01")))</f>
        <v>3096.237</v>
      </c>
    </row>
    <row r="2697" customFormat="false" ht="12.75" hidden="false" customHeight="false" outlineLevel="0" collapsed="false">
      <c r="A2697" s="1" t="n">
        <v>114</v>
      </c>
      <c r="B2697" s="1" t="n">
        <v>88</v>
      </c>
      <c r="C2697" s="1" t="n">
        <v>202</v>
      </c>
      <c r="D2697" s="1" t="s">
        <v>1015</v>
      </c>
      <c r="E2697" s="1" t="n">
        <v>9074.861</v>
      </c>
      <c r="F2697" s="1" t="n">
        <v>15.018</v>
      </c>
      <c r="G2697" s="1" t="n">
        <f aca="false">IF(ISNUMBER(E2697),E2697,VALUE(SUBSTITUTE(E2697,"#",".01")))</f>
        <v>9074.861</v>
      </c>
    </row>
    <row r="2698" customFormat="false" ht="12.75" hidden="false" customHeight="false" outlineLevel="0" collapsed="false">
      <c r="A2698" s="1" t="n">
        <v>127</v>
      </c>
      <c r="B2698" s="1" t="n">
        <v>76</v>
      </c>
      <c r="C2698" s="1" t="n">
        <v>203</v>
      </c>
      <c r="D2698" s="1" t="s">
        <v>887</v>
      </c>
      <c r="E2698" s="1" t="s">
        <v>1018</v>
      </c>
      <c r="F2698" s="1" t="s">
        <v>320</v>
      </c>
      <c r="G2698" s="1" t="n">
        <f aca="false">IF(ISNUMBER(E2698),E2698,VALUE(SUBSTITUTE(E2698,"#",".01")))</f>
        <v>-7640.01</v>
      </c>
    </row>
    <row r="2699" customFormat="false" ht="12.75" hidden="false" customHeight="false" outlineLevel="0" collapsed="false">
      <c r="A2699" s="1" t="n">
        <v>126</v>
      </c>
      <c r="B2699" s="1" t="n">
        <v>77</v>
      </c>
      <c r="C2699" s="1" t="n">
        <v>203</v>
      </c>
      <c r="D2699" s="1" t="s">
        <v>900</v>
      </c>
      <c r="E2699" s="1" t="s">
        <v>1019</v>
      </c>
      <c r="F2699" s="1" t="s">
        <v>320</v>
      </c>
      <c r="G2699" s="1" t="n">
        <f aca="false">IF(ISNUMBER(E2699),E2699,VALUE(SUBSTITUTE(E2699,"#",".01")))</f>
        <v>-14690.01</v>
      </c>
    </row>
    <row r="2700" customFormat="false" ht="12.75" hidden="false" customHeight="false" outlineLevel="0" collapsed="false">
      <c r="A2700" s="1" t="n">
        <v>125</v>
      </c>
      <c r="B2700" s="1" t="n">
        <v>78</v>
      </c>
      <c r="C2700" s="1" t="n">
        <v>203</v>
      </c>
      <c r="D2700" s="1" t="s">
        <v>915</v>
      </c>
      <c r="E2700" s="1" t="s">
        <v>1020</v>
      </c>
      <c r="F2700" s="1" t="s">
        <v>333</v>
      </c>
      <c r="G2700" s="1" t="n">
        <f aca="false">IF(ISNUMBER(E2700),E2700,VALUE(SUBSTITUTE(E2700,"#",".01")))</f>
        <v>-19627.01</v>
      </c>
    </row>
    <row r="2701" customFormat="false" ht="12.75" hidden="false" customHeight="false" outlineLevel="0" collapsed="false">
      <c r="A2701" s="1" t="n">
        <v>124</v>
      </c>
      <c r="B2701" s="1" t="n">
        <v>79</v>
      </c>
      <c r="C2701" s="1" t="n">
        <v>203</v>
      </c>
      <c r="D2701" s="1" t="s">
        <v>930</v>
      </c>
      <c r="E2701" s="1" t="n">
        <v>-23143.436</v>
      </c>
      <c r="F2701" s="1" t="n">
        <v>3.083</v>
      </c>
      <c r="G2701" s="1" t="n">
        <f aca="false">IF(ISNUMBER(E2701),E2701,VALUE(SUBSTITUTE(E2701,"#",".01")))</f>
        <v>-23143.436</v>
      </c>
    </row>
    <row r="2702" customFormat="false" ht="12.75" hidden="false" customHeight="false" outlineLevel="0" collapsed="false">
      <c r="A2702" s="1" t="n">
        <v>123</v>
      </c>
      <c r="B2702" s="1" t="n">
        <v>80</v>
      </c>
      <c r="C2702" s="1" t="n">
        <v>203</v>
      </c>
      <c r="D2702" s="1" t="s">
        <v>939</v>
      </c>
      <c r="E2702" s="1" t="n">
        <v>-25269.265</v>
      </c>
      <c r="F2702" s="1" t="n">
        <v>1.627</v>
      </c>
      <c r="G2702" s="1" t="n">
        <f aca="false">IF(ISNUMBER(E2702),E2702,VALUE(SUBSTITUTE(E2702,"#",".01")))</f>
        <v>-25269.265</v>
      </c>
    </row>
    <row r="2703" customFormat="false" ht="12.75" hidden="false" customHeight="false" outlineLevel="0" collapsed="false">
      <c r="A2703" s="1" t="n">
        <v>122</v>
      </c>
      <c r="B2703" s="1" t="n">
        <v>81</v>
      </c>
      <c r="C2703" s="1" t="n">
        <v>203</v>
      </c>
      <c r="D2703" s="1" t="s">
        <v>955</v>
      </c>
      <c r="E2703" s="1" t="n">
        <v>-25761.377</v>
      </c>
      <c r="F2703" s="1" t="n">
        <v>1.166</v>
      </c>
      <c r="G2703" s="1" t="n">
        <f aca="false">IF(ISNUMBER(E2703),E2703,VALUE(SUBSTITUTE(E2703,"#",".01")))</f>
        <v>-25761.377</v>
      </c>
    </row>
    <row r="2704" customFormat="false" ht="12.75" hidden="false" customHeight="false" outlineLevel="0" collapsed="false">
      <c r="A2704" s="1" t="n">
        <v>121</v>
      </c>
      <c r="B2704" s="1" t="n">
        <v>82</v>
      </c>
      <c r="C2704" s="1" t="n">
        <v>203</v>
      </c>
      <c r="D2704" s="1" t="s">
        <v>963</v>
      </c>
      <c r="E2704" s="1" t="n">
        <v>-24786.557</v>
      </c>
      <c r="F2704" s="1" t="n">
        <v>6.554</v>
      </c>
      <c r="G2704" s="1" t="n">
        <f aca="false">IF(ISNUMBER(E2704),E2704,VALUE(SUBSTITUTE(E2704,"#",".01")))</f>
        <v>-24786.557</v>
      </c>
    </row>
    <row r="2705" customFormat="false" ht="12.75" hidden="false" customHeight="false" outlineLevel="0" collapsed="false">
      <c r="A2705" s="1" t="n">
        <v>120</v>
      </c>
      <c r="B2705" s="1" t="n">
        <v>83</v>
      </c>
      <c r="C2705" s="1" t="n">
        <v>203</v>
      </c>
      <c r="D2705" s="1" t="s">
        <v>974</v>
      </c>
      <c r="E2705" s="1" t="n">
        <v>-21524.827</v>
      </c>
      <c r="F2705" s="1" t="n">
        <v>12.778</v>
      </c>
      <c r="G2705" s="1" t="n">
        <f aca="false">IF(ISNUMBER(E2705),E2705,VALUE(SUBSTITUTE(E2705,"#",".01")))</f>
        <v>-21524.827</v>
      </c>
    </row>
    <row r="2706" customFormat="false" ht="12.75" hidden="false" customHeight="false" outlineLevel="0" collapsed="false">
      <c r="A2706" s="1" t="n">
        <v>119</v>
      </c>
      <c r="B2706" s="1" t="n">
        <v>84</v>
      </c>
      <c r="C2706" s="1" t="n">
        <v>203</v>
      </c>
      <c r="D2706" s="1" t="s">
        <v>980</v>
      </c>
      <c r="E2706" s="1" t="n">
        <v>-17310.889</v>
      </c>
      <c r="F2706" s="1" t="n">
        <v>8.655</v>
      </c>
      <c r="G2706" s="1" t="n">
        <f aca="false">IF(ISNUMBER(E2706),E2706,VALUE(SUBSTITUTE(E2706,"#",".01")))</f>
        <v>-17310.889</v>
      </c>
    </row>
    <row r="2707" customFormat="false" ht="12.75" hidden="false" customHeight="false" outlineLevel="0" collapsed="false">
      <c r="A2707" s="1" t="n">
        <v>118</v>
      </c>
      <c r="B2707" s="1" t="n">
        <v>85</v>
      </c>
      <c r="C2707" s="1" t="n">
        <v>203</v>
      </c>
      <c r="D2707" s="1" t="s">
        <v>990</v>
      </c>
      <c r="E2707" s="1" t="n">
        <v>-12162.557</v>
      </c>
      <c r="F2707" s="1" t="n">
        <v>10.576</v>
      </c>
      <c r="G2707" s="1" t="n">
        <f aca="false">IF(ISNUMBER(E2707),E2707,VALUE(SUBSTITUTE(E2707,"#",".01")))</f>
        <v>-12162.557</v>
      </c>
    </row>
    <row r="2708" customFormat="false" ht="12.75" hidden="false" customHeight="false" outlineLevel="0" collapsed="false">
      <c r="A2708" s="1" t="n">
        <v>117</v>
      </c>
      <c r="B2708" s="1" t="n">
        <v>86</v>
      </c>
      <c r="C2708" s="1" t="n">
        <v>203</v>
      </c>
      <c r="D2708" s="1" t="s">
        <v>994</v>
      </c>
      <c r="E2708" s="1" t="n">
        <v>-6153.699</v>
      </c>
      <c r="F2708" s="1" t="n">
        <v>18.179</v>
      </c>
      <c r="G2708" s="1" t="n">
        <f aca="false">IF(ISNUMBER(E2708),E2708,VALUE(SUBSTITUTE(E2708,"#",".01")))</f>
        <v>-6153.699</v>
      </c>
    </row>
    <row r="2709" customFormat="false" ht="12.75" hidden="false" customHeight="false" outlineLevel="0" collapsed="false">
      <c r="A2709" s="1" t="n">
        <v>116</v>
      </c>
      <c r="B2709" s="1" t="n">
        <v>87</v>
      </c>
      <c r="C2709" s="1" t="n">
        <v>203</v>
      </c>
      <c r="D2709" s="1" t="s">
        <v>1005</v>
      </c>
      <c r="E2709" s="1" t="n">
        <v>876.417</v>
      </c>
      <c r="F2709" s="1" t="n">
        <v>6.232</v>
      </c>
      <c r="G2709" s="1" t="n">
        <f aca="false">IF(ISNUMBER(E2709),E2709,VALUE(SUBSTITUTE(E2709,"#",".01")))</f>
        <v>876.417</v>
      </c>
    </row>
    <row r="2710" customFormat="false" ht="12.75" hidden="false" customHeight="false" outlineLevel="0" collapsed="false">
      <c r="A2710" s="1" t="n">
        <v>115</v>
      </c>
      <c r="B2710" s="1" t="n">
        <v>88</v>
      </c>
      <c r="C2710" s="1" t="n">
        <v>203</v>
      </c>
      <c r="D2710" s="1" t="s">
        <v>1015</v>
      </c>
      <c r="E2710" s="1" t="n">
        <v>8661.726</v>
      </c>
      <c r="F2710" s="1" t="n">
        <v>38.124</v>
      </c>
      <c r="G2710" s="1" t="n">
        <f aca="false">IF(ISNUMBER(E2710),E2710,VALUE(SUBSTITUTE(E2710,"#",".01")))</f>
        <v>8661.726</v>
      </c>
    </row>
    <row r="2711" customFormat="false" ht="12.75" hidden="false" customHeight="false" outlineLevel="0" collapsed="false">
      <c r="A2711" s="1" t="n">
        <v>127</v>
      </c>
      <c r="B2711" s="1" t="n">
        <v>77</v>
      </c>
      <c r="C2711" s="1" t="n">
        <v>204</v>
      </c>
      <c r="D2711" s="1" t="s">
        <v>900</v>
      </c>
      <c r="E2711" s="1" t="s">
        <v>1021</v>
      </c>
      <c r="F2711" s="1" t="s">
        <v>320</v>
      </c>
      <c r="G2711" s="1" t="n">
        <f aca="false">IF(ISNUMBER(E2711),E2711,VALUE(SUBSTITUTE(E2711,"#",".01")))</f>
        <v>-9688.01</v>
      </c>
    </row>
    <row r="2712" customFormat="false" ht="12.75" hidden="false" customHeight="false" outlineLevel="0" collapsed="false">
      <c r="A2712" s="1" t="n">
        <v>126</v>
      </c>
      <c r="B2712" s="1" t="n">
        <v>78</v>
      </c>
      <c r="C2712" s="1" t="n">
        <v>204</v>
      </c>
      <c r="D2712" s="1" t="s">
        <v>915</v>
      </c>
      <c r="E2712" s="1" t="s">
        <v>1022</v>
      </c>
      <c r="F2712" s="1" t="s">
        <v>333</v>
      </c>
      <c r="G2712" s="1" t="n">
        <f aca="false">IF(ISNUMBER(E2712),E2712,VALUE(SUBSTITUTE(E2712,"#",".01")))</f>
        <v>-17922.01</v>
      </c>
    </row>
    <row r="2713" customFormat="false" ht="12.75" hidden="false" customHeight="false" outlineLevel="0" collapsed="false">
      <c r="A2713" s="1" t="n">
        <v>125</v>
      </c>
      <c r="B2713" s="1" t="n">
        <v>79</v>
      </c>
      <c r="C2713" s="1" t="n">
        <v>204</v>
      </c>
      <c r="D2713" s="1" t="s">
        <v>930</v>
      </c>
      <c r="E2713" s="1" t="s">
        <v>1023</v>
      </c>
      <c r="F2713" s="1" t="s">
        <v>349</v>
      </c>
      <c r="G2713" s="1" t="n">
        <f aca="false">IF(ISNUMBER(E2713),E2713,VALUE(SUBSTITUTE(E2713,"#",".01")))</f>
        <v>-20650.01</v>
      </c>
    </row>
    <row r="2714" customFormat="false" ht="12.75" hidden="false" customHeight="false" outlineLevel="0" collapsed="false">
      <c r="A2714" s="1" t="n">
        <v>124</v>
      </c>
      <c r="B2714" s="1" t="n">
        <v>80</v>
      </c>
      <c r="C2714" s="1" t="n">
        <v>204</v>
      </c>
      <c r="D2714" s="1" t="s">
        <v>939</v>
      </c>
      <c r="E2714" s="1" t="n">
        <v>-24690.145</v>
      </c>
      <c r="F2714" s="1" t="n">
        <v>0.498</v>
      </c>
      <c r="G2714" s="1" t="n">
        <f aca="false">IF(ISNUMBER(E2714),E2714,VALUE(SUBSTITUTE(E2714,"#",".01")))</f>
        <v>-24690.145</v>
      </c>
    </row>
    <row r="2715" customFormat="false" ht="12.75" hidden="false" customHeight="false" outlineLevel="0" collapsed="false">
      <c r="A2715" s="1" t="n">
        <v>123</v>
      </c>
      <c r="B2715" s="1" t="n">
        <v>81</v>
      </c>
      <c r="C2715" s="1" t="n">
        <v>204</v>
      </c>
      <c r="D2715" s="1" t="s">
        <v>955</v>
      </c>
      <c r="E2715" s="1" t="n">
        <v>-24346.145</v>
      </c>
      <c r="F2715" s="1" t="n">
        <v>1.152</v>
      </c>
      <c r="G2715" s="1" t="n">
        <f aca="false">IF(ISNUMBER(E2715),E2715,VALUE(SUBSTITUTE(E2715,"#",".01")))</f>
        <v>-24346.145</v>
      </c>
    </row>
    <row r="2716" customFormat="false" ht="12.75" hidden="false" customHeight="false" outlineLevel="0" collapsed="false">
      <c r="A2716" s="1" t="n">
        <v>122</v>
      </c>
      <c r="B2716" s="1" t="n">
        <v>82</v>
      </c>
      <c r="C2716" s="1" t="n">
        <v>204</v>
      </c>
      <c r="D2716" s="1" t="s">
        <v>963</v>
      </c>
      <c r="E2716" s="1" t="n">
        <v>-25109.892</v>
      </c>
      <c r="F2716" s="1" t="n">
        <v>1.146</v>
      </c>
      <c r="G2716" s="1" t="n">
        <f aca="false">IF(ISNUMBER(E2716),E2716,VALUE(SUBSTITUTE(E2716,"#",".01")))</f>
        <v>-25109.892</v>
      </c>
    </row>
    <row r="2717" customFormat="false" ht="12.75" hidden="false" customHeight="false" outlineLevel="0" collapsed="false">
      <c r="A2717" s="1" t="n">
        <v>121</v>
      </c>
      <c r="B2717" s="1" t="n">
        <v>83</v>
      </c>
      <c r="C2717" s="1" t="n">
        <v>204</v>
      </c>
      <c r="D2717" s="1" t="s">
        <v>974</v>
      </c>
      <c r="E2717" s="1" t="n">
        <v>-20645.896</v>
      </c>
      <c r="F2717" s="1" t="n">
        <v>9.18</v>
      </c>
      <c r="G2717" s="1" t="n">
        <f aca="false">IF(ISNUMBER(E2717),E2717,VALUE(SUBSTITUTE(E2717,"#",".01")))</f>
        <v>-20645.896</v>
      </c>
    </row>
    <row r="2718" customFormat="false" ht="12.75" hidden="false" customHeight="false" outlineLevel="0" collapsed="false">
      <c r="A2718" s="1" t="n">
        <v>120</v>
      </c>
      <c r="B2718" s="1" t="n">
        <v>84</v>
      </c>
      <c r="C2718" s="1" t="n">
        <v>204</v>
      </c>
      <c r="D2718" s="1" t="s">
        <v>980</v>
      </c>
      <c r="E2718" s="1" t="n">
        <v>-18341.244</v>
      </c>
      <c r="F2718" s="1" t="n">
        <v>11.013</v>
      </c>
      <c r="G2718" s="1" t="n">
        <f aca="false">IF(ISNUMBER(E2718),E2718,VALUE(SUBSTITUTE(E2718,"#",".01")))</f>
        <v>-18341.244</v>
      </c>
    </row>
    <row r="2719" customFormat="false" ht="12.75" hidden="false" customHeight="false" outlineLevel="0" collapsed="false">
      <c r="A2719" s="1" t="n">
        <v>119</v>
      </c>
      <c r="B2719" s="1" t="n">
        <v>85</v>
      </c>
      <c r="C2719" s="1" t="n">
        <v>204</v>
      </c>
      <c r="D2719" s="1" t="s">
        <v>990</v>
      </c>
      <c r="E2719" s="1" t="n">
        <v>-11875.433</v>
      </c>
      <c r="F2719" s="1" t="n">
        <v>22.288</v>
      </c>
      <c r="G2719" s="1" t="n">
        <f aca="false">IF(ISNUMBER(E2719),E2719,VALUE(SUBSTITUTE(E2719,"#",".01")))</f>
        <v>-11875.433</v>
      </c>
    </row>
    <row r="2720" customFormat="false" ht="12.75" hidden="false" customHeight="false" outlineLevel="0" collapsed="false">
      <c r="A2720" s="1" t="n">
        <v>118</v>
      </c>
      <c r="B2720" s="1" t="n">
        <v>86</v>
      </c>
      <c r="C2720" s="1" t="n">
        <v>204</v>
      </c>
      <c r="D2720" s="1" t="s">
        <v>994</v>
      </c>
      <c r="E2720" s="1" t="n">
        <v>-7970.193</v>
      </c>
      <c r="F2720" s="1" t="n">
        <v>7.444</v>
      </c>
      <c r="G2720" s="1" t="n">
        <f aca="false">IF(ISNUMBER(E2720),E2720,VALUE(SUBSTITUTE(E2720,"#",".01")))</f>
        <v>-7970.193</v>
      </c>
    </row>
    <row r="2721" customFormat="false" ht="12.75" hidden="false" customHeight="false" outlineLevel="0" collapsed="false">
      <c r="A2721" s="1" t="n">
        <v>117</v>
      </c>
      <c r="B2721" s="1" t="n">
        <v>87</v>
      </c>
      <c r="C2721" s="1" t="n">
        <v>204</v>
      </c>
      <c r="D2721" s="1" t="s">
        <v>1005</v>
      </c>
      <c r="E2721" s="1" t="n">
        <v>607.31</v>
      </c>
      <c r="F2721" s="1" t="n">
        <v>24.581</v>
      </c>
      <c r="G2721" s="1" t="n">
        <f aca="false">IF(ISNUMBER(E2721),E2721,VALUE(SUBSTITUTE(E2721,"#",".01")))</f>
        <v>607.31</v>
      </c>
    </row>
    <row r="2722" customFormat="false" ht="12.75" hidden="false" customHeight="false" outlineLevel="0" collapsed="false">
      <c r="A2722" s="1" t="n">
        <v>116</v>
      </c>
      <c r="B2722" s="1" t="n">
        <v>88</v>
      </c>
      <c r="C2722" s="1" t="n">
        <v>204</v>
      </c>
      <c r="D2722" s="1" t="s">
        <v>1015</v>
      </c>
      <c r="E2722" s="1" t="n">
        <v>6056.787</v>
      </c>
      <c r="F2722" s="1" t="n">
        <v>15.273</v>
      </c>
      <c r="G2722" s="1" t="n">
        <f aca="false">IF(ISNUMBER(E2722),E2722,VALUE(SUBSTITUTE(E2722,"#",".01")))</f>
        <v>6056.787</v>
      </c>
    </row>
    <row r="2723" customFormat="false" ht="12.75" hidden="false" customHeight="false" outlineLevel="0" collapsed="false">
      <c r="A2723" s="1" t="n">
        <v>128</v>
      </c>
      <c r="B2723" s="1" t="n">
        <v>77</v>
      </c>
      <c r="C2723" s="1" t="n">
        <v>205</v>
      </c>
      <c r="D2723" s="1" t="s">
        <v>900</v>
      </c>
      <c r="E2723" s="1" t="s">
        <v>1024</v>
      </c>
      <c r="F2723" s="1" t="s">
        <v>323</v>
      </c>
      <c r="G2723" s="1" t="n">
        <f aca="false">IF(ISNUMBER(E2723),E2723,VALUE(SUBSTITUTE(E2723,"#",".01")))</f>
        <v>-5960.01</v>
      </c>
    </row>
    <row r="2724" customFormat="false" ht="12.75" hidden="false" customHeight="false" outlineLevel="0" collapsed="false">
      <c r="A2724" s="1" t="n">
        <v>127</v>
      </c>
      <c r="B2724" s="1" t="n">
        <v>78</v>
      </c>
      <c r="C2724" s="1" t="n">
        <v>205</v>
      </c>
      <c r="D2724" s="1" t="s">
        <v>915</v>
      </c>
      <c r="E2724" s="1" t="s">
        <v>1025</v>
      </c>
      <c r="F2724" s="1" t="s">
        <v>360</v>
      </c>
      <c r="G2724" s="1" t="n">
        <f aca="false">IF(ISNUMBER(E2724),E2724,VALUE(SUBSTITUTE(E2724,"#",".01")))</f>
        <v>-12966.01</v>
      </c>
    </row>
    <row r="2725" customFormat="false" ht="12.75" hidden="false" customHeight="false" outlineLevel="0" collapsed="false">
      <c r="A2725" s="1" t="n">
        <v>126</v>
      </c>
      <c r="B2725" s="1" t="n">
        <v>79</v>
      </c>
      <c r="C2725" s="1" t="n">
        <v>205</v>
      </c>
      <c r="D2725" s="1" t="s">
        <v>930</v>
      </c>
      <c r="E2725" s="1" t="s">
        <v>1026</v>
      </c>
      <c r="F2725" s="1" t="s">
        <v>333</v>
      </c>
      <c r="G2725" s="1" t="n">
        <f aca="false">IF(ISNUMBER(E2725),E2725,VALUE(SUBSTITUTE(E2725,"#",".01")))</f>
        <v>-18770.01</v>
      </c>
    </row>
    <row r="2726" customFormat="false" ht="12.75" hidden="false" customHeight="false" outlineLevel="0" collapsed="false">
      <c r="A2726" s="1" t="n">
        <v>125</v>
      </c>
      <c r="B2726" s="1" t="n">
        <v>80</v>
      </c>
      <c r="C2726" s="1" t="n">
        <v>205</v>
      </c>
      <c r="D2726" s="1" t="s">
        <v>939</v>
      </c>
      <c r="E2726" s="1" t="n">
        <v>-22287.74</v>
      </c>
      <c r="F2726" s="1" t="n">
        <v>3.654</v>
      </c>
      <c r="G2726" s="1" t="n">
        <f aca="false">IF(ISNUMBER(E2726),E2726,VALUE(SUBSTITUTE(E2726,"#",".01")))</f>
        <v>-22287.74</v>
      </c>
    </row>
    <row r="2727" customFormat="false" ht="12.75" hidden="false" customHeight="false" outlineLevel="0" collapsed="false">
      <c r="A2727" s="1" t="n">
        <v>124</v>
      </c>
      <c r="B2727" s="1" t="n">
        <v>81</v>
      </c>
      <c r="C2727" s="1" t="n">
        <v>205</v>
      </c>
      <c r="D2727" s="1" t="s">
        <v>955</v>
      </c>
      <c r="E2727" s="1" t="n">
        <v>-23820.874</v>
      </c>
      <c r="F2727" s="1" t="n">
        <v>1.237</v>
      </c>
      <c r="G2727" s="1" t="n">
        <f aca="false">IF(ISNUMBER(E2727),E2727,VALUE(SUBSTITUTE(E2727,"#",".01")))</f>
        <v>-23820.874</v>
      </c>
    </row>
    <row r="2728" customFormat="false" ht="12.75" hidden="false" customHeight="false" outlineLevel="0" collapsed="false">
      <c r="A2728" s="1" t="n">
        <v>123</v>
      </c>
      <c r="B2728" s="1" t="n">
        <v>82</v>
      </c>
      <c r="C2728" s="1" t="n">
        <v>205</v>
      </c>
      <c r="D2728" s="1" t="s">
        <v>963</v>
      </c>
      <c r="E2728" s="1" t="n">
        <v>-23770.239</v>
      </c>
      <c r="F2728" s="1" t="n">
        <v>1.144</v>
      </c>
      <c r="G2728" s="1" t="n">
        <f aca="false">IF(ISNUMBER(E2728),E2728,VALUE(SUBSTITUTE(E2728,"#",".01")))</f>
        <v>-23770.239</v>
      </c>
    </row>
    <row r="2729" customFormat="false" ht="12.75" hidden="false" customHeight="false" outlineLevel="0" collapsed="false">
      <c r="A2729" s="1" t="n">
        <v>122</v>
      </c>
      <c r="B2729" s="1" t="n">
        <v>83</v>
      </c>
      <c r="C2729" s="1" t="n">
        <v>205</v>
      </c>
      <c r="D2729" s="1" t="s">
        <v>974</v>
      </c>
      <c r="E2729" s="1" t="n">
        <v>-21064.504</v>
      </c>
      <c r="F2729" s="1" t="n">
        <v>5.111</v>
      </c>
      <c r="G2729" s="1" t="n">
        <f aca="false">IF(ISNUMBER(E2729),E2729,VALUE(SUBSTITUTE(E2729,"#",".01")))</f>
        <v>-21064.504</v>
      </c>
    </row>
    <row r="2730" customFormat="false" ht="12.75" hidden="false" customHeight="false" outlineLevel="0" collapsed="false">
      <c r="A2730" s="1" t="n">
        <v>121</v>
      </c>
      <c r="B2730" s="1" t="n">
        <v>84</v>
      </c>
      <c r="C2730" s="1" t="n">
        <v>205</v>
      </c>
      <c r="D2730" s="1" t="s">
        <v>980</v>
      </c>
      <c r="E2730" s="1" t="n">
        <v>-17521.398</v>
      </c>
      <c r="F2730" s="1" t="n">
        <v>10.059</v>
      </c>
      <c r="G2730" s="1" t="n">
        <f aca="false">IF(ISNUMBER(E2730),E2730,VALUE(SUBSTITUTE(E2730,"#",".01")))</f>
        <v>-17521.398</v>
      </c>
    </row>
    <row r="2731" customFormat="false" ht="12.75" hidden="false" customHeight="false" outlineLevel="0" collapsed="false">
      <c r="A2731" s="1" t="n">
        <v>120</v>
      </c>
      <c r="B2731" s="1" t="n">
        <v>85</v>
      </c>
      <c r="C2731" s="1" t="n">
        <v>205</v>
      </c>
      <c r="D2731" s="1" t="s">
        <v>990</v>
      </c>
      <c r="E2731" s="1" t="n">
        <v>-12971.946</v>
      </c>
      <c r="F2731" s="1" t="n">
        <v>15.085</v>
      </c>
      <c r="G2731" s="1" t="n">
        <f aca="false">IF(ISNUMBER(E2731),E2731,VALUE(SUBSTITUTE(E2731,"#",".01")))</f>
        <v>-12971.946</v>
      </c>
    </row>
    <row r="2732" customFormat="false" ht="12.75" hidden="false" customHeight="false" outlineLevel="0" collapsed="false">
      <c r="A2732" s="1" t="n">
        <v>119</v>
      </c>
      <c r="B2732" s="1" t="n">
        <v>86</v>
      </c>
      <c r="C2732" s="1" t="n">
        <v>205</v>
      </c>
      <c r="D2732" s="1" t="s">
        <v>994</v>
      </c>
      <c r="E2732" s="1" t="n">
        <v>-7709.786</v>
      </c>
      <c r="F2732" s="1" t="n">
        <v>5.08</v>
      </c>
      <c r="G2732" s="1" t="n">
        <f aca="false">IF(ISNUMBER(E2732),E2732,VALUE(SUBSTITUTE(E2732,"#",".01")))</f>
        <v>-7709.786</v>
      </c>
    </row>
    <row r="2733" customFormat="false" ht="12.75" hidden="false" customHeight="false" outlineLevel="0" collapsed="false">
      <c r="A2733" s="1" t="n">
        <v>118</v>
      </c>
      <c r="B2733" s="1" t="n">
        <v>87</v>
      </c>
      <c r="C2733" s="1" t="n">
        <v>205</v>
      </c>
      <c r="D2733" s="1" t="s">
        <v>1005</v>
      </c>
      <c r="E2733" s="1" t="n">
        <v>-1309.813</v>
      </c>
      <c r="F2733" s="1" t="n">
        <v>7.824</v>
      </c>
      <c r="G2733" s="1" t="n">
        <f aca="false">IF(ISNUMBER(E2733),E2733,VALUE(SUBSTITUTE(E2733,"#",".01")))</f>
        <v>-1309.813</v>
      </c>
    </row>
    <row r="2734" customFormat="false" ht="12.75" hidden="false" customHeight="false" outlineLevel="0" collapsed="false">
      <c r="A2734" s="1" t="n">
        <v>117</v>
      </c>
      <c r="B2734" s="1" t="n">
        <v>88</v>
      </c>
      <c r="C2734" s="1" t="n">
        <v>205</v>
      </c>
      <c r="D2734" s="1" t="s">
        <v>1015</v>
      </c>
      <c r="E2734" s="1" t="n">
        <v>5838.991</v>
      </c>
      <c r="F2734" s="1" t="n">
        <v>70.521</v>
      </c>
      <c r="G2734" s="1" t="n">
        <f aca="false">IF(ISNUMBER(E2734),E2734,VALUE(SUBSTITUTE(E2734,"#",".01")))</f>
        <v>5838.991</v>
      </c>
    </row>
    <row r="2735" customFormat="false" ht="12.75" hidden="false" customHeight="false" outlineLevel="0" collapsed="false">
      <c r="A2735" s="1" t="n">
        <v>116</v>
      </c>
      <c r="B2735" s="1" t="n">
        <v>89</v>
      </c>
      <c r="C2735" s="1" t="n">
        <v>205</v>
      </c>
      <c r="D2735" s="1" t="s">
        <v>1027</v>
      </c>
      <c r="E2735" s="1" t="n">
        <v>14106.693</v>
      </c>
      <c r="F2735" s="1" t="n">
        <v>50.818</v>
      </c>
      <c r="G2735" s="1" t="n">
        <f aca="false">IF(ISNUMBER(E2735),E2735,VALUE(SUBSTITUTE(E2735,"#",".01")))</f>
        <v>14106.693</v>
      </c>
    </row>
    <row r="2736" customFormat="false" ht="12.75" hidden="false" customHeight="false" outlineLevel="0" collapsed="false">
      <c r="A2736" s="1" t="n">
        <v>128</v>
      </c>
      <c r="B2736" s="1" t="n">
        <v>78</v>
      </c>
      <c r="C2736" s="1" t="n">
        <v>206</v>
      </c>
      <c r="D2736" s="1" t="s">
        <v>915</v>
      </c>
      <c r="E2736" s="1" t="s">
        <v>1028</v>
      </c>
      <c r="F2736" s="1" t="s">
        <v>360</v>
      </c>
      <c r="G2736" s="1" t="n">
        <f aca="false">IF(ISNUMBER(E2736),E2736,VALUE(SUBSTITUTE(E2736,"#",".01")))</f>
        <v>-9632.01</v>
      </c>
    </row>
    <row r="2737" customFormat="false" ht="12.75" hidden="false" customHeight="false" outlineLevel="0" collapsed="false">
      <c r="A2737" s="1" t="n">
        <v>127</v>
      </c>
      <c r="B2737" s="1" t="n">
        <v>79</v>
      </c>
      <c r="C2737" s="1" t="n">
        <v>206</v>
      </c>
      <c r="D2737" s="1" t="s">
        <v>930</v>
      </c>
      <c r="E2737" s="1" t="s">
        <v>1029</v>
      </c>
      <c r="F2737" s="1" t="s">
        <v>360</v>
      </c>
      <c r="G2737" s="1" t="n">
        <f aca="false">IF(ISNUMBER(E2737),E2737,VALUE(SUBSTITUTE(E2737,"#",".01")))</f>
        <v>-14215.01</v>
      </c>
    </row>
    <row r="2738" customFormat="false" ht="12.75" hidden="false" customHeight="false" outlineLevel="0" collapsed="false">
      <c r="A2738" s="1" t="n">
        <v>126</v>
      </c>
      <c r="B2738" s="1" t="n">
        <v>80</v>
      </c>
      <c r="C2738" s="1" t="n">
        <v>206</v>
      </c>
      <c r="D2738" s="1" t="s">
        <v>939</v>
      </c>
      <c r="E2738" s="1" t="n">
        <v>-20945.801</v>
      </c>
      <c r="F2738" s="1" t="n">
        <v>20.44</v>
      </c>
      <c r="G2738" s="1" t="n">
        <f aca="false">IF(ISNUMBER(E2738),E2738,VALUE(SUBSTITUTE(E2738,"#",".01")))</f>
        <v>-20945.801</v>
      </c>
    </row>
    <row r="2739" customFormat="false" ht="12.75" hidden="false" customHeight="false" outlineLevel="0" collapsed="false">
      <c r="A2739" s="1" t="n">
        <v>125</v>
      </c>
      <c r="B2739" s="1" t="n">
        <v>81</v>
      </c>
      <c r="C2739" s="1" t="n">
        <v>206</v>
      </c>
      <c r="D2739" s="1" t="s">
        <v>955</v>
      </c>
      <c r="E2739" s="1" t="n">
        <v>-22253.367</v>
      </c>
      <c r="F2739" s="1" t="n">
        <v>1.284</v>
      </c>
      <c r="G2739" s="1" t="n">
        <f aca="false">IF(ISNUMBER(E2739),E2739,VALUE(SUBSTITUTE(E2739,"#",".01")))</f>
        <v>-22253.367</v>
      </c>
    </row>
    <row r="2740" customFormat="false" ht="12.75" hidden="false" customHeight="false" outlineLevel="0" collapsed="false">
      <c r="A2740" s="1" t="n">
        <v>124</v>
      </c>
      <c r="B2740" s="1" t="n">
        <v>82</v>
      </c>
      <c r="C2740" s="1" t="n">
        <v>206</v>
      </c>
      <c r="D2740" s="1" t="s">
        <v>963</v>
      </c>
      <c r="E2740" s="1" t="n">
        <v>-23785.584</v>
      </c>
      <c r="F2740" s="1" t="n">
        <v>1.144</v>
      </c>
      <c r="G2740" s="1" t="n">
        <f aca="false">IF(ISNUMBER(E2740),E2740,VALUE(SUBSTITUTE(E2740,"#",".01")))</f>
        <v>-23785.584</v>
      </c>
    </row>
    <row r="2741" customFormat="false" ht="12.75" hidden="false" customHeight="false" outlineLevel="0" collapsed="false">
      <c r="A2741" s="1" t="n">
        <v>123</v>
      </c>
      <c r="B2741" s="1" t="n">
        <v>83</v>
      </c>
      <c r="C2741" s="1" t="n">
        <v>206</v>
      </c>
      <c r="D2741" s="1" t="s">
        <v>974</v>
      </c>
      <c r="E2741" s="1" t="n">
        <v>-20028.278</v>
      </c>
      <c r="F2741" s="1" t="n">
        <v>7.632</v>
      </c>
      <c r="G2741" s="1" t="n">
        <f aca="false">IF(ISNUMBER(E2741),E2741,VALUE(SUBSTITUTE(E2741,"#",".01")))</f>
        <v>-20028.278</v>
      </c>
    </row>
    <row r="2742" customFormat="false" ht="12.75" hidden="false" customHeight="false" outlineLevel="0" collapsed="false">
      <c r="A2742" s="1" t="n">
        <v>122</v>
      </c>
      <c r="B2742" s="1" t="n">
        <v>84</v>
      </c>
      <c r="C2742" s="1" t="n">
        <v>206</v>
      </c>
      <c r="D2742" s="1" t="s">
        <v>980</v>
      </c>
      <c r="E2742" s="1" t="n">
        <v>-18188.674</v>
      </c>
      <c r="F2742" s="1" t="n">
        <v>4.012</v>
      </c>
      <c r="G2742" s="1" t="n">
        <f aca="false">IF(ISNUMBER(E2742),E2742,VALUE(SUBSTITUTE(E2742,"#",".01")))</f>
        <v>-18188.674</v>
      </c>
    </row>
    <row r="2743" customFormat="false" ht="12.75" hidden="false" customHeight="false" outlineLevel="0" collapsed="false">
      <c r="A2743" s="1" t="n">
        <v>121</v>
      </c>
      <c r="B2743" s="1" t="n">
        <v>85</v>
      </c>
      <c r="C2743" s="1" t="n">
        <v>206</v>
      </c>
      <c r="D2743" s="1" t="s">
        <v>990</v>
      </c>
      <c r="E2743" s="1" t="n">
        <v>-12429.718</v>
      </c>
      <c r="F2743" s="1" t="n">
        <v>15.056</v>
      </c>
      <c r="G2743" s="1" t="n">
        <f aca="false">IF(ISNUMBER(E2743),E2743,VALUE(SUBSTITUTE(E2743,"#",".01")))</f>
        <v>-12429.718</v>
      </c>
    </row>
    <row r="2744" customFormat="false" ht="12.75" hidden="false" customHeight="false" outlineLevel="0" collapsed="false">
      <c r="A2744" s="1" t="n">
        <v>120</v>
      </c>
      <c r="B2744" s="1" t="n">
        <v>86</v>
      </c>
      <c r="C2744" s="1" t="n">
        <v>206</v>
      </c>
      <c r="D2744" s="1" t="s">
        <v>994</v>
      </c>
      <c r="E2744" s="1" t="n">
        <v>-9132.965</v>
      </c>
      <c r="F2744" s="1" t="n">
        <v>8.591</v>
      </c>
      <c r="G2744" s="1" t="n">
        <f aca="false">IF(ISNUMBER(E2744),E2744,VALUE(SUBSTITUTE(E2744,"#",".01")))</f>
        <v>-9132.965</v>
      </c>
    </row>
    <row r="2745" customFormat="false" ht="12.75" hidden="false" customHeight="false" outlineLevel="0" collapsed="false">
      <c r="A2745" s="1" t="n">
        <v>119</v>
      </c>
      <c r="B2745" s="1" t="n">
        <v>87</v>
      </c>
      <c r="C2745" s="1" t="n">
        <v>206</v>
      </c>
      <c r="D2745" s="1" t="s">
        <v>1005</v>
      </c>
      <c r="E2745" s="1" t="n">
        <v>-1242.416</v>
      </c>
      <c r="F2745" s="1" t="n">
        <v>28.195</v>
      </c>
      <c r="G2745" s="1" t="n">
        <f aca="false">IF(ISNUMBER(E2745),E2745,VALUE(SUBSTITUTE(E2745,"#",".01")))</f>
        <v>-1242.416</v>
      </c>
    </row>
    <row r="2746" customFormat="false" ht="12.75" hidden="false" customHeight="false" outlineLevel="0" collapsed="false">
      <c r="A2746" s="1" t="n">
        <v>118</v>
      </c>
      <c r="B2746" s="1" t="n">
        <v>88</v>
      </c>
      <c r="C2746" s="1" t="n">
        <v>206</v>
      </c>
      <c r="D2746" s="1" t="s">
        <v>1015</v>
      </c>
      <c r="E2746" s="1" t="n">
        <v>3565.539</v>
      </c>
      <c r="F2746" s="1" t="n">
        <v>18.008</v>
      </c>
      <c r="G2746" s="1" t="n">
        <f aca="false">IF(ISNUMBER(E2746),E2746,VALUE(SUBSTITUTE(E2746,"#",".01")))</f>
        <v>3565.539</v>
      </c>
    </row>
    <row r="2747" customFormat="false" ht="12.75" hidden="false" customHeight="false" outlineLevel="0" collapsed="false">
      <c r="A2747" s="1" t="n">
        <v>117</v>
      </c>
      <c r="B2747" s="1" t="n">
        <v>89</v>
      </c>
      <c r="C2747" s="1" t="n">
        <v>206</v>
      </c>
      <c r="D2747" s="1" t="s">
        <v>1027</v>
      </c>
      <c r="E2747" s="1" t="n">
        <v>13479.452</v>
      </c>
      <c r="F2747" s="1" t="n">
        <v>50.493</v>
      </c>
      <c r="G2747" s="1" t="n">
        <f aca="false">IF(ISNUMBER(E2747),E2747,VALUE(SUBSTITUTE(E2747,"#",".01")))</f>
        <v>13479.452</v>
      </c>
    </row>
    <row r="2748" customFormat="false" ht="12.75" hidden="false" customHeight="false" outlineLevel="0" collapsed="false">
      <c r="A2748" s="1" t="n">
        <v>129</v>
      </c>
      <c r="B2748" s="1" t="n">
        <v>78</v>
      </c>
      <c r="C2748" s="1" t="n">
        <v>207</v>
      </c>
      <c r="D2748" s="1" t="s">
        <v>915</v>
      </c>
      <c r="E2748" s="1" t="s">
        <v>1030</v>
      </c>
      <c r="F2748" s="1" t="s">
        <v>320</v>
      </c>
      <c r="G2748" s="1" t="n">
        <f aca="false">IF(ISNUMBER(E2748),E2748,VALUE(SUBSTITUTE(E2748,"#",".01")))</f>
        <v>-4540.01</v>
      </c>
    </row>
    <row r="2749" customFormat="false" ht="12.75" hidden="false" customHeight="false" outlineLevel="0" collapsed="false">
      <c r="A2749" s="1" t="n">
        <v>128</v>
      </c>
      <c r="B2749" s="1" t="n">
        <v>79</v>
      </c>
      <c r="C2749" s="1" t="n">
        <v>207</v>
      </c>
      <c r="D2749" s="1" t="s">
        <v>930</v>
      </c>
      <c r="E2749" s="1" t="s">
        <v>1031</v>
      </c>
      <c r="F2749" s="1" t="s">
        <v>371</v>
      </c>
      <c r="G2749" s="1" t="n">
        <f aca="false">IF(ISNUMBER(E2749),E2749,VALUE(SUBSTITUTE(E2749,"#",".01")))</f>
        <v>-10810.01</v>
      </c>
    </row>
    <row r="2750" customFormat="false" ht="12.75" hidden="false" customHeight="false" outlineLevel="0" collapsed="false">
      <c r="A2750" s="1" t="n">
        <v>127</v>
      </c>
      <c r="B2750" s="1" t="n">
        <v>80</v>
      </c>
      <c r="C2750" s="1" t="n">
        <v>207</v>
      </c>
      <c r="D2750" s="1" t="s">
        <v>939</v>
      </c>
      <c r="E2750" s="1" t="n">
        <v>-16487.444</v>
      </c>
      <c r="F2750" s="1" t="n">
        <v>29.808</v>
      </c>
      <c r="G2750" s="1" t="n">
        <f aca="false">IF(ISNUMBER(E2750),E2750,VALUE(SUBSTITUTE(E2750,"#",".01")))</f>
        <v>-16487.444</v>
      </c>
    </row>
    <row r="2751" customFormat="false" ht="12.75" hidden="false" customHeight="false" outlineLevel="0" collapsed="false">
      <c r="A2751" s="1" t="n">
        <v>126</v>
      </c>
      <c r="B2751" s="1" t="n">
        <v>81</v>
      </c>
      <c r="C2751" s="1" t="n">
        <v>207</v>
      </c>
      <c r="D2751" s="1" t="s">
        <v>955</v>
      </c>
      <c r="E2751" s="1" t="n">
        <v>-21034.451</v>
      </c>
      <c r="F2751" s="1" t="n">
        <v>5.439</v>
      </c>
      <c r="G2751" s="1" t="n">
        <f aca="false">IF(ISNUMBER(E2751),E2751,VALUE(SUBSTITUTE(E2751,"#",".01")))</f>
        <v>-21034.451</v>
      </c>
    </row>
    <row r="2752" customFormat="false" ht="12.75" hidden="false" customHeight="false" outlineLevel="0" collapsed="false">
      <c r="A2752" s="1" t="n">
        <v>125</v>
      </c>
      <c r="B2752" s="1" t="n">
        <v>82</v>
      </c>
      <c r="C2752" s="1" t="n">
        <v>207</v>
      </c>
      <c r="D2752" s="1" t="s">
        <v>963</v>
      </c>
      <c r="E2752" s="1" t="n">
        <v>-22452.047</v>
      </c>
      <c r="F2752" s="1" t="n">
        <v>1.147</v>
      </c>
      <c r="G2752" s="1" t="n">
        <f aca="false">IF(ISNUMBER(E2752),E2752,VALUE(SUBSTITUTE(E2752,"#",".01")))</f>
        <v>-22452.047</v>
      </c>
    </row>
    <row r="2753" customFormat="false" ht="12.75" hidden="false" customHeight="false" outlineLevel="0" collapsed="false">
      <c r="A2753" s="1" t="n">
        <v>124</v>
      </c>
      <c r="B2753" s="1" t="n">
        <v>83</v>
      </c>
      <c r="C2753" s="1" t="n">
        <v>207</v>
      </c>
      <c r="D2753" s="1" t="s">
        <v>974</v>
      </c>
      <c r="E2753" s="1" t="n">
        <v>-20054.627</v>
      </c>
      <c r="F2753" s="1" t="n">
        <v>2.397</v>
      </c>
      <c r="G2753" s="1" t="n">
        <f aca="false">IF(ISNUMBER(E2753),E2753,VALUE(SUBSTITUTE(E2753,"#",".01")))</f>
        <v>-20054.627</v>
      </c>
    </row>
    <row r="2754" customFormat="false" ht="12.75" hidden="false" customHeight="false" outlineLevel="0" collapsed="false">
      <c r="A2754" s="1" t="n">
        <v>123</v>
      </c>
      <c r="B2754" s="1" t="n">
        <v>84</v>
      </c>
      <c r="C2754" s="1" t="n">
        <v>207</v>
      </c>
      <c r="D2754" s="1" t="s">
        <v>980</v>
      </c>
      <c r="E2754" s="1" t="n">
        <v>-17145.775</v>
      </c>
      <c r="F2754" s="1" t="n">
        <v>6.659</v>
      </c>
      <c r="G2754" s="1" t="n">
        <f aca="false">IF(ISNUMBER(E2754),E2754,VALUE(SUBSTITUTE(E2754,"#",".01")))</f>
        <v>-17145.775</v>
      </c>
    </row>
    <row r="2755" customFormat="false" ht="12.75" hidden="false" customHeight="false" outlineLevel="0" collapsed="false">
      <c r="A2755" s="1" t="n">
        <v>122</v>
      </c>
      <c r="B2755" s="1" t="n">
        <v>85</v>
      </c>
      <c r="C2755" s="1" t="n">
        <v>207</v>
      </c>
      <c r="D2755" s="1" t="s">
        <v>990</v>
      </c>
      <c r="E2755" s="1" t="n">
        <v>-13227.416</v>
      </c>
      <c r="F2755" s="1" t="n">
        <v>12.406</v>
      </c>
      <c r="G2755" s="1" t="n">
        <f aca="false">IF(ISNUMBER(E2755),E2755,VALUE(SUBSTITUTE(E2755,"#",".01")))</f>
        <v>-13227.416</v>
      </c>
    </row>
    <row r="2756" customFormat="false" ht="12.75" hidden="false" customHeight="false" outlineLevel="0" collapsed="false">
      <c r="A2756" s="1" t="n">
        <v>121</v>
      </c>
      <c r="B2756" s="1" t="n">
        <v>86</v>
      </c>
      <c r="C2756" s="1" t="n">
        <v>207</v>
      </c>
      <c r="D2756" s="1" t="s">
        <v>994</v>
      </c>
      <c r="E2756" s="1" t="n">
        <v>-8634.762</v>
      </c>
      <c r="F2756" s="1" t="n">
        <v>8.497</v>
      </c>
      <c r="G2756" s="1" t="n">
        <f aca="false">IF(ISNUMBER(E2756),E2756,VALUE(SUBSTITUTE(E2756,"#",".01")))</f>
        <v>-8634.762</v>
      </c>
    </row>
    <row r="2757" customFormat="false" ht="12.75" hidden="false" customHeight="false" outlineLevel="0" collapsed="false">
      <c r="A2757" s="1" t="n">
        <v>120</v>
      </c>
      <c r="B2757" s="1" t="n">
        <v>87</v>
      </c>
      <c r="C2757" s="1" t="n">
        <v>207</v>
      </c>
      <c r="D2757" s="1" t="s">
        <v>1005</v>
      </c>
      <c r="E2757" s="1" t="n">
        <v>-2844.341</v>
      </c>
      <c r="F2757" s="1" t="n">
        <v>17.505</v>
      </c>
      <c r="G2757" s="1" t="n">
        <f aca="false">IF(ISNUMBER(E2757),E2757,VALUE(SUBSTITUTE(E2757,"#",".01")))</f>
        <v>-2844.341</v>
      </c>
    </row>
    <row r="2758" customFormat="false" ht="12.75" hidden="false" customHeight="false" outlineLevel="0" collapsed="false">
      <c r="A2758" s="1" t="n">
        <v>119</v>
      </c>
      <c r="B2758" s="1" t="n">
        <v>88</v>
      </c>
      <c r="C2758" s="1" t="n">
        <v>207</v>
      </c>
      <c r="D2758" s="1" t="s">
        <v>1015</v>
      </c>
      <c r="E2758" s="1" t="n">
        <v>3544.485</v>
      </c>
      <c r="F2758" s="1" t="n">
        <v>53.202</v>
      </c>
      <c r="G2758" s="1" t="n">
        <f aca="false">IF(ISNUMBER(E2758),E2758,VALUE(SUBSTITUTE(E2758,"#",".01")))</f>
        <v>3544.485</v>
      </c>
    </row>
    <row r="2759" customFormat="false" ht="12.75" hidden="false" customHeight="false" outlineLevel="0" collapsed="false">
      <c r="A2759" s="1" t="n">
        <v>118</v>
      </c>
      <c r="B2759" s="1" t="n">
        <v>89</v>
      </c>
      <c r="C2759" s="1" t="n">
        <v>207</v>
      </c>
      <c r="D2759" s="1" t="s">
        <v>1027</v>
      </c>
      <c r="E2759" s="1" t="n">
        <v>11146.233</v>
      </c>
      <c r="F2759" s="1" t="n">
        <v>50.387</v>
      </c>
      <c r="G2759" s="1" t="n">
        <f aca="false">IF(ISNUMBER(E2759),E2759,VALUE(SUBSTITUTE(E2759,"#",".01")))</f>
        <v>11146.233</v>
      </c>
    </row>
    <row r="2760" customFormat="false" ht="12.75" hidden="false" customHeight="false" outlineLevel="0" collapsed="false">
      <c r="A2760" s="1" t="n">
        <v>130</v>
      </c>
      <c r="B2760" s="1" t="n">
        <v>78</v>
      </c>
      <c r="C2760" s="1" t="n">
        <v>208</v>
      </c>
      <c r="D2760" s="1" t="s">
        <v>915</v>
      </c>
      <c r="E2760" s="1" t="s">
        <v>1032</v>
      </c>
      <c r="F2760" s="1" t="s">
        <v>378</v>
      </c>
      <c r="G2760" s="1" t="n">
        <f aca="false">IF(ISNUMBER(E2760),E2760,VALUE(SUBSTITUTE(E2760,"#",".01")))</f>
        <v>-990.01</v>
      </c>
    </row>
    <row r="2761" customFormat="false" ht="12.75" hidden="false" customHeight="false" outlineLevel="0" collapsed="false">
      <c r="A2761" s="1" t="n">
        <v>129</v>
      </c>
      <c r="B2761" s="1" t="n">
        <v>79</v>
      </c>
      <c r="C2761" s="1" t="n">
        <v>208</v>
      </c>
      <c r="D2761" s="1" t="s">
        <v>930</v>
      </c>
      <c r="E2761" s="1" t="s">
        <v>1033</v>
      </c>
      <c r="F2761" s="1" t="s">
        <v>360</v>
      </c>
      <c r="G2761" s="1" t="n">
        <f aca="false">IF(ISNUMBER(E2761),E2761,VALUE(SUBSTITUTE(E2761,"#",".01")))</f>
        <v>-6101.01</v>
      </c>
    </row>
    <row r="2762" customFormat="false" ht="12.75" hidden="false" customHeight="false" outlineLevel="0" collapsed="false">
      <c r="A2762" s="1" t="n">
        <v>128</v>
      </c>
      <c r="B2762" s="1" t="n">
        <v>80</v>
      </c>
      <c r="C2762" s="1" t="n">
        <v>208</v>
      </c>
      <c r="D2762" s="1" t="s">
        <v>939</v>
      </c>
      <c r="E2762" s="1" t="n">
        <v>-13265.406</v>
      </c>
      <c r="F2762" s="1" t="n">
        <v>30.739</v>
      </c>
      <c r="G2762" s="1" t="n">
        <f aca="false">IF(ISNUMBER(E2762),E2762,VALUE(SUBSTITUTE(E2762,"#",".01")))</f>
        <v>-13265.406</v>
      </c>
    </row>
    <row r="2763" customFormat="false" ht="12.75" hidden="false" customHeight="false" outlineLevel="0" collapsed="false">
      <c r="A2763" s="1" t="n">
        <v>127</v>
      </c>
      <c r="B2763" s="1" t="n">
        <v>81</v>
      </c>
      <c r="C2763" s="1" t="n">
        <v>208</v>
      </c>
      <c r="D2763" s="1" t="s">
        <v>955</v>
      </c>
      <c r="E2763" s="1" t="n">
        <v>-16750.132</v>
      </c>
      <c r="F2763" s="1" t="n">
        <v>1.854</v>
      </c>
      <c r="G2763" s="1" t="n">
        <f aca="false">IF(ISNUMBER(E2763),E2763,VALUE(SUBSTITUTE(E2763,"#",".01")))</f>
        <v>-16750.132</v>
      </c>
    </row>
    <row r="2764" customFormat="false" ht="12.75" hidden="false" customHeight="false" outlineLevel="0" collapsed="false">
      <c r="A2764" s="1" t="n">
        <v>126</v>
      </c>
      <c r="B2764" s="1" t="n">
        <v>82</v>
      </c>
      <c r="C2764" s="1" t="n">
        <v>208</v>
      </c>
      <c r="D2764" s="1" t="s">
        <v>963</v>
      </c>
      <c r="E2764" s="1" t="n">
        <v>-21748.598</v>
      </c>
      <c r="F2764" s="1" t="n">
        <v>1.148</v>
      </c>
      <c r="G2764" s="1" t="n">
        <f aca="false">IF(ISNUMBER(E2764),E2764,VALUE(SUBSTITUTE(E2764,"#",".01")))</f>
        <v>-21748.598</v>
      </c>
    </row>
    <row r="2765" customFormat="false" ht="12.75" hidden="false" customHeight="false" outlineLevel="0" collapsed="false">
      <c r="A2765" s="1" t="n">
        <v>125</v>
      </c>
      <c r="B2765" s="1" t="n">
        <v>83</v>
      </c>
      <c r="C2765" s="1" t="n">
        <v>208</v>
      </c>
      <c r="D2765" s="1" t="s">
        <v>974</v>
      </c>
      <c r="E2765" s="1" t="n">
        <v>-18870.223</v>
      </c>
      <c r="F2765" s="1" t="n">
        <v>2.304</v>
      </c>
      <c r="G2765" s="1" t="n">
        <f aca="false">IF(ISNUMBER(E2765),E2765,VALUE(SUBSTITUTE(E2765,"#",".01")))</f>
        <v>-18870.223</v>
      </c>
    </row>
    <row r="2766" customFormat="false" ht="12.75" hidden="false" customHeight="false" outlineLevel="0" collapsed="false">
      <c r="A2766" s="1" t="n">
        <v>124</v>
      </c>
      <c r="B2766" s="1" t="n">
        <v>84</v>
      </c>
      <c r="C2766" s="1" t="n">
        <v>208</v>
      </c>
      <c r="D2766" s="1" t="s">
        <v>980</v>
      </c>
      <c r="E2766" s="1" t="n">
        <v>-17469.596</v>
      </c>
      <c r="F2766" s="1" t="n">
        <v>1.737</v>
      </c>
      <c r="G2766" s="1" t="n">
        <f aca="false">IF(ISNUMBER(E2766),E2766,VALUE(SUBSTITUTE(E2766,"#",".01")))</f>
        <v>-17469.596</v>
      </c>
    </row>
    <row r="2767" customFormat="false" ht="12.75" hidden="false" customHeight="false" outlineLevel="0" collapsed="false">
      <c r="A2767" s="1" t="n">
        <v>123</v>
      </c>
      <c r="B2767" s="1" t="n">
        <v>85</v>
      </c>
      <c r="C2767" s="1" t="n">
        <v>208</v>
      </c>
      <c r="D2767" s="1" t="s">
        <v>990</v>
      </c>
      <c r="E2767" s="1" t="n">
        <v>-12469.871</v>
      </c>
      <c r="F2767" s="1" t="n">
        <v>8.921</v>
      </c>
      <c r="G2767" s="1" t="n">
        <f aca="false">IF(ISNUMBER(E2767),E2767,VALUE(SUBSTITUTE(E2767,"#",".01")))</f>
        <v>-12469.871</v>
      </c>
    </row>
    <row r="2768" customFormat="false" ht="12.75" hidden="false" customHeight="false" outlineLevel="0" collapsed="false">
      <c r="A2768" s="1" t="n">
        <v>122</v>
      </c>
      <c r="B2768" s="1" t="n">
        <v>86</v>
      </c>
      <c r="C2768" s="1" t="n">
        <v>208</v>
      </c>
      <c r="D2768" s="1" t="s">
        <v>994</v>
      </c>
      <c r="E2768" s="1" t="n">
        <v>-9655.591</v>
      </c>
      <c r="F2768" s="1" t="n">
        <v>11.138</v>
      </c>
      <c r="G2768" s="1" t="n">
        <f aca="false">IF(ISNUMBER(E2768),E2768,VALUE(SUBSTITUTE(E2768,"#",".01")))</f>
        <v>-9655.591</v>
      </c>
    </row>
    <row r="2769" customFormat="false" ht="12.75" hidden="false" customHeight="false" outlineLevel="0" collapsed="false">
      <c r="A2769" s="1" t="n">
        <v>121</v>
      </c>
      <c r="B2769" s="1" t="n">
        <v>87</v>
      </c>
      <c r="C2769" s="1" t="n">
        <v>208</v>
      </c>
      <c r="D2769" s="1" t="s">
        <v>1005</v>
      </c>
      <c r="E2769" s="1" t="n">
        <v>-2665.919</v>
      </c>
      <c r="F2769" s="1" t="n">
        <v>11.834</v>
      </c>
      <c r="G2769" s="1" t="n">
        <f aca="false">IF(ISNUMBER(E2769),E2769,VALUE(SUBSTITUTE(E2769,"#",".01")))</f>
        <v>-2665.919</v>
      </c>
    </row>
    <row r="2770" customFormat="false" ht="12.75" hidden="false" customHeight="false" outlineLevel="0" collapsed="false">
      <c r="A2770" s="1" t="n">
        <v>120</v>
      </c>
      <c r="B2770" s="1" t="n">
        <v>88</v>
      </c>
      <c r="C2770" s="1" t="n">
        <v>208</v>
      </c>
      <c r="D2770" s="1" t="s">
        <v>1015</v>
      </c>
      <c r="E2770" s="1" t="n">
        <v>1727.856</v>
      </c>
      <c r="F2770" s="1" t="n">
        <v>9.023</v>
      </c>
      <c r="G2770" s="1" t="n">
        <f aca="false">IF(ISNUMBER(E2770),E2770,VALUE(SUBSTITUTE(E2770,"#",".01")))</f>
        <v>1727.856</v>
      </c>
    </row>
    <row r="2771" customFormat="false" ht="12.75" hidden="false" customHeight="false" outlineLevel="0" collapsed="false">
      <c r="A2771" s="1" t="n">
        <v>119</v>
      </c>
      <c r="B2771" s="1" t="n">
        <v>89</v>
      </c>
      <c r="C2771" s="1" t="n">
        <v>208</v>
      </c>
      <c r="D2771" s="1" t="s">
        <v>1027</v>
      </c>
      <c r="E2771" s="1" t="n">
        <v>10753.235</v>
      </c>
      <c r="F2771" s="1" t="n">
        <v>55.716</v>
      </c>
      <c r="G2771" s="1" t="n">
        <f aca="false">IF(ISNUMBER(E2771),E2771,VALUE(SUBSTITUTE(E2771,"#",".01")))</f>
        <v>10753.235</v>
      </c>
    </row>
    <row r="2772" customFormat="false" ht="12.75" hidden="false" customHeight="false" outlineLevel="0" collapsed="false">
      <c r="A2772" s="1" t="n">
        <v>118</v>
      </c>
      <c r="B2772" s="1" t="n">
        <v>90</v>
      </c>
      <c r="C2772" s="1" t="n">
        <v>208</v>
      </c>
      <c r="D2772" s="1" t="s">
        <v>1034</v>
      </c>
      <c r="E2772" s="1" t="n">
        <v>16683.73</v>
      </c>
      <c r="F2772" s="1" t="n">
        <v>34.19</v>
      </c>
      <c r="G2772" s="1" t="n">
        <f aca="false">IF(ISNUMBER(E2772),E2772,VALUE(SUBSTITUTE(E2772,"#",".01")))</f>
        <v>16683.73</v>
      </c>
    </row>
    <row r="2773" customFormat="false" ht="12.75" hidden="false" customHeight="false" outlineLevel="0" collapsed="false">
      <c r="A2773" s="1" t="n">
        <v>130</v>
      </c>
      <c r="B2773" s="1" t="n">
        <v>79</v>
      </c>
      <c r="C2773" s="1" t="n">
        <v>209</v>
      </c>
      <c r="D2773" s="1" t="s">
        <v>930</v>
      </c>
      <c r="E2773" s="1" t="s">
        <v>1035</v>
      </c>
      <c r="F2773" s="1" t="s">
        <v>378</v>
      </c>
      <c r="G2773" s="1" t="n">
        <f aca="false">IF(ISNUMBER(E2773),E2773,VALUE(SUBSTITUTE(E2773,"#",".01")))</f>
        <v>-2540.01</v>
      </c>
    </row>
    <row r="2774" customFormat="false" ht="12.75" hidden="false" customHeight="false" outlineLevel="0" collapsed="false">
      <c r="A2774" s="1" t="n">
        <v>129</v>
      </c>
      <c r="B2774" s="1" t="n">
        <v>80</v>
      </c>
      <c r="C2774" s="1" t="n">
        <v>209</v>
      </c>
      <c r="D2774" s="1" t="s">
        <v>939</v>
      </c>
      <c r="E2774" s="1" t="s">
        <v>1036</v>
      </c>
      <c r="F2774" s="1" t="s">
        <v>545</v>
      </c>
      <c r="G2774" s="1" t="n">
        <f aca="false">IF(ISNUMBER(E2774),E2774,VALUE(SUBSTITUTE(E2774,"#",".01")))</f>
        <v>-8644.01</v>
      </c>
    </row>
    <row r="2775" customFormat="false" ht="12.75" hidden="false" customHeight="false" outlineLevel="0" collapsed="false">
      <c r="A2775" s="1" t="n">
        <v>128</v>
      </c>
      <c r="B2775" s="1" t="n">
        <v>81</v>
      </c>
      <c r="C2775" s="1" t="n">
        <v>209</v>
      </c>
      <c r="D2775" s="1" t="s">
        <v>955</v>
      </c>
      <c r="E2775" s="1" t="n">
        <v>-13644.757</v>
      </c>
      <c r="F2775" s="1" t="n">
        <v>6.11</v>
      </c>
      <c r="G2775" s="1" t="n">
        <f aca="false">IF(ISNUMBER(E2775),E2775,VALUE(SUBSTITUTE(E2775,"#",".01")))</f>
        <v>-13644.757</v>
      </c>
    </row>
    <row r="2776" customFormat="false" ht="12.75" hidden="false" customHeight="false" outlineLevel="0" collapsed="false">
      <c r="A2776" s="1" t="n">
        <v>127</v>
      </c>
      <c r="B2776" s="1" t="n">
        <v>82</v>
      </c>
      <c r="C2776" s="1" t="n">
        <v>209</v>
      </c>
      <c r="D2776" s="1" t="s">
        <v>963</v>
      </c>
      <c r="E2776" s="1" t="n">
        <v>-17614.646</v>
      </c>
      <c r="F2776" s="1" t="n">
        <v>1.747</v>
      </c>
      <c r="G2776" s="1" t="n">
        <f aca="false">IF(ISNUMBER(E2776),E2776,VALUE(SUBSTITUTE(E2776,"#",".01")))</f>
        <v>-17614.646</v>
      </c>
    </row>
    <row r="2777" customFormat="false" ht="12.75" hidden="false" customHeight="false" outlineLevel="0" collapsed="false">
      <c r="A2777" s="1" t="n">
        <v>126</v>
      </c>
      <c r="B2777" s="1" t="n">
        <v>83</v>
      </c>
      <c r="C2777" s="1" t="n">
        <v>209</v>
      </c>
      <c r="D2777" s="1" t="s">
        <v>974</v>
      </c>
      <c r="E2777" s="1" t="n">
        <v>-18258.662</v>
      </c>
      <c r="F2777" s="1" t="n">
        <v>1.364</v>
      </c>
      <c r="G2777" s="1" t="n">
        <f aca="false">IF(ISNUMBER(E2777),E2777,VALUE(SUBSTITUTE(E2777,"#",".01")))</f>
        <v>-18258.662</v>
      </c>
    </row>
    <row r="2778" customFormat="false" ht="12.75" hidden="false" customHeight="false" outlineLevel="0" collapsed="false">
      <c r="A2778" s="1" t="n">
        <v>125</v>
      </c>
      <c r="B2778" s="1" t="n">
        <v>84</v>
      </c>
      <c r="C2778" s="1" t="n">
        <v>209</v>
      </c>
      <c r="D2778" s="1" t="s">
        <v>980</v>
      </c>
      <c r="E2778" s="1" t="n">
        <v>-16366.092</v>
      </c>
      <c r="F2778" s="1" t="n">
        <v>1.778</v>
      </c>
      <c r="G2778" s="1" t="n">
        <f aca="false">IF(ISNUMBER(E2778),E2778,VALUE(SUBSTITUTE(E2778,"#",".01")))</f>
        <v>-16366.092</v>
      </c>
    </row>
    <row r="2779" customFormat="false" ht="12.75" hidden="false" customHeight="false" outlineLevel="0" collapsed="false">
      <c r="A2779" s="1" t="n">
        <v>124</v>
      </c>
      <c r="B2779" s="1" t="n">
        <v>85</v>
      </c>
      <c r="C2779" s="1" t="n">
        <v>209</v>
      </c>
      <c r="D2779" s="1" t="s">
        <v>990</v>
      </c>
      <c r="E2779" s="1" t="n">
        <v>-12882.613</v>
      </c>
      <c r="F2779" s="1" t="n">
        <v>5.102</v>
      </c>
      <c r="G2779" s="1" t="n">
        <f aca="false">IF(ISNUMBER(E2779),E2779,VALUE(SUBSTITUTE(E2779,"#",".01")))</f>
        <v>-12882.613</v>
      </c>
    </row>
    <row r="2780" customFormat="false" ht="12.75" hidden="false" customHeight="false" outlineLevel="0" collapsed="false">
      <c r="A2780" s="1" t="n">
        <v>123</v>
      </c>
      <c r="B2780" s="1" t="n">
        <v>86</v>
      </c>
      <c r="C2780" s="1" t="n">
        <v>209</v>
      </c>
      <c r="D2780" s="1" t="s">
        <v>994</v>
      </c>
      <c r="E2780" s="1" t="n">
        <v>-8941.049</v>
      </c>
      <c r="F2780" s="1" t="n">
        <v>9.96</v>
      </c>
      <c r="G2780" s="1" t="n">
        <f aca="false">IF(ISNUMBER(E2780),E2780,VALUE(SUBSTITUTE(E2780,"#",".01")))</f>
        <v>-8941.049</v>
      </c>
    </row>
    <row r="2781" customFormat="false" ht="12.75" hidden="false" customHeight="false" outlineLevel="0" collapsed="false">
      <c r="A2781" s="1" t="n">
        <v>122</v>
      </c>
      <c r="B2781" s="1" t="n">
        <v>87</v>
      </c>
      <c r="C2781" s="1" t="n">
        <v>209</v>
      </c>
      <c r="D2781" s="1" t="s">
        <v>1005</v>
      </c>
      <c r="E2781" s="1" t="n">
        <v>-3769.572</v>
      </c>
      <c r="F2781" s="1" t="n">
        <v>14.648</v>
      </c>
      <c r="G2781" s="1" t="n">
        <f aca="false">IF(ISNUMBER(E2781),E2781,VALUE(SUBSTITUTE(E2781,"#",".01")))</f>
        <v>-3769.572</v>
      </c>
    </row>
    <row r="2782" customFormat="false" ht="12.75" hidden="false" customHeight="false" outlineLevel="0" collapsed="false">
      <c r="A2782" s="1" t="n">
        <v>121</v>
      </c>
      <c r="B2782" s="1" t="n">
        <v>88</v>
      </c>
      <c r="C2782" s="1" t="n">
        <v>209</v>
      </c>
      <c r="D2782" s="1" t="s">
        <v>1015</v>
      </c>
      <c r="E2782" s="1" t="n">
        <v>1858.219</v>
      </c>
      <c r="F2782" s="1" t="n">
        <v>5.747</v>
      </c>
      <c r="G2782" s="1" t="n">
        <f aca="false">IF(ISNUMBER(E2782),E2782,VALUE(SUBSTITUTE(E2782,"#",".01")))</f>
        <v>1858.219</v>
      </c>
    </row>
    <row r="2783" customFormat="false" ht="12.75" hidden="false" customHeight="false" outlineLevel="0" collapsed="false">
      <c r="A2783" s="1" t="n">
        <v>120</v>
      </c>
      <c r="B2783" s="1" t="n">
        <v>89</v>
      </c>
      <c r="C2783" s="1" t="n">
        <v>209</v>
      </c>
      <c r="D2783" s="1" t="s">
        <v>1027</v>
      </c>
      <c r="E2783" s="1" t="n">
        <v>8843.809</v>
      </c>
      <c r="F2783" s="1" t="n">
        <v>50.608</v>
      </c>
      <c r="G2783" s="1" t="n">
        <f aca="false">IF(ISNUMBER(E2783),E2783,VALUE(SUBSTITUTE(E2783,"#",".01")))</f>
        <v>8843.809</v>
      </c>
    </row>
    <row r="2784" customFormat="false" ht="12.75" hidden="false" customHeight="false" outlineLevel="0" collapsed="false">
      <c r="A2784" s="1" t="n">
        <v>119</v>
      </c>
      <c r="B2784" s="1" t="n">
        <v>90</v>
      </c>
      <c r="C2784" s="1" t="n">
        <v>209</v>
      </c>
      <c r="D2784" s="1" t="s">
        <v>1034</v>
      </c>
      <c r="E2784" s="1" t="s">
        <v>1037</v>
      </c>
      <c r="F2784" s="1" t="s">
        <v>480</v>
      </c>
      <c r="G2784" s="1" t="n">
        <f aca="false">IF(ISNUMBER(E2784),E2784,VALUE(SUBSTITUTE(E2784,"#",".01")))</f>
        <v>16367.01</v>
      </c>
    </row>
    <row r="2785" customFormat="false" ht="12.75" hidden="false" customHeight="false" outlineLevel="0" collapsed="false">
      <c r="A2785" s="1" t="n">
        <v>131</v>
      </c>
      <c r="B2785" s="1" t="n">
        <v>79</v>
      </c>
      <c r="C2785" s="1" t="n">
        <v>210</v>
      </c>
      <c r="D2785" s="1" t="s">
        <v>930</v>
      </c>
      <c r="E2785" s="1" t="s">
        <v>1038</v>
      </c>
      <c r="F2785" s="1" t="s">
        <v>320</v>
      </c>
      <c r="G2785" s="1" t="n">
        <f aca="false">IF(ISNUMBER(E2785),E2785,VALUE(SUBSTITUTE(E2785,"#",".01")))</f>
        <v>2329.01</v>
      </c>
    </row>
    <row r="2786" customFormat="false" ht="12.75" hidden="false" customHeight="false" outlineLevel="0" collapsed="false">
      <c r="A2786" s="1" t="n">
        <v>130</v>
      </c>
      <c r="B2786" s="1" t="n">
        <v>80</v>
      </c>
      <c r="C2786" s="1" t="n">
        <v>210</v>
      </c>
      <c r="D2786" s="1" t="s">
        <v>939</v>
      </c>
      <c r="E2786" s="1" t="s">
        <v>1039</v>
      </c>
      <c r="F2786" s="1" t="s">
        <v>333</v>
      </c>
      <c r="G2786" s="1" t="n">
        <f aca="false">IF(ISNUMBER(E2786),E2786,VALUE(SUBSTITUTE(E2786,"#",".01")))</f>
        <v>-5365.01</v>
      </c>
    </row>
    <row r="2787" customFormat="false" ht="12.75" hidden="false" customHeight="false" outlineLevel="0" collapsed="false">
      <c r="A2787" s="1" t="n">
        <v>129</v>
      </c>
      <c r="B2787" s="1" t="n">
        <v>81</v>
      </c>
      <c r="C2787" s="1" t="n">
        <v>210</v>
      </c>
      <c r="D2787" s="1" t="s">
        <v>955</v>
      </c>
      <c r="E2787" s="1" t="n">
        <v>-9246.969</v>
      </c>
      <c r="F2787" s="1" t="n">
        <v>11.604</v>
      </c>
      <c r="G2787" s="1" t="n">
        <f aca="false">IF(ISNUMBER(E2787),E2787,VALUE(SUBSTITUTE(E2787,"#",".01")))</f>
        <v>-9246.969</v>
      </c>
    </row>
    <row r="2788" customFormat="false" ht="12.75" hidden="false" customHeight="false" outlineLevel="0" collapsed="false">
      <c r="A2788" s="1" t="n">
        <v>128</v>
      </c>
      <c r="B2788" s="1" t="n">
        <v>82</v>
      </c>
      <c r="C2788" s="1" t="n">
        <v>210</v>
      </c>
      <c r="D2788" s="1" t="s">
        <v>963</v>
      </c>
      <c r="E2788" s="1" t="n">
        <v>-14728.502</v>
      </c>
      <c r="F2788" s="1" t="n">
        <v>1.447</v>
      </c>
      <c r="G2788" s="1" t="n">
        <f aca="false">IF(ISNUMBER(E2788),E2788,VALUE(SUBSTITUTE(E2788,"#",".01")))</f>
        <v>-14728.502</v>
      </c>
    </row>
    <row r="2789" customFormat="false" ht="12.75" hidden="false" customHeight="false" outlineLevel="0" collapsed="false">
      <c r="A2789" s="1" t="n">
        <v>127</v>
      </c>
      <c r="B2789" s="1" t="n">
        <v>83</v>
      </c>
      <c r="C2789" s="1" t="n">
        <v>210</v>
      </c>
      <c r="D2789" s="1" t="s">
        <v>974</v>
      </c>
      <c r="E2789" s="1" t="n">
        <v>-14791.979</v>
      </c>
      <c r="F2789" s="1" t="n">
        <v>1.363</v>
      </c>
      <c r="G2789" s="1" t="n">
        <f aca="false">IF(ISNUMBER(E2789),E2789,VALUE(SUBSTITUTE(E2789,"#",".01")))</f>
        <v>-14791.979</v>
      </c>
    </row>
    <row r="2790" customFormat="false" ht="12.75" hidden="false" customHeight="false" outlineLevel="0" collapsed="false">
      <c r="A2790" s="1" t="n">
        <v>126</v>
      </c>
      <c r="B2790" s="1" t="n">
        <v>84</v>
      </c>
      <c r="C2790" s="1" t="n">
        <v>210</v>
      </c>
      <c r="D2790" s="1" t="s">
        <v>980</v>
      </c>
      <c r="E2790" s="1" t="n">
        <v>-15953.137</v>
      </c>
      <c r="F2790" s="1" t="n">
        <v>1.146</v>
      </c>
      <c r="G2790" s="1" t="n">
        <f aca="false">IF(ISNUMBER(E2790),E2790,VALUE(SUBSTITUTE(E2790,"#",".01")))</f>
        <v>-15953.137</v>
      </c>
    </row>
    <row r="2791" customFormat="false" ht="12.75" hidden="false" customHeight="false" outlineLevel="0" collapsed="false">
      <c r="A2791" s="1" t="n">
        <v>125</v>
      </c>
      <c r="B2791" s="1" t="n">
        <v>85</v>
      </c>
      <c r="C2791" s="1" t="n">
        <v>210</v>
      </c>
      <c r="D2791" s="1" t="s">
        <v>990</v>
      </c>
      <c r="E2791" s="1" t="n">
        <v>-11972.177</v>
      </c>
      <c r="F2791" s="1" t="n">
        <v>7.695</v>
      </c>
      <c r="G2791" s="1" t="n">
        <f aca="false">IF(ISNUMBER(E2791),E2791,VALUE(SUBSTITUTE(E2791,"#",".01")))</f>
        <v>-11972.177</v>
      </c>
    </row>
    <row r="2792" customFormat="false" ht="12.75" hidden="false" customHeight="false" outlineLevel="0" collapsed="false">
      <c r="A2792" s="1" t="n">
        <v>124</v>
      </c>
      <c r="B2792" s="1" t="n">
        <v>86</v>
      </c>
      <c r="C2792" s="1" t="n">
        <v>210</v>
      </c>
      <c r="D2792" s="1" t="s">
        <v>994</v>
      </c>
      <c r="E2792" s="1" t="n">
        <v>-9604.77</v>
      </c>
      <c r="F2792" s="1" t="n">
        <v>4.557</v>
      </c>
      <c r="G2792" s="1" t="n">
        <f aca="false">IF(ISNUMBER(E2792),E2792,VALUE(SUBSTITUTE(E2792,"#",".01")))</f>
        <v>-9604.77</v>
      </c>
    </row>
    <row r="2793" customFormat="false" ht="12.75" hidden="false" customHeight="false" outlineLevel="0" collapsed="false">
      <c r="A2793" s="1" t="n">
        <v>123</v>
      </c>
      <c r="B2793" s="1" t="n">
        <v>87</v>
      </c>
      <c r="C2793" s="1" t="n">
        <v>210</v>
      </c>
      <c r="D2793" s="1" t="s">
        <v>1005</v>
      </c>
      <c r="E2793" s="1" t="n">
        <v>-3333.205</v>
      </c>
      <c r="F2793" s="1" t="n">
        <v>15.154</v>
      </c>
      <c r="G2793" s="1" t="n">
        <f aca="false">IF(ISNUMBER(E2793),E2793,VALUE(SUBSTITUTE(E2793,"#",".01")))</f>
        <v>-3333.205</v>
      </c>
    </row>
    <row r="2794" customFormat="false" ht="12.75" hidden="false" customHeight="false" outlineLevel="0" collapsed="false">
      <c r="A2794" s="1" t="n">
        <v>122</v>
      </c>
      <c r="B2794" s="1" t="n">
        <v>88</v>
      </c>
      <c r="C2794" s="1" t="n">
        <v>210</v>
      </c>
      <c r="D2794" s="1" t="s">
        <v>1015</v>
      </c>
      <c r="E2794" s="1" t="n">
        <v>442.792</v>
      </c>
      <c r="F2794" s="1" t="n">
        <v>9.193</v>
      </c>
      <c r="G2794" s="1" t="n">
        <f aca="false">IF(ISNUMBER(E2794),E2794,VALUE(SUBSTITUTE(E2794,"#",".01")))</f>
        <v>442.792</v>
      </c>
    </row>
    <row r="2795" customFormat="false" ht="12.75" hidden="false" customHeight="false" outlineLevel="0" collapsed="false">
      <c r="A2795" s="1" t="n">
        <v>121</v>
      </c>
      <c r="B2795" s="1" t="n">
        <v>89</v>
      </c>
      <c r="C2795" s="1" t="n">
        <v>210</v>
      </c>
      <c r="D2795" s="1" t="s">
        <v>1027</v>
      </c>
      <c r="E2795" s="1" t="n">
        <v>8789.699</v>
      </c>
      <c r="F2795" s="1" t="n">
        <v>57.402</v>
      </c>
      <c r="G2795" s="1" t="n">
        <f aca="false">IF(ISNUMBER(E2795),E2795,VALUE(SUBSTITUTE(E2795,"#",".01")))</f>
        <v>8789.699</v>
      </c>
    </row>
    <row r="2796" customFormat="false" ht="12.75" hidden="false" customHeight="false" outlineLevel="0" collapsed="false">
      <c r="A2796" s="1" t="n">
        <v>120</v>
      </c>
      <c r="B2796" s="1" t="n">
        <v>90</v>
      </c>
      <c r="C2796" s="1" t="n">
        <v>210</v>
      </c>
      <c r="D2796" s="1" t="s">
        <v>1034</v>
      </c>
      <c r="E2796" s="1" t="n">
        <v>14059.446</v>
      </c>
      <c r="F2796" s="1" t="n">
        <v>18.909</v>
      </c>
      <c r="G2796" s="1" t="n">
        <f aca="false">IF(ISNUMBER(E2796),E2796,VALUE(SUBSTITUTE(E2796,"#",".01")))</f>
        <v>14059.446</v>
      </c>
    </row>
    <row r="2797" customFormat="false" ht="12.75" hidden="false" customHeight="false" outlineLevel="0" collapsed="false">
      <c r="A2797" s="1" t="n">
        <v>131</v>
      </c>
      <c r="B2797" s="1" t="n">
        <v>80</v>
      </c>
      <c r="C2797" s="1" t="n">
        <v>211</v>
      </c>
      <c r="D2797" s="1" t="s">
        <v>939</v>
      </c>
      <c r="E2797" s="1" t="s">
        <v>1040</v>
      </c>
      <c r="F2797" s="1" t="s">
        <v>333</v>
      </c>
      <c r="G2797" s="1" t="n">
        <f aca="false">IF(ISNUMBER(E2797),E2797,VALUE(SUBSTITUTE(E2797,"#",".01")))</f>
        <v>-624.01</v>
      </c>
    </row>
    <row r="2798" customFormat="false" ht="12.75" hidden="false" customHeight="false" outlineLevel="0" collapsed="false">
      <c r="A2798" s="1" t="n">
        <v>130</v>
      </c>
      <c r="B2798" s="1" t="n">
        <v>81</v>
      </c>
      <c r="C2798" s="1" t="n">
        <v>211</v>
      </c>
      <c r="D2798" s="1" t="s">
        <v>955</v>
      </c>
      <c r="E2798" s="1" t="n">
        <v>-6077.998</v>
      </c>
      <c r="F2798" s="1" t="n">
        <v>41.917</v>
      </c>
      <c r="G2798" s="1" t="n">
        <f aca="false">IF(ISNUMBER(E2798),E2798,VALUE(SUBSTITUTE(E2798,"#",".01")))</f>
        <v>-6077.998</v>
      </c>
    </row>
    <row r="2799" customFormat="false" ht="12.75" hidden="false" customHeight="false" outlineLevel="0" collapsed="false">
      <c r="A2799" s="1" t="n">
        <v>129</v>
      </c>
      <c r="B2799" s="1" t="n">
        <v>82</v>
      </c>
      <c r="C2799" s="1" t="n">
        <v>211</v>
      </c>
      <c r="D2799" s="1" t="s">
        <v>963</v>
      </c>
      <c r="E2799" s="1" t="n">
        <v>-10492.948</v>
      </c>
      <c r="F2799" s="1" t="n">
        <v>2.261</v>
      </c>
      <c r="G2799" s="1" t="n">
        <f aca="false">IF(ISNUMBER(E2799),E2799,VALUE(SUBSTITUTE(E2799,"#",".01")))</f>
        <v>-10492.948</v>
      </c>
    </row>
    <row r="2800" customFormat="false" ht="12.75" hidden="false" customHeight="false" outlineLevel="0" collapsed="false">
      <c r="A2800" s="1" t="n">
        <v>128</v>
      </c>
      <c r="B2800" s="1" t="n">
        <v>83</v>
      </c>
      <c r="C2800" s="1" t="n">
        <v>211</v>
      </c>
      <c r="D2800" s="1" t="s">
        <v>974</v>
      </c>
      <c r="E2800" s="1" t="n">
        <v>-11859.131</v>
      </c>
      <c r="F2800" s="1" t="n">
        <v>5.442</v>
      </c>
      <c r="G2800" s="1" t="n">
        <f aca="false">IF(ISNUMBER(E2800),E2800,VALUE(SUBSTITUTE(E2800,"#",".01")))</f>
        <v>-11859.131</v>
      </c>
    </row>
    <row r="2801" customFormat="false" ht="12.75" hidden="false" customHeight="false" outlineLevel="0" collapsed="false">
      <c r="A2801" s="1" t="n">
        <v>127</v>
      </c>
      <c r="B2801" s="1" t="n">
        <v>84</v>
      </c>
      <c r="C2801" s="1" t="n">
        <v>211</v>
      </c>
      <c r="D2801" s="1" t="s">
        <v>980</v>
      </c>
      <c r="E2801" s="1" t="n">
        <v>-12432.571</v>
      </c>
      <c r="F2801" s="1" t="n">
        <v>1.255</v>
      </c>
      <c r="G2801" s="1" t="n">
        <f aca="false">IF(ISNUMBER(E2801),E2801,VALUE(SUBSTITUTE(E2801,"#",".01")))</f>
        <v>-12432.571</v>
      </c>
    </row>
    <row r="2802" customFormat="false" ht="12.75" hidden="false" customHeight="false" outlineLevel="0" collapsed="false">
      <c r="A2802" s="1" t="n">
        <v>126</v>
      </c>
      <c r="B2802" s="1" t="n">
        <v>85</v>
      </c>
      <c r="C2802" s="1" t="n">
        <v>211</v>
      </c>
      <c r="D2802" s="1" t="s">
        <v>990</v>
      </c>
      <c r="E2802" s="1" t="n">
        <v>-11647.264</v>
      </c>
      <c r="F2802" s="1" t="n">
        <v>2.729</v>
      </c>
      <c r="G2802" s="1" t="n">
        <f aca="false">IF(ISNUMBER(E2802),E2802,VALUE(SUBSTITUTE(E2802,"#",".01")))</f>
        <v>-11647.264</v>
      </c>
    </row>
    <row r="2803" customFormat="false" ht="12.75" hidden="false" customHeight="false" outlineLevel="0" collapsed="false">
      <c r="A2803" s="1" t="n">
        <v>125</v>
      </c>
      <c r="B2803" s="1" t="n">
        <v>86</v>
      </c>
      <c r="C2803" s="1" t="n">
        <v>211</v>
      </c>
      <c r="D2803" s="1" t="s">
        <v>994</v>
      </c>
      <c r="E2803" s="1" t="n">
        <v>-8755.404</v>
      </c>
      <c r="F2803" s="1" t="n">
        <v>6.813</v>
      </c>
      <c r="G2803" s="1" t="n">
        <f aca="false">IF(ISNUMBER(E2803),E2803,VALUE(SUBSTITUTE(E2803,"#",".01")))</f>
        <v>-8755.404</v>
      </c>
    </row>
    <row r="2804" customFormat="false" ht="12.75" hidden="false" customHeight="false" outlineLevel="0" collapsed="false">
      <c r="A2804" s="1" t="n">
        <v>124</v>
      </c>
      <c r="B2804" s="1" t="n">
        <v>87</v>
      </c>
      <c r="C2804" s="1" t="n">
        <v>211</v>
      </c>
      <c r="D2804" s="1" t="s">
        <v>1005</v>
      </c>
      <c r="E2804" s="1" t="n">
        <v>-4140.249</v>
      </c>
      <c r="F2804" s="1" t="n">
        <v>11.991</v>
      </c>
      <c r="G2804" s="1" t="n">
        <f aca="false">IF(ISNUMBER(E2804),E2804,VALUE(SUBSTITUTE(E2804,"#",".01")))</f>
        <v>-4140.249</v>
      </c>
    </row>
    <row r="2805" customFormat="false" ht="12.75" hidden="false" customHeight="false" outlineLevel="0" collapsed="false">
      <c r="A2805" s="1" t="n">
        <v>123</v>
      </c>
      <c r="B2805" s="1" t="n">
        <v>88</v>
      </c>
      <c r="C2805" s="1" t="n">
        <v>211</v>
      </c>
      <c r="D2805" s="1" t="s">
        <v>1015</v>
      </c>
      <c r="E2805" s="1" t="n">
        <v>832.023</v>
      </c>
      <c r="F2805" s="1" t="n">
        <v>7.918</v>
      </c>
      <c r="G2805" s="1" t="n">
        <f aca="false">IF(ISNUMBER(E2805),E2805,VALUE(SUBSTITUTE(E2805,"#",".01")))</f>
        <v>832.023</v>
      </c>
    </row>
    <row r="2806" customFormat="false" ht="12.75" hidden="false" customHeight="false" outlineLevel="0" collapsed="false">
      <c r="A2806" s="1" t="n">
        <v>122</v>
      </c>
      <c r="B2806" s="1" t="n">
        <v>89</v>
      </c>
      <c r="C2806" s="1" t="n">
        <v>211</v>
      </c>
      <c r="D2806" s="1" t="s">
        <v>1027</v>
      </c>
      <c r="E2806" s="1" t="n">
        <v>7202.214</v>
      </c>
      <c r="F2806" s="1" t="n">
        <v>52.976</v>
      </c>
      <c r="G2806" s="1" t="n">
        <f aca="false">IF(ISNUMBER(E2806),E2806,VALUE(SUBSTITUTE(E2806,"#",".01")))</f>
        <v>7202.214</v>
      </c>
    </row>
    <row r="2807" customFormat="false" ht="12.75" hidden="false" customHeight="false" outlineLevel="0" collapsed="false">
      <c r="A2807" s="1" t="n">
        <v>121</v>
      </c>
      <c r="B2807" s="1" t="n">
        <v>90</v>
      </c>
      <c r="C2807" s="1" t="n">
        <v>211</v>
      </c>
      <c r="D2807" s="1" t="s">
        <v>1034</v>
      </c>
      <c r="E2807" s="1" t="n">
        <v>13910.171</v>
      </c>
      <c r="F2807" s="1" t="n">
        <v>73.01</v>
      </c>
      <c r="G2807" s="1" t="n">
        <f aca="false">IF(ISNUMBER(E2807),E2807,VALUE(SUBSTITUTE(E2807,"#",".01")))</f>
        <v>13910.171</v>
      </c>
    </row>
    <row r="2808" customFormat="false" ht="12.75" hidden="false" customHeight="false" outlineLevel="0" collapsed="false">
      <c r="A2808" s="1" t="n">
        <v>120</v>
      </c>
      <c r="B2808" s="1" t="n">
        <v>91</v>
      </c>
      <c r="C2808" s="1" t="n">
        <v>211</v>
      </c>
      <c r="D2808" s="1" t="s">
        <v>1041</v>
      </c>
      <c r="E2808" s="1" t="s">
        <v>1042</v>
      </c>
      <c r="F2808" s="1" t="s">
        <v>677</v>
      </c>
      <c r="G2808" s="1" t="n">
        <f aca="false">IF(ISNUMBER(E2808),E2808,VALUE(SUBSTITUTE(E2808,"#",".01")))</f>
        <v>22080.01</v>
      </c>
    </row>
    <row r="2809" customFormat="false" ht="12.75" hidden="false" customHeight="false" outlineLevel="0" collapsed="false">
      <c r="A2809" s="1" t="n">
        <v>132</v>
      </c>
      <c r="B2809" s="1" t="n">
        <v>80</v>
      </c>
      <c r="C2809" s="1" t="n">
        <v>212</v>
      </c>
      <c r="D2809" s="1" t="s">
        <v>939</v>
      </c>
      <c r="E2809" s="1" t="s">
        <v>1043</v>
      </c>
      <c r="F2809" s="1" t="s">
        <v>360</v>
      </c>
      <c r="G2809" s="1" t="n">
        <f aca="false">IF(ISNUMBER(E2809),E2809,VALUE(SUBSTITUTE(E2809,"#",".01")))</f>
        <v>2757.01</v>
      </c>
    </row>
    <row r="2810" customFormat="false" ht="12.75" hidden="false" customHeight="false" outlineLevel="0" collapsed="false">
      <c r="A2810" s="1" t="n">
        <v>131</v>
      </c>
      <c r="B2810" s="1" t="n">
        <v>81</v>
      </c>
      <c r="C2810" s="1" t="n">
        <v>212</v>
      </c>
      <c r="D2810" s="1" t="s">
        <v>955</v>
      </c>
      <c r="E2810" s="1" t="s">
        <v>1044</v>
      </c>
      <c r="F2810" s="1" t="s">
        <v>349</v>
      </c>
      <c r="G2810" s="1" t="n">
        <f aca="false">IF(ISNUMBER(E2810),E2810,VALUE(SUBSTITUTE(E2810,"#",".01")))</f>
        <v>-1551.01</v>
      </c>
    </row>
    <row r="2811" customFormat="false" ht="12.75" hidden="false" customHeight="false" outlineLevel="0" collapsed="false">
      <c r="A2811" s="1" t="n">
        <v>130</v>
      </c>
      <c r="B2811" s="1" t="n">
        <v>82</v>
      </c>
      <c r="C2811" s="1" t="n">
        <v>212</v>
      </c>
      <c r="D2811" s="1" t="s">
        <v>963</v>
      </c>
      <c r="E2811" s="1" t="n">
        <v>-7548.85</v>
      </c>
      <c r="F2811" s="1" t="n">
        <v>1.842</v>
      </c>
      <c r="G2811" s="1" t="n">
        <f aca="false">IF(ISNUMBER(E2811),E2811,VALUE(SUBSTITUTE(E2811,"#",".01")))</f>
        <v>-7548.85</v>
      </c>
    </row>
    <row r="2812" customFormat="false" ht="12.75" hidden="false" customHeight="false" outlineLevel="0" collapsed="false">
      <c r="A2812" s="1" t="n">
        <v>129</v>
      </c>
      <c r="B2812" s="1" t="n">
        <v>83</v>
      </c>
      <c r="C2812" s="1" t="n">
        <v>212</v>
      </c>
      <c r="D2812" s="1" t="s">
        <v>974</v>
      </c>
      <c r="E2812" s="1" t="n">
        <v>-8117.954</v>
      </c>
      <c r="F2812" s="1" t="n">
        <v>1.854</v>
      </c>
      <c r="G2812" s="1" t="n">
        <f aca="false">IF(ISNUMBER(E2812),E2812,VALUE(SUBSTITUTE(E2812,"#",".01")))</f>
        <v>-8117.954</v>
      </c>
    </row>
    <row r="2813" customFormat="false" ht="12.75" hidden="false" customHeight="false" outlineLevel="0" collapsed="false">
      <c r="A2813" s="1" t="n">
        <v>128</v>
      </c>
      <c r="B2813" s="1" t="n">
        <v>84</v>
      </c>
      <c r="C2813" s="1" t="n">
        <v>212</v>
      </c>
      <c r="D2813" s="1" t="s">
        <v>980</v>
      </c>
      <c r="E2813" s="1" t="n">
        <v>-10369.487</v>
      </c>
      <c r="F2813" s="1" t="n">
        <v>1.152</v>
      </c>
      <c r="G2813" s="1" t="n">
        <f aca="false">IF(ISNUMBER(E2813),E2813,VALUE(SUBSTITUTE(E2813,"#",".01")))</f>
        <v>-10369.487</v>
      </c>
    </row>
    <row r="2814" customFormat="false" ht="12.75" hidden="false" customHeight="false" outlineLevel="0" collapsed="false">
      <c r="A2814" s="1" t="n">
        <v>127</v>
      </c>
      <c r="B2814" s="1" t="n">
        <v>85</v>
      </c>
      <c r="C2814" s="1" t="n">
        <v>212</v>
      </c>
      <c r="D2814" s="1" t="s">
        <v>990</v>
      </c>
      <c r="E2814" s="1" t="n">
        <v>-8628.221</v>
      </c>
      <c r="F2814" s="1" t="n">
        <v>2.384</v>
      </c>
      <c r="G2814" s="1" t="n">
        <f aca="false">IF(ISNUMBER(E2814),E2814,VALUE(SUBSTITUTE(E2814,"#",".01")))</f>
        <v>-8628.221</v>
      </c>
    </row>
    <row r="2815" customFormat="false" ht="12.75" hidden="false" customHeight="false" outlineLevel="0" collapsed="false">
      <c r="A2815" s="1" t="n">
        <v>126</v>
      </c>
      <c r="B2815" s="1" t="n">
        <v>86</v>
      </c>
      <c r="C2815" s="1" t="n">
        <v>212</v>
      </c>
      <c r="D2815" s="1" t="s">
        <v>994</v>
      </c>
      <c r="E2815" s="1" t="n">
        <v>-8659.608</v>
      </c>
      <c r="F2815" s="1" t="n">
        <v>3.145</v>
      </c>
      <c r="G2815" s="1" t="n">
        <f aca="false">IF(ISNUMBER(E2815),E2815,VALUE(SUBSTITUTE(E2815,"#",".01")))</f>
        <v>-8659.608</v>
      </c>
    </row>
    <row r="2816" customFormat="false" ht="12.75" hidden="false" customHeight="false" outlineLevel="0" collapsed="false">
      <c r="A2816" s="1" t="n">
        <v>125</v>
      </c>
      <c r="B2816" s="1" t="n">
        <v>87</v>
      </c>
      <c r="C2816" s="1" t="n">
        <v>212</v>
      </c>
      <c r="D2816" s="1" t="s">
        <v>1005</v>
      </c>
      <c r="E2816" s="1" t="n">
        <v>-3515.968</v>
      </c>
      <c r="F2816" s="1" t="n">
        <v>8.775</v>
      </c>
      <c r="G2816" s="1" t="n">
        <f aca="false">IF(ISNUMBER(E2816),E2816,VALUE(SUBSTITUTE(E2816,"#",".01")))</f>
        <v>-3515.968</v>
      </c>
    </row>
    <row r="2817" customFormat="false" ht="12.75" hidden="false" customHeight="false" outlineLevel="0" collapsed="false">
      <c r="A2817" s="1" t="n">
        <v>124</v>
      </c>
      <c r="B2817" s="1" t="n">
        <v>88</v>
      </c>
      <c r="C2817" s="1" t="n">
        <v>212</v>
      </c>
      <c r="D2817" s="1" t="s">
        <v>1015</v>
      </c>
      <c r="E2817" s="1" t="n">
        <v>-198.968</v>
      </c>
      <c r="F2817" s="1" t="n">
        <v>11.263</v>
      </c>
      <c r="G2817" s="1" t="n">
        <f aca="false">IF(ISNUMBER(E2817),E2817,VALUE(SUBSTITUTE(E2817,"#",".01")))</f>
        <v>-198.968</v>
      </c>
    </row>
    <row r="2818" customFormat="false" ht="12.75" hidden="false" customHeight="false" outlineLevel="0" collapsed="false">
      <c r="A2818" s="1" t="n">
        <v>123</v>
      </c>
      <c r="B2818" s="1" t="n">
        <v>89</v>
      </c>
      <c r="C2818" s="1" t="n">
        <v>212</v>
      </c>
      <c r="D2818" s="1" t="s">
        <v>1027</v>
      </c>
      <c r="E2818" s="1" t="n">
        <v>7277.298</v>
      </c>
      <c r="F2818" s="1" t="n">
        <v>51.381</v>
      </c>
      <c r="G2818" s="1" t="n">
        <f aca="false">IF(ISNUMBER(E2818),E2818,VALUE(SUBSTITUTE(E2818,"#",".01")))</f>
        <v>7277.298</v>
      </c>
    </row>
    <row r="2819" customFormat="false" ht="12.75" hidden="false" customHeight="false" outlineLevel="0" collapsed="false">
      <c r="A2819" s="1" t="n">
        <v>122</v>
      </c>
      <c r="B2819" s="1" t="n">
        <v>90</v>
      </c>
      <c r="C2819" s="1" t="n">
        <v>212</v>
      </c>
      <c r="D2819" s="1" t="s">
        <v>1034</v>
      </c>
      <c r="E2819" s="1" t="n">
        <v>12110.808</v>
      </c>
      <c r="F2819" s="1" t="n">
        <v>10.109</v>
      </c>
      <c r="G2819" s="1" t="n">
        <f aca="false">IF(ISNUMBER(E2819),E2819,VALUE(SUBSTITUTE(E2819,"#",".01")))</f>
        <v>12110.808</v>
      </c>
    </row>
    <row r="2820" customFormat="false" ht="12.75" hidden="false" customHeight="false" outlineLevel="0" collapsed="false">
      <c r="A2820" s="1" t="n">
        <v>121</v>
      </c>
      <c r="B2820" s="1" t="n">
        <v>91</v>
      </c>
      <c r="C2820" s="1" t="n">
        <v>212</v>
      </c>
      <c r="D2820" s="1" t="s">
        <v>1041</v>
      </c>
      <c r="E2820" s="1" t="n">
        <v>21593.358</v>
      </c>
      <c r="F2820" s="1" t="n">
        <v>74.862</v>
      </c>
      <c r="G2820" s="1" t="n">
        <f aca="false">IF(ISNUMBER(E2820),E2820,VALUE(SUBSTITUTE(E2820,"#",".01")))</f>
        <v>21593.358</v>
      </c>
    </row>
    <row r="2821" customFormat="false" ht="12.75" hidden="false" customHeight="false" outlineLevel="0" collapsed="false">
      <c r="A2821" s="1" t="n">
        <v>133</v>
      </c>
      <c r="B2821" s="1" t="n">
        <v>80</v>
      </c>
      <c r="C2821" s="1" t="n">
        <v>213</v>
      </c>
      <c r="D2821" s="1" t="s">
        <v>939</v>
      </c>
      <c r="E2821" s="1" t="s">
        <v>1045</v>
      </c>
      <c r="F2821" s="1" t="s">
        <v>360</v>
      </c>
      <c r="G2821" s="1" t="n">
        <f aca="false">IF(ISNUMBER(E2821),E2821,VALUE(SUBSTITUTE(E2821,"#",".01")))</f>
        <v>7666.01</v>
      </c>
    </row>
    <row r="2822" customFormat="false" ht="12.75" hidden="false" customHeight="false" outlineLevel="0" collapsed="false">
      <c r="A2822" s="1" t="n">
        <v>132</v>
      </c>
      <c r="B2822" s="1" t="n">
        <v>81</v>
      </c>
      <c r="C2822" s="1" t="n">
        <v>213</v>
      </c>
      <c r="D2822" s="1" t="s">
        <v>955</v>
      </c>
      <c r="E2822" s="1" t="n">
        <v>1783.811</v>
      </c>
      <c r="F2822" s="1" t="n">
        <v>27.013</v>
      </c>
      <c r="G2822" s="1" t="n">
        <f aca="false">IF(ISNUMBER(E2822),E2822,VALUE(SUBSTITUTE(E2822,"#",".01")))</f>
        <v>1783.811</v>
      </c>
    </row>
    <row r="2823" customFormat="false" ht="12.75" hidden="false" customHeight="false" outlineLevel="0" collapsed="false">
      <c r="A2823" s="1" t="n">
        <v>131</v>
      </c>
      <c r="B2823" s="1" t="n">
        <v>82</v>
      </c>
      <c r="C2823" s="1" t="n">
        <v>213</v>
      </c>
      <c r="D2823" s="1" t="s">
        <v>963</v>
      </c>
      <c r="E2823" s="1" t="n">
        <v>-3203.532</v>
      </c>
      <c r="F2823" s="1" t="n">
        <v>6.954</v>
      </c>
      <c r="G2823" s="1" t="n">
        <f aca="false">IF(ISNUMBER(E2823),E2823,VALUE(SUBSTITUTE(E2823,"#",".01")))</f>
        <v>-3203.532</v>
      </c>
    </row>
    <row r="2824" customFormat="false" ht="12.75" hidden="false" customHeight="false" outlineLevel="0" collapsed="false">
      <c r="A2824" s="1" t="n">
        <v>130</v>
      </c>
      <c r="B2824" s="1" t="n">
        <v>83</v>
      </c>
      <c r="C2824" s="1" t="n">
        <v>213</v>
      </c>
      <c r="D2824" s="1" t="s">
        <v>974</v>
      </c>
      <c r="E2824" s="1" t="n">
        <v>-5231.635</v>
      </c>
      <c r="F2824" s="1" t="n">
        <v>5.082</v>
      </c>
      <c r="G2824" s="1" t="n">
        <f aca="false">IF(ISNUMBER(E2824),E2824,VALUE(SUBSTITUTE(E2824,"#",".01")))</f>
        <v>-5231.635</v>
      </c>
    </row>
    <row r="2825" customFormat="false" ht="12.75" hidden="false" customHeight="false" outlineLevel="0" collapsed="false">
      <c r="A2825" s="1" t="n">
        <v>129</v>
      </c>
      <c r="B2825" s="1" t="n">
        <v>84</v>
      </c>
      <c r="C2825" s="1" t="n">
        <v>213</v>
      </c>
      <c r="D2825" s="1" t="s">
        <v>980</v>
      </c>
      <c r="E2825" s="1" t="n">
        <v>-6653.584</v>
      </c>
      <c r="F2825" s="1" t="n">
        <v>3.053</v>
      </c>
      <c r="G2825" s="1" t="n">
        <f aca="false">IF(ISNUMBER(E2825),E2825,VALUE(SUBSTITUTE(E2825,"#",".01")))</f>
        <v>-6653.584</v>
      </c>
    </row>
    <row r="2826" customFormat="false" ht="12.75" hidden="false" customHeight="false" outlineLevel="0" collapsed="false">
      <c r="A2826" s="1" t="n">
        <v>128</v>
      </c>
      <c r="B2826" s="1" t="n">
        <v>85</v>
      </c>
      <c r="C2826" s="1" t="n">
        <v>213</v>
      </c>
      <c r="D2826" s="1" t="s">
        <v>990</v>
      </c>
      <c r="E2826" s="1" t="n">
        <v>-6579.595</v>
      </c>
      <c r="F2826" s="1" t="n">
        <v>4.898</v>
      </c>
      <c r="G2826" s="1" t="n">
        <f aca="false">IF(ISNUMBER(E2826),E2826,VALUE(SUBSTITUTE(E2826,"#",".01")))</f>
        <v>-6579.595</v>
      </c>
    </row>
    <row r="2827" customFormat="false" ht="12.75" hidden="false" customHeight="false" outlineLevel="0" collapsed="false">
      <c r="A2827" s="1" t="n">
        <v>127</v>
      </c>
      <c r="B2827" s="1" t="n">
        <v>86</v>
      </c>
      <c r="C2827" s="1" t="n">
        <v>213</v>
      </c>
      <c r="D2827" s="1" t="s">
        <v>994</v>
      </c>
      <c r="E2827" s="1" t="n">
        <v>-5696.026</v>
      </c>
      <c r="F2827" s="1" t="n">
        <v>3.37</v>
      </c>
      <c r="G2827" s="1" t="n">
        <f aca="false">IF(ISNUMBER(E2827),E2827,VALUE(SUBSTITUTE(E2827,"#",".01")))</f>
        <v>-5696.026</v>
      </c>
    </row>
    <row r="2828" customFormat="false" ht="12.75" hidden="false" customHeight="false" outlineLevel="0" collapsed="false">
      <c r="A2828" s="1" t="n">
        <v>126</v>
      </c>
      <c r="B2828" s="1" t="n">
        <v>87</v>
      </c>
      <c r="C2828" s="1" t="n">
        <v>213</v>
      </c>
      <c r="D2828" s="1" t="s">
        <v>1005</v>
      </c>
      <c r="E2828" s="1" t="n">
        <v>-3552.848</v>
      </c>
      <c r="F2828" s="1" t="n">
        <v>5.091</v>
      </c>
      <c r="G2828" s="1" t="n">
        <f aca="false">IF(ISNUMBER(E2828),E2828,VALUE(SUBSTITUTE(E2828,"#",".01")))</f>
        <v>-3552.848</v>
      </c>
    </row>
    <row r="2829" customFormat="false" ht="12.75" hidden="false" customHeight="false" outlineLevel="0" collapsed="false">
      <c r="A2829" s="1" t="n">
        <v>125</v>
      </c>
      <c r="B2829" s="1" t="n">
        <v>88</v>
      </c>
      <c r="C2829" s="1" t="n">
        <v>213</v>
      </c>
      <c r="D2829" s="1" t="s">
        <v>1015</v>
      </c>
      <c r="E2829" s="1" t="n">
        <v>345.557</v>
      </c>
      <c r="F2829" s="1" t="n">
        <v>9.818</v>
      </c>
      <c r="G2829" s="1" t="n">
        <f aca="false">IF(ISNUMBER(E2829),E2829,VALUE(SUBSTITUTE(E2829,"#",".01")))</f>
        <v>345.557</v>
      </c>
    </row>
    <row r="2830" customFormat="false" ht="12.75" hidden="false" customHeight="false" outlineLevel="0" collapsed="false">
      <c r="A2830" s="1" t="n">
        <v>124</v>
      </c>
      <c r="B2830" s="1" t="n">
        <v>89</v>
      </c>
      <c r="C2830" s="1" t="n">
        <v>213</v>
      </c>
      <c r="D2830" s="1" t="s">
        <v>1027</v>
      </c>
      <c r="E2830" s="1" t="n">
        <v>6154.692</v>
      </c>
      <c r="F2830" s="1" t="n">
        <v>15.272</v>
      </c>
      <c r="G2830" s="1" t="n">
        <f aca="false">IF(ISNUMBER(E2830),E2830,VALUE(SUBSTITUTE(E2830,"#",".01")))</f>
        <v>6154.692</v>
      </c>
    </row>
    <row r="2831" customFormat="false" ht="12.75" hidden="false" customHeight="false" outlineLevel="0" collapsed="false">
      <c r="A2831" s="1" t="n">
        <v>123</v>
      </c>
      <c r="B2831" s="1" t="n">
        <v>90</v>
      </c>
      <c r="C2831" s="1" t="n">
        <v>213</v>
      </c>
      <c r="D2831" s="1" t="s">
        <v>1034</v>
      </c>
      <c r="E2831" s="1" t="n">
        <v>12120.086</v>
      </c>
      <c r="F2831" s="1" t="n">
        <v>9.217</v>
      </c>
      <c r="G2831" s="1" t="n">
        <f aca="false">IF(ISNUMBER(E2831),E2831,VALUE(SUBSTITUTE(E2831,"#",".01")))</f>
        <v>12120.086</v>
      </c>
    </row>
    <row r="2832" customFormat="false" ht="12.75" hidden="false" customHeight="false" outlineLevel="0" collapsed="false">
      <c r="A2832" s="1" t="n">
        <v>122</v>
      </c>
      <c r="B2832" s="1" t="n">
        <v>91</v>
      </c>
      <c r="C2832" s="1" t="n">
        <v>213</v>
      </c>
      <c r="D2832" s="1" t="s">
        <v>1041</v>
      </c>
      <c r="E2832" s="1" t="n">
        <v>19662.625</v>
      </c>
      <c r="F2832" s="1" t="n">
        <v>71.142</v>
      </c>
      <c r="G2832" s="1" t="n">
        <f aca="false">IF(ISNUMBER(E2832),E2832,VALUE(SUBSTITUTE(E2832,"#",".01")))</f>
        <v>19662.625</v>
      </c>
    </row>
    <row r="2833" customFormat="false" ht="12.75" hidden="false" customHeight="false" outlineLevel="0" collapsed="false">
      <c r="A2833" s="1" t="n">
        <v>134</v>
      </c>
      <c r="B2833" s="1" t="n">
        <v>80</v>
      </c>
      <c r="C2833" s="1" t="n">
        <v>214</v>
      </c>
      <c r="D2833" s="1" t="s">
        <v>939</v>
      </c>
      <c r="E2833" s="1" t="s">
        <v>1046</v>
      </c>
      <c r="F2833" s="1" t="s">
        <v>320</v>
      </c>
      <c r="G2833" s="1" t="n">
        <f aca="false">IF(ISNUMBER(E2833),E2833,VALUE(SUBSTITUTE(E2833,"#",".01")))</f>
        <v>11178.01</v>
      </c>
    </row>
    <row r="2834" customFormat="false" ht="12.75" hidden="false" customHeight="false" outlineLevel="0" collapsed="false">
      <c r="A2834" s="1" t="n">
        <v>133</v>
      </c>
      <c r="B2834" s="1" t="n">
        <v>81</v>
      </c>
      <c r="C2834" s="1" t="n">
        <v>214</v>
      </c>
      <c r="D2834" s="1" t="s">
        <v>955</v>
      </c>
      <c r="E2834" s="1" t="s">
        <v>1047</v>
      </c>
      <c r="F2834" s="1" t="s">
        <v>333</v>
      </c>
      <c r="G2834" s="1" t="n">
        <f aca="false">IF(ISNUMBER(E2834),E2834,VALUE(SUBSTITUTE(E2834,"#",".01")))</f>
        <v>6465.01</v>
      </c>
    </row>
    <row r="2835" customFormat="false" ht="12.75" hidden="false" customHeight="false" outlineLevel="0" collapsed="false">
      <c r="A2835" s="1" t="n">
        <v>132</v>
      </c>
      <c r="B2835" s="1" t="n">
        <v>82</v>
      </c>
      <c r="C2835" s="1" t="n">
        <v>214</v>
      </c>
      <c r="D2835" s="1" t="s">
        <v>963</v>
      </c>
      <c r="E2835" s="1" t="n">
        <v>-182.769</v>
      </c>
      <c r="F2835" s="1" t="n">
        <v>1.975</v>
      </c>
      <c r="G2835" s="1" t="n">
        <f aca="false">IF(ISNUMBER(E2835),E2835,VALUE(SUBSTITUTE(E2835,"#",".01")))</f>
        <v>-182.769</v>
      </c>
    </row>
    <row r="2836" customFormat="false" ht="12.75" hidden="false" customHeight="false" outlineLevel="0" collapsed="false">
      <c r="A2836" s="1" t="n">
        <v>131</v>
      </c>
      <c r="B2836" s="1" t="n">
        <v>83</v>
      </c>
      <c r="C2836" s="1" t="n">
        <v>214</v>
      </c>
      <c r="D2836" s="1" t="s">
        <v>974</v>
      </c>
      <c r="E2836" s="1" t="n">
        <v>-1200.753</v>
      </c>
      <c r="F2836" s="1" t="n">
        <v>11.209</v>
      </c>
      <c r="G2836" s="1" t="n">
        <f aca="false">IF(ISNUMBER(E2836),E2836,VALUE(SUBSTITUTE(E2836,"#",".01")))</f>
        <v>-1200.753</v>
      </c>
    </row>
    <row r="2837" customFormat="false" ht="12.75" hidden="false" customHeight="false" outlineLevel="0" collapsed="false">
      <c r="A2837" s="1" t="n">
        <v>130</v>
      </c>
      <c r="B2837" s="1" t="n">
        <v>84</v>
      </c>
      <c r="C2837" s="1" t="n">
        <v>214</v>
      </c>
      <c r="D2837" s="1" t="s">
        <v>980</v>
      </c>
      <c r="E2837" s="1" t="n">
        <v>-4470.046</v>
      </c>
      <c r="F2837" s="1" t="n">
        <v>1.449</v>
      </c>
      <c r="G2837" s="1" t="n">
        <f aca="false">IF(ISNUMBER(E2837),E2837,VALUE(SUBSTITUTE(E2837,"#",".01")))</f>
        <v>-4470.046</v>
      </c>
    </row>
    <row r="2838" customFormat="false" ht="12.75" hidden="false" customHeight="false" outlineLevel="0" collapsed="false">
      <c r="A2838" s="1" t="n">
        <v>129</v>
      </c>
      <c r="B2838" s="1" t="n">
        <v>85</v>
      </c>
      <c r="C2838" s="1" t="n">
        <v>214</v>
      </c>
      <c r="D2838" s="1" t="s">
        <v>990</v>
      </c>
      <c r="E2838" s="1" t="n">
        <v>-3379.831</v>
      </c>
      <c r="F2838" s="1" t="n">
        <v>4.298</v>
      </c>
      <c r="G2838" s="1" t="n">
        <f aca="false">IF(ISNUMBER(E2838),E2838,VALUE(SUBSTITUTE(E2838,"#",".01")))</f>
        <v>-3379.831</v>
      </c>
    </row>
    <row r="2839" customFormat="false" ht="12.75" hidden="false" customHeight="false" outlineLevel="0" collapsed="false">
      <c r="A2839" s="1" t="n">
        <v>128</v>
      </c>
      <c r="B2839" s="1" t="n">
        <v>86</v>
      </c>
      <c r="C2839" s="1" t="n">
        <v>214</v>
      </c>
      <c r="D2839" s="1" t="s">
        <v>994</v>
      </c>
      <c r="E2839" s="1" t="n">
        <v>-4319.742</v>
      </c>
      <c r="F2839" s="1" t="n">
        <v>9.187</v>
      </c>
      <c r="G2839" s="1" t="n">
        <f aca="false">IF(ISNUMBER(E2839),E2839,VALUE(SUBSTITUTE(E2839,"#",".01")))</f>
        <v>-4319.742</v>
      </c>
    </row>
    <row r="2840" customFormat="false" ht="12.75" hidden="false" customHeight="false" outlineLevel="0" collapsed="false">
      <c r="A2840" s="1" t="n">
        <v>127</v>
      </c>
      <c r="B2840" s="1" t="n">
        <v>87</v>
      </c>
      <c r="C2840" s="1" t="n">
        <v>214</v>
      </c>
      <c r="D2840" s="1" t="s">
        <v>1005</v>
      </c>
      <c r="E2840" s="1" t="n">
        <v>-958.707</v>
      </c>
      <c r="F2840" s="1" t="n">
        <v>8.634</v>
      </c>
      <c r="G2840" s="1" t="n">
        <f aca="false">IF(ISNUMBER(E2840),E2840,VALUE(SUBSTITUTE(E2840,"#",".01")))</f>
        <v>-958.707</v>
      </c>
    </row>
    <row r="2841" customFormat="false" ht="12.75" hidden="false" customHeight="false" outlineLevel="0" collapsed="false">
      <c r="A2841" s="1" t="n">
        <v>126</v>
      </c>
      <c r="B2841" s="1" t="n">
        <v>88</v>
      </c>
      <c r="C2841" s="1" t="n">
        <v>214</v>
      </c>
      <c r="D2841" s="1" t="s">
        <v>1015</v>
      </c>
      <c r="E2841" s="1" t="n">
        <v>92.734</v>
      </c>
      <c r="F2841" s="1" t="n">
        <v>5.25</v>
      </c>
      <c r="G2841" s="1" t="n">
        <f aca="false">IF(ISNUMBER(E2841),E2841,VALUE(SUBSTITUTE(E2841,"#",".01")))</f>
        <v>92.734</v>
      </c>
    </row>
    <row r="2842" customFormat="false" ht="12.75" hidden="false" customHeight="false" outlineLevel="0" collapsed="false">
      <c r="A2842" s="1" t="n">
        <v>125</v>
      </c>
      <c r="B2842" s="1" t="n">
        <v>89</v>
      </c>
      <c r="C2842" s="1" t="n">
        <v>214</v>
      </c>
      <c r="D2842" s="1" t="s">
        <v>1027</v>
      </c>
      <c r="E2842" s="1" t="n">
        <v>6443.854</v>
      </c>
      <c r="F2842" s="1" t="n">
        <v>15.36</v>
      </c>
      <c r="G2842" s="1" t="n">
        <f aca="false">IF(ISNUMBER(E2842),E2842,VALUE(SUBSTITUTE(E2842,"#",".01")))</f>
        <v>6443.854</v>
      </c>
    </row>
    <row r="2843" customFormat="false" ht="12.75" hidden="false" customHeight="false" outlineLevel="0" collapsed="false">
      <c r="A2843" s="1" t="n">
        <v>124</v>
      </c>
      <c r="B2843" s="1" t="n">
        <v>90</v>
      </c>
      <c r="C2843" s="1" t="n">
        <v>214</v>
      </c>
      <c r="D2843" s="1" t="s">
        <v>1034</v>
      </c>
      <c r="E2843" s="1" t="n">
        <v>10694.885</v>
      </c>
      <c r="F2843" s="1" t="n">
        <v>10.661</v>
      </c>
      <c r="G2843" s="1" t="n">
        <f aca="false">IF(ISNUMBER(E2843),E2843,VALUE(SUBSTITUTE(E2843,"#",".01")))</f>
        <v>10694.885</v>
      </c>
    </row>
    <row r="2844" customFormat="false" ht="12.75" hidden="false" customHeight="false" outlineLevel="0" collapsed="false">
      <c r="A2844" s="1" t="n">
        <v>123</v>
      </c>
      <c r="B2844" s="1" t="n">
        <v>91</v>
      </c>
      <c r="C2844" s="1" t="n">
        <v>214</v>
      </c>
      <c r="D2844" s="1" t="s">
        <v>1041</v>
      </c>
      <c r="E2844" s="1" t="n">
        <v>19485.515</v>
      </c>
      <c r="F2844" s="1" t="n">
        <v>76.125</v>
      </c>
      <c r="G2844" s="1" t="n">
        <f aca="false">IF(ISNUMBER(E2844),E2844,VALUE(SUBSTITUTE(E2844,"#",".01")))</f>
        <v>19485.515</v>
      </c>
    </row>
    <row r="2845" customFormat="false" ht="12.75" hidden="false" customHeight="false" outlineLevel="0" collapsed="false">
      <c r="A2845" s="1" t="n">
        <v>135</v>
      </c>
      <c r="B2845" s="1" t="n">
        <v>80</v>
      </c>
      <c r="C2845" s="1" t="n">
        <v>215</v>
      </c>
      <c r="D2845" s="1" t="s">
        <v>939</v>
      </c>
      <c r="E2845" s="1" t="s">
        <v>1048</v>
      </c>
      <c r="F2845" s="1" t="s">
        <v>320</v>
      </c>
      <c r="G2845" s="1" t="n">
        <f aca="false">IF(ISNUMBER(E2845),E2845,VALUE(SUBSTITUTE(E2845,"#",".01")))</f>
        <v>16208.01</v>
      </c>
    </row>
    <row r="2846" customFormat="false" ht="12.75" hidden="false" customHeight="false" outlineLevel="0" collapsed="false">
      <c r="A2846" s="1" t="n">
        <v>134</v>
      </c>
      <c r="B2846" s="1" t="n">
        <v>81</v>
      </c>
      <c r="C2846" s="1" t="n">
        <v>215</v>
      </c>
      <c r="D2846" s="1" t="s">
        <v>955</v>
      </c>
      <c r="E2846" s="1" t="s">
        <v>1049</v>
      </c>
      <c r="F2846" s="1" t="s">
        <v>360</v>
      </c>
      <c r="G2846" s="1" t="n">
        <f aca="false">IF(ISNUMBER(E2846),E2846,VALUE(SUBSTITUTE(E2846,"#",".01")))</f>
        <v>9911.01</v>
      </c>
    </row>
    <row r="2847" customFormat="false" ht="12.75" hidden="false" customHeight="false" outlineLevel="0" collapsed="false">
      <c r="A2847" s="1" t="n">
        <v>133</v>
      </c>
      <c r="B2847" s="1" t="n">
        <v>82</v>
      </c>
      <c r="C2847" s="1" t="n">
        <v>215</v>
      </c>
      <c r="D2847" s="1" t="s">
        <v>963</v>
      </c>
      <c r="E2847" s="1" t="n">
        <v>4342.244</v>
      </c>
      <c r="F2847" s="1" t="n">
        <v>52.448</v>
      </c>
      <c r="G2847" s="1" t="n">
        <f aca="false">IF(ISNUMBER(E2847),E2847,VALUE(SUBSTITUTE(E2847,"#",".01")))</f>
        <v>4342.244</v>
      </c>
    </row>
    <row r="2848" customFormat="false" ht="12.75" hidden="false" customHeight="false" outlineLevel="0" collapsed="false">
      <c r="A2848" s="1" t="n">
        <v>132</v>
      </c>
      <c r="B2848" s="1" t="n">
        <v>83</v>
      </c>
      <c r="C2848" s="1" t="n">
        <v>215</v>
      </c>
      <c r="D2848" s="1" t="s">
        <v>974</v>
      </c>
      <c r="E2848" s="1" t="n">
        <v>1629.322</v>
      </c>
      <c r="F2848" s="1" t="n">
        <v>5.624</v>
      </c>
      <c r="G2848" s="1" t="n">
        <f aca="false">IF(ISNUMBER(E2848),E2848,VALUE(SUBSTITUTE(E2848,"#",".01")))</f>
        <v>1629.322</v>
      </c>
    </row>
    <row r="2849" customFormat="false" ht="12.75" hidden="false" customHeight="false" outlineLevel="0" collapsed="false">
      <c r="A2849" s="1" t="n">
        <v>131</v>
      </c>
      <c r="B2849" s="1" t="n">
        <v>84</v>
      </c>
      <c r="C2849" s="1" t="n">
        <v>215</v>
      </c>
      <c r="D2849" s="1" t="s">
        <v>980</v>
      </c>
      <c r="E2849" s="1" t="n">
        <v>-541.706</v>
      </c>
      <c r="F2849" s="1" t="n">
        <v>2.121</v>
      </c>
      <c r="G2849" s="1" t="n">
        <f aca="false">IF(ISNUMBER(E2849),E2849,VALUE(SUBSTITUTE(E2849,"#",".01")))</f>
        <v>-541.706</v>
      </c>
    </row>
    <row r="2850" customFormat="false" ht="12.75" hidden="false" customHeight="false" outlineLevel="0" collapsed="false">
      <c r="A2850" s="1" t="n">
        <v>130</v>
      </c>
      <c r="B2850" s="1" t="n">
        <v>85</v>
      </c>
      <c r="C2850" s="1" t="n">
        <v>215</v>
      </c>
      <c r="D2850" s="1" t="s">
        <v>990</v>
      </c>
      <c r="E2850" s="1" t="n">
        <v>-1255.756</v>
      </c>
      <c r="F2850" s="1" t="n">
        <v>6.799</v>
      </c>
      <c r="G2850" s="1" t="n">
        <f aca="false">IF(ISNUMBER(E2850),E2850,VALUE(SUBSTITUTE(E2850,"#",".01")))</f>
        <v>-1255.756</v>
      </c>
    </row>
    <row r="2851" customFormat="false" ht="12.75" hidden="false" customHeight="false" outlineLevel="0" collapsed="false">
      <c r="A2851" s="1" t="n">
        <v>129</v>
      </c>
      <c r="B2851" s="1" t="n">
        <v>86</v>
      </c>
      <c r="C2851" s="1" t="n">
        <v>215</v>
      </c>
      <c r="D2851" s="1" t="s">
        <v>994</v>
      </c>
      <c r="E2851" s="1" t="n">
        <v>-1168.561</v>
      </c>
      <c r="F2851" s="1" t="n">
        <v>7.672</v>
      </c>
      <c r="G2851" s="1" t="n">
        <f aca="false">IF(ISNUMBER(E2851),E2851,VALUE(SUBSTITUTE(E2851,"#",".01")))</f>
        <v>-1168.561</v>
      </c>
    </row>
    <row r="2852" customFormat="false" ht="12.75" hidden="false" customHeight="false" outlineLevel="0" collapsed="false">
      <c r="A2852" s="1" t="n">
        <v>128</v>
      </c>
      <c r="B2852" s="1" t="n">
        <v>87</v>
      </c>
      <c r="C2852" s="1" t="n">
        <v>215</v>
      </c>
      <c r="D2852" s="1" t="s">
        <v>1005</v>
      </c>
      <c r="E2852" s="1" t="n">
        <v>318.065</v>
      </c>
      <c r="F2852" s="1" t="n">
        <v>7.066</v>
      </c>
      <c r="G2852" s="1" t="n">
        <f aca="false">IF(ISNUMBER(E2852),E2852,VALUE(SUBSTITUTE(E2852,"#",".01")))</f>
        <v>318.065</v>
      </c>
    </row>
    <row r="2853" customFormat="false" ht="12.75" hidden="false" customHeight="false" outlineLevel="0" collapsed="false">
      <c r="A2853" s="1" t="n">
        <v>127</v>
      </c>
      <c r="B2853" s="1" t="n">
        <v>88</v>
      </c>
      <c r="C2853" s="1" t="n">
        <v>215</v>
      </c>
      <c r="D2853" s="1" t="s">
        <v>1015</v>
      </c>
      <c r="E2853" s="1" t="n">
        <v>2533.739</v>
      </c>
      <c r="F2853" s="1" t="n">
        <v>7.613</v>
      </c>
      <c r="G2853" s="1" t="n">
        <f aca="false">IF(ISNUMBER(E2853),E2853,VALUE(SUBSTITUTE(E2853,"#",".01")))</f>
        <v>2533.739</v>
      </c>
    </row>
    <row r="2854" customFormat="false" ht="12.75" hidden="false" customHeight="false" outlineLevel="0" collapsed="false">
      <c r="A2854" s="1" t="n">
        <v>126</v>
      </c>
      <c r="B2854" s="1" t="n">
        <v>89</v>
      </c>
      <c r="C2854" s="1" t="n">
        <v>215</v>
      </c>
      <c r="D2854" s="1" t="s">
        <v>1027</v>
      </c>
      <c r="E2854" s="1" t="n">
        <v>6030.615</v>
      </c>
      <c r="F2854" s="1" t="n">
        <v>12.406</v>
      </c>
      <c r="G2854" s="1" t="n">
        <f aca="false">IF(ISNUMBER(E2854),E2854,VALUE(SUBSTITUTE(E2854,"#",".01")))</f>
        <v>6030.615</v>
      </c>
    </row>
    <row r="2855" customFormat="false" ht="12.75" hidden="false" customHeight="false" outlineLevel="0" collapsed="false">
      <c r="A2855" s="1" t="n">
        <v>125</v>
      </c>
      <c r="B2855" s="1" t="n">
        <v>90</v>
      </c>
      <c r="C2855" s="1" t="n">
        <v>215</v>
      </c>
      <c r="D2855" s="1" t="s">
        <v>1034</v>
      </c>
      <c r="E2855" s="1" t="n">
        <v>10921.586</v>
      </c>
      <c r="F2855" s="1" t="n">
        <v>8.84</v>
      </c>
      <c r="G2855" s="1" t="n">
        <f aca="false">IF(ISNUMBER(E2855),E2855,VALUE(SUBSTITUTE(E2855,"#",".01")))</f>
        <v>10921.586</v>
      </c>
    </row>
    <row r="2856" customFormat="false" ht="12.75" hidden="false" customHeight="false" outlineLevel="0" collapsed="false">
      <c r="A2856" s="1" t="n">
        <v>124</v>
      </c>
      <c r="B2856" s="1" t="n">
        <v>91</v>
      </c>
      <c r="C2856" s="1" t="n">
        <v>215</v>
      </c>
      <c r="D2856" s="1" t="s">
        <v>1041</v>
      </c>
      <c r="E2856" s="1" t="n">
        <v>17863.939</v>
      </c>
      <c r="F2856" s="1" t="n">
        <v>72.845</v>
      </c>
      <c r="G2856" s="1" t="n">
        <f aca="false">IF(ISNUMBER(E2856),E2856,VALUE(SUBSTITUTE(E2856,"#",".01")))</f>
        <v>17863.939</v>
      </c>
    </row>
    <row r="2857" customFormat="false" ht="12.75" hidden="false" customHeight="false" outlineLevel="0" collapsed="false">
      <c r="A2857" s="1" t="n">
        <v>123</v>
      </c>
      <c r="B2857" s="1" t="n">
        <v>92</v>
      </c>
      <c r="C2857" s="1" t="n">
        <v>215</v>
      </c>
      <c r="D2857" s="1" t="s">
        <v>1050</v>
      </c>
      <c r="E2857" s="1" t="n">
        <v>24923.087</v>
      </c>
      <c r="F2857" s="1" t="n">
        <v>88.49</v>
      </c>
      <c r="G2857" s="1" t="n">
        <f aca="false">IF(ISNUMBER(E2857),E2857,VALUE(SUBSTITUTE(E2857,"#",".01")))</f>
        <v>24923.087</v>
      </c>
    </row>
    <row r="2858" customFormat="false" ht="12.75" hidden="false" customHeight="false" outlineLevel="0" collapsed="false">
      <c r="A2858" s="1" t="n">
        <v>136</v>
      </c>
      <c r="B2858" s="1" t="n">
        <v>80</v>
      </c>
      <c r="C2858" s="1" t="n">
        <v>216</v>
      </c>
      <c r="D2858" s="1" t="s">
        <v>939</v>
      </c>
      <c r="E2858" s="1" t="s">
        <v>1051</v>
      </c>
      <c r="F2858" s="1" t="s">
        <v>320</v>
      </c>
      <c r="G2858" s="1" t="n">
        <f aca="false">IF(ISNUMBER(E2858),E2858,VALUE(SUBSTITUTE(E2858,"#",".01")))</f>
        <v>19859.01</v>
      </c>
    </row>
    <row r="2859" customFormat="false" ht="12.75" hidden="false" customHeight="false" outlineLevel="0" collapsed="false">
      <c r="A2859" s="1" t="n">
        <v>135</v>
      </c>
      <c r="B2859" s="1" t="n">
        <v>81</v>
      </c>
      <c r="C2859" s="1" t="n">
        <v>216</v>
      </c>
      <c r="D2859" s="1" t="s">
        <v>955</v>
      </c>
      <c r="E2859" s="1" t="s">
        <v>1052</v>
      </c>
      <c r="F2859" s="1" t="s">
        <v>360</v>
      </c>
      <c r="G2859" s="1" t="n">
        <f aca="false">IF(ISNUMBER(E2859),E2859,VALUE(SUBSTITUTE(E2859,"#",".01")))</f>
        <v>14718.01</v>
      </c>
    </row>
    <row r="2860" customFormat="false" ht="12.75" hidden="false" customHeight="false" outlineLevel="0" collapsed="false">
      <c r="A2860" s="1" t="n">
        <v>134</v>
      </c>
      <c r="B2860" s="1" t="n">
        <v>82</v>
      </c>
      <c r="C2860" s="1" t="n">
        <v>216</v>
      </c>
      <c r="D2860" s="1" t="s">
        <v>963</v>
      </c>
      <c r="E2860" s="1" t="s">
        <v>1053</v>
      </c>
      <c r="F2860" s="1" t="s">
        <v>333</v>
      </c>
      <c r="G2860" s="1" t="n">
        <f aca="false">IF(ISNUMBER(E2860),E2860,VALUE(SUBSTITUTE(E2860,"#",".01")))</f>
        <v>7480.01</v>
      </c>
    </row>
    <row r="2861" customFormat="false" ht="12.75" hidden="false" customHeight="false" outlineLevel="0" collapsed="false">
      <c r="A2861" s="1" t="n">
        <v>133</v>
      </c>
      <c r="B2861" s="1" t="n">
        <v>83</v>
      </c>
      <c r="C2861" s="1" t="n">
        <v>216</v>
      </c>
      <c r="D2861" s="1" t="s">
        <v>974</v>
      </c>
      <c r="E2861" s="1" t="n">
        <v>5873.991</v>
      </c>
      <c r="F2861" s="1" t="n">
        <v>11.178</v>
      </c>
      <c r="G2861" s="1" t="n">
        <f aca="false">IF(ISNUMBER(E2861),E2861,VALUE(SUBSTITUTE(E2861,"#",".01")))</f>
        <v>5873.991</v>
      </c>
    </row>
    <row r="2862" customFormat="false" ht="12.75" hidden="false" customHeight="false" outlineLevel="0" collapsed="false">
      <c r="A2862" s="1" t="n">
        <v>132</v>
      </c>
      <c r="B2862" s="1" t="n">
        <v>84</v>
      </c>
      <c r="C2862" s="1" t="n">
        <v>216</v>
      </c>
      <c r="D2862" s="1" t="s">
        <v>980</v>
      </c>
      <c r="E2862" s="1" t="n">
        <v>1782.42</v>
      </c>
      <c r="F2862" s="1" t="n">
        <v>1.816</v>
      </c>
      <c r="G2862" s="1" t="n">
        <f aca="false">IF(ISNUMBER(E2862),E2862,VALUE(SUBSTITUTE(E2862,"#",".01")))</f>
        <v>1782.42</v>
      </c>
    </row>
    <row r="2863" customFormat="false" ht="12.75" hidden="false" customHeight="false" outlineLevel="0" collapsed="false">
      <c r="A2863" s="1" t="n">
        <v>131</v>
      </c>
      <c r="B2863" s="1" t="n">
        <v>85</v>
      </c>
      <c r="C2863" s="1" t="n">
        <v>216</v>
      </c>
      <c r="D2863" s="1" t="s">
        <v>990</v>
      </c>
      <c r="E2863" s="1" t="n">
        <v>2256.666</v>
      </c>
      <c r="F2863" s="1" t="n">
        <v>3.575</v>
      </c>
      <c r="G2863" s="1" t="n">
        <f aca="false">IF(ISNUMBER(E2863),E2863,VALUE(SUBSTITUTE(E2863,"#",".01")))</f>
        <v>2256.666</v>
      </c>
    </row>
    <row r="2864" customFormat="false" ht="12.75" hidden="false" customHeight="false" outlineLevel="0" collapsed="false">
      <c r="A2864" s="1" t="n">
        <v>130</v>
      </c>
      <c r="B2864" s="1" t="n">
        <v>86</v>
      </c>
      <c r="C2864" s="1" t="n">
        <v>216</v>
      </c>
      <c r="D2864" s="1" t="s">
        <v>994</v>
      </c>
      <c r="E2864" s="1" t="n">
        <v>252.868</v>
      </c>
      <c r="F2864" s="1" t="n">
        <v>5.994</v>
      </c>
      <c r="G2864" s="1" t="n">
        <f aca="false">IF(ISNUMBER(E2864),E2864,VALUE(SUBSTITUTE(E2864,"#",".01")))</f>
        <v>252.868</v>
      </c>
    </row>
    <row r="2865" customFormat="false" ht="12.75" hidden="false" customHeight="false" outlineLevel="0" collapsed="false">
      <c r="A2865" s="1" t="n">
        <v>129</v>
      </c>
      <c r="B2865" s="1" t="n">
        <v>87</v>
      </c>
      <c r="C2865" s="1" t="n">
        <v>216</v>
      </c>
      <c r="D2865" s="1" t="s">
        <v>1005</v>
      </c>
      <c r="E2865" s="1" t="n">
        <v>2970.95</v>
      </c>
      <c r="F2865" s="1" t="n">
        <v>4.173</v>
      </c>
      <c r="G2865" s="1" t="n">
        <f aca="false">IF(ISNUMBER(E2865),E2865,VALUE(SUBSTITUTE(E2865,"#",".01")))</f>
        <v>2970.95</v>
      </c>
    </row>
    <row r="2866" customFormat="false" ht="12.75" hidden="false" customHeight="false" outlineLevel="0" collapsed="false">
      <c r="A2866" s="1" t="n">
        <v>128</v>
      </c>
      <c r="B2866" s="1" t="n">
        <v>88</v>
      </c>
      <c r="C2866" s="1" t="n">
        <v>216</v>
      </c>
      <c r="D2866" s="1" t="s">
        <v>1015</v>
      </c>
      <c r="E2866" s="1" t="n">
        <v>3291.077</v>
      </c>
      <c r="F2866" s="1" t="n">
        <v>8.737</v>
      </c>
      <c r="G2866" s="1" t="n">
        <f aca="false">IF(ISNUMBER(E2866),E2866,VALUE(SUBSTITUTE(E2866,"#",".01")))</f>
        <v>3291.077</v>
      </c>
    </row>
    <row r="2867" customFormat="false" ht="12.75" hidden="false" customHeight="false" outlineLevel="0" collapsed="false">
      <c r="A2867" s="1" t="n">
        <v>127</v>
      </c>
      <c r="B2867" s="1" t="n">
        <v>89</v>
      </c>
      <c r="C2867" s="1" t="n">
        <v>216</v>
      </c>
      <c r="D2867" s="1" t="s">
        <v>1027</v>
      </c>
      <c r="E2867" s="1" t="n">
        <v>8144.395</v>
      </c>
      <c r="F2867" s="1" t="n">
        <v>10.84</v>
      </c>
      <c r="G2867" s="1" t="n">
        <f aca="false">IF(ISNUMBER(E2867),E2867,VALUE(SUBSTITUTE(E2867,"#",".01")))</f>
        <v>8144.395</v>
      </c>
    </row>
    <row r="2868" customFormat="false" ht="12.75" hidden="false" customHeight="false" outlineLevel="0" collapsed="false">
      <c r="A2868" s="1" t="n">
        <v>126</v>
      </c>
      <c r="B2868" s="1" t="n">
        <v>90</v>
      </c>
      <c r="C2868" s="1" t="n">
        <v>216</v>
      </c>
      <c r="D2868" s="1" t="s">
        <v>1034</v>
      </c>
      <c r="E2868" s="1" t="n">
        <v>10298.332</v>
      </c>
      <c r="F2868" s="1" t="n">
        <v>12.042</v>
      </c>
      <c r="G2868" s="1" t="n">
        <f aca="false">IF(ISNUMBER(E2868),E2868,VALUE(SUBSTITUTE(E2868,"#",".01")))</f>
        <v>10298.332</v>
      </c>
    </row>
    <row r="2869" customFormat="false" ht="12.75" hidden="false" customHeight="false" outlineLevel="0" collapsed="false">
      <c r="A2869" s="1" t="n">
        <v>125</v>
      </c>
      <c r="B2869" s="1" t="n">
        <v>91</v>
      </c>
      <c r="C2869" s="1" t="n">
        <v>216</v>
      </c>
      <c r="D2869" s="1" t="s">
        <v>1041</v>
      </c>
      <c r="E2869" s="1" t="n">
        <v>17799.214</v>
      </c>
      <c r="F2869" s="1" t="n">
        <v>53.526</v>
      </c>
      <c r="G2869" s="1" t="n">
        <f aca="false">IF(ISNUMBER(E2869),E2869,VALUE(SUBSTITUTE(E2869,"#",".01")))</f>
        <v>17799.214</v>
      </c>
    </row>
    <row r="2870" customFormat="false" ht="12.75" hidden="false" customHeight="false" outlineLevel="0" collapsed="false">
      <c r="A2870" s="1" t="n">
        <v>124</v>
      </c>
      <c r="B2870" s="1" t="n">
        <v>92</v>
      </c>
      <c r="C2870" s="1" t="n">
        <v>216</v>
      </c>
      <c r="D2870" s="1" t="s">
        <v>1050</v>
      </c>
      <c r="E2870" s="1" t="n">
        <v>23066.351</v>
      </c>
      <c r="F2870" s="1" t="n">
        <v>28.093</v>
      </c>
      <c r="G2870" s="1" t="n">
        <f aca="false">IF(ISNUMBER(E2870),E2870,VALUE(SUBSTITUTE(E2870,"#",".01")))</f>
        <v>23066.351</v>
      </c>
    </row>
    <row r="2871" customFormat="false" ht="12.75" hidden="false" customHeight="false" outlineLevel="0" collapsed="false">
      <c r="A2871" s="1" t="n">
        <v>136</v>
      </c>
      <c r="B2871" s="1" t="n">
        <v>81</v>
      </c>
      <c r="C2871" s="1" t="n">
        <v>217</v>
      </c>
      <c r="D2871" s="1" t="s">
        <v>955</v>
      </c>
      <c r="E2871" s="1" t="s">
        <v>1054</v>
      </c>
      <c r="F2871" s="1" t="s">
        <v>320</v>
      </c>
      <c r="G2871" s="1" t="n">
        <f aca="false">IF(ISNUMBER(E2871),E2871,VALUE(SUBSTITUTE(E2871,"#",".01")))</f>
        <v>18313.01</v>
      </c>
    </row>
    <row r="2872" customFormat="false" ht="12.75" hidden="false" customHeight="false" outlineLevel="0" collapsed="false">
      <c r="A2872" s="1" t="n">
        <v>135</v>
      </c>
      <c r="B2872" s="1" t="n">
        <v>82</v>
      </c>
      <c r="C2872" s="1" t="n">
        <v>217</v>
      </c>
      <c r="D2872" s="1" t="s">
        <v>963</v>
      </c>
      <c r="E2872" s="1" t="s">
        <v>1055</v>
      </c>
      <c r="F2872" s="1" t="s">
        <v>360</v>
      </c>
      <c r="G2872" s="1" t="n">
        <f aca="false">IF(ISNUMBER(E2872),E2872,VALUE(SUBSTITUTE(E2872,"#",".01")))</f>
        <v>12240.01</v>
      </c>
    </row>
    <row r="2873" customFormat="false" ht="12.75" hidden="false" customHeight="false" outlineLevel="0" collapsed="false">
      <c r="A2873" s="1" t="n">
        <v>134</v>
      </c>
      <c r="B2873" s="1" t="n">
        <v>83</v>
      </c>
      <c r="C2873" s="1" t="n">
        <v>217</v>
      </c>
      <c r="D2873" s="1" t="s">
        <v>974</v>
      </c>
      <c r="E2873" s="1" t="n">
        <v>8729.962</v>
      </c>
      <c r="F2873" s="1" t="n">
        <v>17.698</v>
      </c>
      <c r="G2873" s="1" t="n">
        <f aca="false">IF(ISNUMBER(E2873),E2873,VALUE(SUBSTITUTE(E2873,"#",".01")))</f>
        <v>8729.962</v>
      </c>
    </row>
    <row r="2874" customFormat="false" ht="12.75" hidden="false" customHeight="false" outlineLevel="0" collapsed="false">
      <c r="A2874" s="1" t="n">
        <v>133</v>
      </c>
      <c r="B2874" s="1" t="n">
        <v>84</v>
      </c>
      <c r="C2874" s="1" t="n">
        <v>217</v>
      </c>
      <c r="D2874" s="1" t="s">
        <v>980</v>
      </c>
      <c r="E2874" s="1" t="n">
        <v>5883.518</v>
      </c>
      <c r="F2874" s="1" t="n">
        <v>6.544</v>
      </c>
      <c r="G2874" s="1" t="n">
        <f aca="false">IF(ISNUMBER(E2874),E2874,VALUE(SUBSTITUTE(E2874,"#",".01")))</f>
        <v>5883.518</v>
      </c>
    </row>
    <row r="2875" customFormat="false" ht="12.75" hidden="false" customHeight="false" outlineLevel="0" collapsed="false">
      <c r="A2875" s="1" t="n">
        <v>132</v>
      </c>
      <c r="B2875" s="1" t="n">
        <v>85</v>
      </c>
      <c r="C2875" s="1" t="n">
        <v>217</v>
      </c>
      <c r="D2875" s="1" t="s">
        <v>990</v>
      </c>
      <c r="E2875" s="1" t="n">
        <v>4394.635</v>
      </c>
      <c r="F2875" s="1" t="n">
        <v>5.001</v>
      </c>
      <c r="G2875" s="1" t="n">
        <f aca="false">IF(ISNUMBER(E2875),E2875,VALUE(SUBSTITUTE(E2875,"#",".01")))</f>
        <v>4394.635</v>
      </c>
    </row>
    <row r="2876" customFormat="false" ht="12.75" hidden="false" customHeight="false" outlineLevel="0" collapsed="false">
      <c r="A2876" s="1" t="n">
        <v>131</v>
      </c>
      <c r="B2876" s="1" t="n">
        <v>86</v>
      </c>
      <c r="C2876" s="1" t="n">
        <v>217</v>
      </c>
      <c r="D2876" s="1" t="s">
        <v>994</v>
      </c>
      <c r="E2876" s="1" t="n">
        <v>3658.501</v>
      </c>
      <c r="F2876" s="1" t="n">
        <v>4.198</v>
      </c>
      <c r="G2876" s="1" t="n">
        <f aca="false">IF(ISNUMBER(E2876),E2876,VALUE(SUBSTITUTE(E2876,"#",".01")))</f>
        <v>3658.501</v>
      </c>
    </row>
    <row r="2877" customFormat="false" ht="12.75" hidden="false" customHeight="false" outlineLevel="0" collapsed="false">
      <c r="A2877" s="1" t="n">
        <v>130</v>
      </c>
      <c r="B2877" s="1" t="n">
        <v>87</v>
      </c>
      <c r="C2877" s="1" t="n">
        <v>217</v>
      </c>
      <c r="D2877" s="1" t="s">
        <v>1005</v>
      </c>
      <c r="E2877" s="1" t="n">
        <v>4314.59</v>
      </c>
      <c r="F2877" s="1" t="n">
        <v>6.531</v>
      </c>
      <c r="G2877" s="1" t="n">
        <f aca="false">IF(ISNUMBER(E2877),E2877,VALUE(SUBSTITUTE(E2877,"#",".01")))</f>
        <v>4314.59</v>
      </c>
    </row>
    <row r="2878" customFormat="false" ht="12.75" hidden="false" customHeight="false" outlineLevel="0" collapsed="false">
      <c r="A2878" s="1" t="n">
        <v>129</v>
      </c>
      <c r="B2878" s="1" t="n">
        <v>88</v>
      </c>
      <c r="C2878" s="1" t="n">
        <v>217</v>
      </c>
      <c r="D2878" s="1" t="s">
        <v>1015</v>
      </c>
      <c r="E2878" s="1" t="n">
        <v>5889.656</v>
      </c>
      <c r="F2878" s="1" t="n">
        <v>7.202</v>
      </c>
      <c r="G2878" s="1" t="n">
        <f aca="false">IF(ISNUMBER(E2878),E2878,VALUE(SUBSTITUTE(E2878,"#",".01")))</f>
        <v>5889.656</v>
      </c>
    </row>
    <row r="2879" customFormat="false" ht="12.75" hidden="false" customHeight="false" outlineLevel="0" collapsed="false">
      <c r="A2879" s="1" t="n">
        <v>128</v>
      </c>
      <c r="B2879" s="1" t="n">
        <v>89</v>
      </c>
      <c r="C2879" s="1" t="n">
        <v>217</v>
      </c>
      <c r="D2879" s="1" t="s">
        <v>1027</v>
      </c>
      <c r="E2879" s="1" t="n">
        <v>8703.673</v>
      </c>
      <c r="F2879" s="1" t="n">
        <v>11.389</v>
      </c>
      <c r="G2879" s="1" t="n">
        <f aca="false">IF(ISNUMBER(E2879),E2879,VALUE(SUBSTITUTE(E2879,"#",".01")))</f>
        <v>8703.673</v>
      </c>
    </row>
    <row r="2880" customFormat="false" ht="12.75" hidden="false" customHeight="false" outlineLevel="0" collapsed="false">
      <c r="A2880" s="1" t="n">
        <v>127</v>
      </c>
      <c r="B2880" s="1" t="n">
        <v>90</v>
      </c>
      <c r="C2880" s="1" t="n">
        <v>217</v>
      </c>
      <c r="D2880" s="1" t="s">
        <v>1034</v>
      </c>
      <c r="E2880" s="1" t="n">
        <v>12205.78</v>
      </c>
      <c r="F2880" s="1" t="n">
        <v>10.614</v>
      </c>
      <c r="G2880" s="1" t="n">
        <f aca="false">IF(ISNUMBER(E2880),E2880,VALUE(SUBSTITUTE(E2880,"#",".01")))</f>
        <v>12205.78</v>
      </c>
    </row>
    <row r="2881" customFormat="false" ht="12.75" hidden="false" customHeight="false" outlineLevel="0" collapsed="false">
      <c r="A2881" s="1" t="n">
        <v>126</v>
      </c>
      <c r="B2881" s="1" t="n">
        <v>91</v>
      </c>
      <c r="C2881" s="1" t="n">
        <v>217</v>
      </c>
      <c r="D2881" s="1" t="s">
        <v>1041</v>
      </c>
      <c r="E2881" s="1" t="n">
        <v>17068.41</v>
      </c>
      <c r="F2881" s="1" t="n">
        <v>15.918</v>
      </c>
      <c r="G2881" s="1" t="n">
        <f aca="false">IF(ISNUMBER(E2881),E2881,VALUE(SUBSTITUTE(E2881,"#",".01")))</f>
        <v>17068.41</v>
      </c>
    </row>
    <row r="2882" customFormat="false" ht="12.75" hidden="false" customHeight="false" outlineLevel="0" collapsed="false">
      <c r="A2882" s="1" t="n">
        <v>125</v>
      </c>
      <c r="B2882" s="1" t="n">
        <v>92</v>
      </c>
      <c r="C2882" s="1" t="n">
        <v>217</v>
      </c>
      <c r="D2882" s="1" t="s">
        <v>1050</v>
      </c>
      <c r="E2882" s="1" t="s">
        <v>1056</v>
      </c>
      <c r="F2882" s="1" t="s">
        <v>1057</v>
      </c>
      <c r="G2882" s="1" t="n">
        <f aca="false">IF(ISNUMBER(E2882),E2882,VALUE(SUBSTITUTE(E2882,"#",".01")))</f>
        <v>22973.01</v>
      </c>
    </row>
    <row r="2883" customFormat="false" ht="12.75" hidden="false" customHeight="false" outlineLevel="0" collapsed="false">
      <c r="A2883" s="1" t="n">
        <v>137</v>
      </c>
      <c r="B2883" s="1" t="n">
        <v>81</v>
      </c>
      <c r="C2883" s="1" t="n">
        <v>218</v>
      </c>
      <c r="D2883" s="1" t="s">
        <v>955</v>
      </c>
      <c r="E2883" s="1" t="s">
        <v>1058</v>
      </c>
      <c r="F2883" s="1" t="s">
        <v>378</v>
      </c>
      <c r="G2883" s="1" t="n">
        <f aca="false">IF(ISNUMBER(E2883),E2883,VALUE(SUBSTITUTE(E2883,"#",".01")))</f>
        <v>23180.01</v>
      </c>
    </row>
    <row r="2884" customFormat="false" ht="12.75" hidden="false" customHeight="false" outlineLevel="0" collapsed="false">
      <c r="A2884" s="1" t="n">
        <v>136</v>
      </c>
      <c r="B2884" s="1" t="n">
        <v>82</v>
      </c>
      <c r="C2884" s="1" t="n">
        <v>218</v>
      </c>
      <c r="D2884" s="1" t="s">
        <v>963</v>
      </c>
      <c r="E2884" s="1" t="s">
        <v>1059</v>
      </c>
      <c r="F2884" s="1" t="s">
        <v>360</v>
      </c>
      <c r="G2884" s="1" t="n">
        <f aca="false">IF(ISNUMBER(E2884),E2884,VALUE(SUBSTITUTE(E2884,"#",".01")))</f>
        <v>15453.01</v>
      </c>
    </row>
    <row r="2885" customFormat="false" ht="12.75" hidden="false" customHeight="false" outlineLevel="0" collapsed="false">
      <c r="A2885" s="1" t="n">
        <v>135</v>
      </c>
      <c r="B2885" s="1" t="n">
        <v>83</v>
      </c>
      <c r="C2885" s="1" t="n">
        <v>218</v>
      </c>
      <c r="D2885" s="1" t="s">
        <v>974</v>
      </c>
      <c r="E2885" s="1" t="n">
        <v>13216.037</v>
      </c>
      <c r="F2885" s="1" t="n">
        <v>27.013</v>
      </c>
      <c r="G2885" s="1" t="n">
        <f aca="false">IF(ISNUMBER(E2885),E2885,VALUE(SUBSTITUTE(E2885,"#",".01")))</f>
        <v>13216.037</v>
      </c>
    </row>
    <row r="2886" customFormat="false" ht="12.75" hidden="false" customHeight="false" outlineLevel="0" collapsed="false">
      <c r="A2886" s="1" t="n">
        <v>134</v>
      </c>
      <c r="B2886" s="1" t="n">
        <v>84</v>
      </c>
      <c r="C2886" s="1" t="n">
        <v>218</v>
      </c>
      <c r="D2886" s="1" t="s">
        <v>980</v>
      </c>
      <c r="E2886" s="1" t="n">
        <v>8356.901</v>
      </c>
      <c r="F2886" s="1" t="n">
        <v>1.973</v>
      </c>
      <c r="G2886" s="1" t="n">
        <f aca="false">IF(ISNUMBER(E2886),E2886,VALUE(SUBSTITUTE(E2886,"#",".01")))</f>
        <v>8356.901</v>
      </c>
    </row>
    <row r="2887" customFormat="false" ht="12.75" hidden="false" customHeight="false" outlineLevel="0" collapsed="false">
      <c r="A2887" s="1" t="n">
        <v>133</v>
      </c>
      <c r="B2887" s="1" t="n">
        <v>85</v>
      </c>
      <c r="C2887" s="1" t="n">
        <v>218</v>
      </c>
      <c r="D2887" s="1" t="s">
        <v>990</v>
      </c>
      <c r="E2887" s="1" t="n">
        <v>8098.162</v>
      </c>
      <c r="F2887" s="1" t="n">
        <v>11.604</v>
      </c>
      <c r="G2887" s="1" t="n">
        <f aca="false">IF(ISNUMBER(E2887),E2887,VALUE(SUBSTITUTE(E2887,"#",".01")))</f>
        <v>8098.162</v>
      </c>
    </row>
    <row r="2888" customFormat="false" ht="12.75" hidden="false" customHeight="false" outlineLevel="0" collapsed="false">
      <c r="A2888" s="1" t="n">
        <v>132</v>
      </c>
      <c r="B2888" s="1" t="n">
        <v>86</v>
      </c>
      <c r="C2888" s="1" t="n">
        <v>218</v>
      </c>
      <c r="D2888" s="1" t="s">
        <v>994</v>
      </c>
      <c r="E2888" s="1" t="n">
        <v>5217.347</v>
      </c>
      <c r="F2888" s="1" t="n">
        <v>2.316</v>
      </c>
      <c r="G2888" s="1" t="n">
        <f aca="false">IF(ISNUMBER(E2888),E2888,VALUE(SUBSTITUTE(E2888,"#",".01")))</f>
        <v>5217.347</v>
      </c>
    </row>
    <row r="2889" customFormat="false" ht="12.75" hidden="false" customHeight="false" outlineLevel="0" collapsed="false">
      <c r="A2889" s="1" t="n">
        <v>131</v>
      </c>
      <c r="B2889" s="1" t="n">
        <v>87</v>
      </c>
      <c r="C2889" s="1" t="n">
        <v>218</v>
      </c>
      <c r="D2889" s="1" t="s">
        <v>1005</v>
      </c>
      <c r="E2889" s="1" t="n">
        <v>7059.117</v>
      </c>
      <c r="F2889" s="1" t="n">
        <v>4.757</v>
      </c>
      <c r="G2889" s="1" t="n">
        <f aca="false">IF(ISNUMBER(E2889),E2889,VALUE(SUBSTITUTE(E2889,"#",".01")))</f>
        <v>7059.117</v>
      </c>
    </row>
    <row r="2890" customFormat="false" ht="12.75" hidden="false" customHeight="false" outlineLevel="0" collapsed="false">
      <c r="A2890" s="1" t="n">
        <v>130</v>
      </c>
      <c r="B2890" s="1" t="n">
        <v>88</v>
      </c>
      <c r="C2890" s="1" t="n">
        <v>218</v>
      </c>
      <c r="D2890" s="1" t="s">
        <v>1015</v>
      </c>
      <c r="E2890" s="1" t="n">
        <v>6651.17</v>
      </c>
      <c r="F2890" s="1" t="n">
        <v>11.176</v>
      </c>
      <c r="G2890" s="1" t="n">
        <f aca="false">IF(ISNUMBER(E2890),E2890,VALUE(SUBSTITUTE(E2890,"#",".01")))</f>
        <v>6651.17</v>
      </c>
    </row>
    <row r="2891" customFormat="false" ht="12.75" hidden="false" customHeight="false" outlineLevel="0" collapsed="false">
      <c r="A2891" s="1" t="n">
        <v>129</v>
      </c>
      <c r="B2891" s="1" t="n">
        <v>89</v>
      </c>
      <c r="C2891" s="1" t="n">
        <v>218</v>
      </c>
      <c r="D2891" s="1" t="s">
        <v>1027</v>
      </c>
      <c r="E2891" s="1" t="n">
        <v>10843.609</v>
      </c>
      <c r="F2891" s="1" t="n">
        <v>50.74</v>
      </c>
      <c r="G2891" s="1" t="n">
        <f aca="false">IF(ISNUMBER(E2891),E2891,VALUE(SUBSTITUTE(E2891,"#",".01")))</f>
        <v>10843.609</v>
      </c>
    </row>
    <row r="2892" customFormat="false" ht="12.75" hidden="false" customHeight="false" outlineLevel="0" collapsed="false">
      <c r="A2892" s="1" t="n">
        <v>128</v>
      </c>
      <c r="B2892" s="1" t="n">
        <v>90</v>
      </c>
      <c r="C2892" s="1" t="n">
        <v>218</v>
      </c>
      <c r="D2892" s="1" t="s">
        <v>1034</v>
      </c>
      <c r="E2892" s="1" t="n">
        <v>12366.741</v>
      </c>
      <c r="F2892" s="1" t="n">
        <v>10.516</v>
      </c>
      <c r="G2892" s="1" t="n">
        <f aca="false">IF(ISNUMBER(E2892),E2892,VALUE(SUBSTITUTE(E2892,"#",".01")))</f>
        <v>12366.741</v>
      </c>
    </row>
    <row r="2893" customFormat="false" ht="12.75" hidden="false" customHeight="false" outlineLevel="0" collapsed="false">
      <c r="A2893" s="1" t="n">
        <v>127</v>
      </c>
      <c r="B2893" s="1" t="n">
        <v>91</v>
      </c>
      <c r="C2893" s="1" t="n">
        <v>218</v>
      </c>
      <c r="D2893" s="1" t="s">
        <v>1041</v>
      </c>
      <c r="E2893" s="1" t="n">
        <v>18683.77</v>
      </c>
      <c r="F2893" s="1" t="n">
        <v>18.329</v>
      </c>
      <c r="G2893" s="1" t="n">
        <f aca="false">IF(ISNUMBER(E2893),E2893,VALUE(SUBSTITUTE(E2893,"#",".01")))</f>
        <v>18683.77</v>
      </c>
    </row>
    <row r="2894" customFormat="false" ht="12.75" hidden="false" customHeight="false" outlineLevel="0" collapsed="false">
      <c r="A2894" s="1" t="n">
        <v>126</v>
      </c>
      <c r="B2894" s="1" t="n">
        <v>92</v>
      </c>
      <c r="C2894" s="1" t="n">
        <v>218</v>
      </c>
      <c r="D2894" s="1" t="s">
        <v>1050</v>
      </c>
      <c r="E2894" s="1" t="n">
        <v>21894.608</v>
      </c>
      <c r="F2894" s="1" t="n">
        <v>13.714</v>
      </c>
      <c r="G2894" s="1" t="n">
        <f aca="false">IF(ISNUMBER(E2894),E2894,VALUE(SUBSTITUTE(E2894,"#",".01")))</f>
        <v>21894.608</v>
      </c>
    </row>
    <row r="2895" customFormat="false" ht="12.75" hidden="false" customHeight="false" outlineLevel="0" collapsed="false">
      <c r="A2895" s="1" t="n">
        <v>137</v>
      </c>
      <c r="B2895" s="1" t="n">
        <v>82</v>
      </c>
      <c r="C2895" s="1" t="n">
        <v>219</v>
      </c>
      <c r="D2895" s="1" t="s">
        <v>963</v>
      </c>
      <c r="E2895" s="1" t="s">
        <v>1060</v>
      </c>
      <c r="F2895" s="1" t="s">
        <v>320</v>
      </c>
      <c r="G2895" s="1" t="n">
        <f aca="false">IF(ISNUMBER(E2895),E2895,VALUE(SUBSTITUTE(E2895,"#",".01")))</f>
        <v>20279.01</v>
      </c>
    </row>
    <row r="2896" customFormat="false" ht="12.75" hidden="false" customHeight="false" outlineLevel="0" collapsed="false">
      <c r="A2896" s="1" t="n">
        <v>136</v>
      </c>
      <c r="B2896" s="1" t="n">
        <v>83</v>
      </c>
      <c r="C2896" s="1" t="n">
        <v>219</v>
      </c>
      <c r="D2896" s="1" t="s">
        <v>974</v>
      </c>
      <c r="E2896" s="1" t="s">
        <v>1061</v>
      </c>
      <c r="F2896" s="1" t="s">
        <v>333</v>
      </c>
      <c r="G2896" s="1" t="n">
        <f aca="false">IF(ISNUMBER(E2896),E2896,VALUE(SUBSTITUTE(E2896,"#",".01")))</f>
        <v>16283.01</v>
      </c>
    </row>
    <row r="2897" customFormat="false" ht="12.75" hidden="false" customHeight="false" outlineLevel="0" collapsed="false">
      <c r="A2897" s="1" t="n">
        <v>135</v>
      </c>
      <c r="B2897" s="1" t="n">
        <v>84</v>
      </c>
      <c r="C2897" s="1" t="n">
        <v>219</v>
      </c>
      <c r="D2897" s="1" t="s">
        <v>980</v>
      </c>
      <c r="E2897" s="1" t="n">
        <v>12681.359</v>
      </c>
      <c r="F2897" s="1" t="n">
        <v>15.835</v>
      </c>
      <c r="G2897" s="1" t="n">
        <f aca="false">IF(ISNUMBER(E2897),E2897,VALUE(SUBSTITUTE(E2897,"#",".01")))</f>
        <v>12681.359</v>
      </c>
    </row>
    <row r="2898" customFormat="false" ht="12.75" hidden="false" customHeight="false" outlineLevel="0" collapsed="false">
      <c r="A2898" s="1" t="n">
        <v>134</v>
      </c>
      <c r="B2898" s="1" t="n">
        <v>85</v>
      </c>
      <c r="C2898" s="1" t="n">
        <v>219</v>
      </c>
      <c r="D2898" s="1" t="s">
        <v>990</v>
      </c>
      <c r="E2898" s="1" t="n">
        <v>10396.076</v>
      </c>
      <c r="F2898" s="1" t="n">
        <v>3.237</v>
      </c>
      <c r="G2898" s="1" t="n">
        <f aca="false">IF(ISNUMBER(E2898),E2898,VALUE(SUBSTITUTE(E2898,"#",".01")))</f>
        <v>10396.076</v>
      </c>
    </row>
    <row r="2899" customFormat="false" ht="12.75" hidden="false" customHeight="false" outlineLevel="0" collapsed="false">
      <c r="A2899" s="1" t="n">
        <v>133</v>
      </c>
      <c r="B2899" s="1" t="n">
        <v>86</v>
      </c>
      <c r="C2899" s="1" t="n">
        <v>219</v>
      </c>
      <c r="D2899" s="1" t="s">
        <v>994</v>
      </c>
      <c r="E2899" s="1" t="n">
        <v>8829.402</v>
      </c>
      <c r="F2899" s="1" t="n">
        <v>2.1</v>
      </c>
      <c r="G2899" s="1" t="n">
        <f aca="false">IF(ISNUMBER(E2899),E2899,VALUE(SUBSTITUTE(E2899,"#",".01")))</f>
        <v>8829.402</v>
      </c>
    </row>
    <row r="2900" customFormat="false" ht="12.75" hidden="false" customHeight="false" outlineLevel="0" collapsed="false">
      <c r="A2900" s="1" t="n">
        <v>132</v>
      </c>
      <c r="B2900" s="1" t="n">
        <v>87</v>
      </c>
      <c r="C2900" s="1" t="n">
        <v>219</v>
      </c>
      <c r="D2900" s="1" t="s">
        <v>1005</v>
      </c>
      <c r="E2900" s="1" t="n">
        <v>8617.767</v>
      </c>
      <c r="F2900" s="1" t="n">
        <v>7.039</v>
      </c>
      <c r="G2900" s="1" t="n">
        <f aca="false">IF(ISNUMBER(E2900),E2900,VALUE(SUBSTITUTE(E2900,"#",".01")))</f>
        <v>8617.767</v>
      </c>
    </row>
    <row r="2901" customFormat="false" ht="12.75" hidden="false" customHeight="false" outlineLevel="0" collapsed="false">
      <c r="A2901" s="1" t="n">
        <v>131</v>
      </c>
      <c r="B2901" s="1" t="n">
        <v>88</v>
      </c>
      <c r="C2901" s="1" t="n">
        <v>219</v>
      </c>
      <c r="D2901" s="1" t="s">
        <v>1015</v>
      </c>
      <c r="E2901" s="1" t="n">
        <v>9394.282</v>
      </c>
      <c r="F2901" s="1" t="n">
        <v>8.258</v>
      </c>
      <c r="G2901" s="1" t="n">
        <f aca="false">IF(ISNUMBER(E2901),E2901,VALUE(SUBSTITUTE(E2901,"#",".01")))</f>
        <v>9394.282</v>
      </c>
    </row>
    <row r="2902" customFormat="false" ht="12.75" hidden="false" customHeight="false" outlineLevel="0" collapsed="false">
      <c r="A2902" s="1" t="n">
        <v>130</v>
      </c>
      <c r="B2902" s="1" t="n">
        <v>89</v>
      </c>
      <c r="C2902" s="1" t="n">
        <v>219</v>
      </c>
      <c r="D2902" s="1" t="s">
        <v>1027</v>
      </c>
      <c r="E2902" s="1" t="n">
        <v>11569.48</v>
      </c>
      <c r="F2902" s="1" t="n">
        <v>50.497</v>
      </c>
      <c r="G2902" s="1" t="n">
        <f aca="false">IF(ISNUMBER(E2902),E2902,VALUE(SUBSTITUTE(E2902,"#",".01")))</f>
        <v>11569.48</v>
      </c>
    </row>
    <row r="2903" customFormat="false" ht="12.75" hidden="false" customHeight="false" outlineLevel="0" collapsed="false">
      <c r="A2903" s="1" t="n">
        <v>129</v>
      </c>
      <c r="B2903" s="1" t="n">
        <v>90</v>
      </c>
      <c r="C2903" s="1" t="n">
        <v>219</v>
      </c>
      <c r="D2903" s="1" t="s">
        <v>1034</v>
      </c>
      <c r="E2903" s="1" t="n">
        <v>14471.39</v>
      </c>
      <c r="F2903" s="1" t="n">
        <v>50.576</v>
      </c>
      <c r="G2903" s="1" t="n">
        <f aca="false">IF(ISNUMBER(E2903),E2903,VALUE(SUBSTITUTE(E2903,"#",".01")))</f>
        <v>14471.39</v>
      </c>
    </row>
    <row r="2904" customFormat="false" ht="12.75" hidden="false" customHeight="false" outlineLevel="0" collapsed="false">
      <c r="A2904" s="1" t="n">
        <v>128</v>
      </c>
      <c r="B2904" s="1" t="n">
        <v>91</v>
      </c>
      <c r="C2904" s="1" t="n">
        <v>219</v>
      </c>
      <c r="D2904" s="1" t="s">
        <v>1041</v>
      </c>
      <c r="E2904" s="1" t="n">
        <v>18540.131</v>
      </c>
      <c r="F2904" s="1" t="n">
        <v>51.516</v>
      </c>
      <c r="G2904" s="1" t="n">
        <f aca="false">IF(ISNUMBER(E2904),E2904,VALUE(SUBSTITUTE(E2904,"#",".01")))</f>
        <v>18540.131</v>
      </c>
    </row>
    <row r="2905" customFormat="false" ht="12.75" hidden="false" customHeight="false" outlineLevel="0" collapsed="false">
      <c r="A2905" s="1" t="n">
        <v>127</v>
      </c>
      <c r="B2905" s="1" t="n">
        <v>92</v>
      </c>
      <c r="C2905" s="1" t="n">
        <v>219</v>
      </c>
      <c r="D2905" s="1" t="s">
        <v>1050</v>
      </c>
      <c r="E2905" s="1" t="n">
        <v>23286.569</v>
      </c>
      <c r="F2905" s="1" t="n">
        <v>50.775</v>
      </c>
      <c r="G2905" s="1" t="n">
        <f aca="false">IF(ISNUMBER(E2905),E2905,VALUE(SUBSTITUTE(E2905,"#",".01")))</f>
        <v>23286.569</v>
      </c>
    </row>
    <row r="2906" customFormat="false" ht="12.75" hidden="false" customHeight="false" outlineLevel="0" collapsed="false">
      <c r="A2906" s="1" t="n">
        <v>126</v>
      </c>
      <c r="B2906" s="1" t="n">
        <v>93</v>
      </c>
      <c r="C2906" s="1" t="n">
        <v>219</v>
      </c>
      <c r="D2906" s="1" t="s">
        <v>1062</v>
      </c>
      <c r="E2906" s="1" t="n">
        <v>29456.655</v>
      </c>
      <c r="F2906" s="1" t="n">
        <v>88.354</v>
      </c>
      <c r="G2906" s="1" t="n">
        <f aca="false">IF(ISNUMBER(E2906),E2906,VALUE(SUBSTITUTE(E2906,"#",".01")))</f>
        <v>29456.655</v>
      </c>
    </row>
    <row r="2907" customFormat="false" ht="12.75" hidden="false" customHeight="false" outlineLevel="0" collapsed="false">
      <c r="A2907" s="1" t="n">
        <v>138</v>
      </c>
      <c r="B2907" s="1" t="n">
        <v>82</v>
      </c>
      <c r="C2907" s="1" t="n">
        <v>220</v>
      </c>
      <c r="D2907" s="1" t="s">
        <v>963</v>
      </c>
      <c r="E2907" s="1" t="s">
        <v>1063</v>
      </c>
      <c r="F2907" s="1" t="s">
        <v>320</v>
      </c>
      <c r="G2907" s="1" t="n">
        <f aca="false">IF(ISNUMBER(E2907),E2907,VALUE(SUBSTITUTE(E2907,"#",".01")))</f>
        <v>23669.01</v>
      </c>
    </row>
    <row r="2908" customFormat="false" ht="12.75" hidden="false" customHeight="false" outlineLevel="0" collapsed="false">
      <c r="A2908" s="1" t="n">
        <v>137</v>
      </c>
      <c r="B2908" s="1" t="n">
        <v>83</v>
      </c>
      <c r="C2908" s="1" t="n">
        <v>220</v>
      </c>
      <c r="D2908" s="1" t="s">
        <v>974</v>
      </c>
      <c r="E2908" s="1" t="s">
        <v>1064</v>
      </c>
      <c r="F2908" s="1" t="s">
        <v>360</v>
      </c>
      <c r="G2908" s="1" t="n">
        <f aca="false">IF(ISNUMBER(E2908),E2908,VALUE(SUBSTITUTE(E2908,"#",".01")))</f>
        <v>20819.01</v>
      </c>
    </row>
    <row r="2909" customFormat="false" ht="12.75" hidden="false" customHeight="false" outlineLevel="0" collapsed="false">
      <c r="A2909" s="1" t="n">
        <v>136</v>
      </c>
      <c r="B2909" s="1" t="n">
        <v>84</v>
      </c>
      <c r="C2909" s="1" t="n">
        <v>220</v>
      </c>
      <c r="D2909" s="1" t="s">
        <v>980</v>
      </c>
      <c r="E2909" s="1" t="n">
        <v>15263.461</v>
      </c>
      <c r="F2909" s="1" t="n">
        <v>17.698</v>
      </c>
      <c r="G2909" s="1" t="n">
        <f aca="false">IF(ISNUMBER(E2909),E2909,VALUE(SUBSTITUTE(E2909,"#",".01")))</f>
        <v>15263.461</v>
      </c>
    </row>
    <row r="2910" customFormat="false" ht="12.75" hidden="false" customHeight="false" outlineLevel="0" collapsed="false">
      <c r="A2910" s="1" t="n">
        <v>135</v>
      </c>
      <c r="B2910" s="1" t="n">
        <v>85</v>
      </c>
      <c r="C2910" s="1" t="n">
        <v>220</v>
      </c>
      <c r="D2910" s="1" t="s">
        <v>990</v>
      </c>
      <c r="E2910" s="1" t="n">
        <v>14375.747</v>
      </c>
      <c r="F2910" s="1" t="n">
        <v>13.972</v>
      </c>
      <c r="G2910" s="1" t="n">
        <f aca="false">IF(ISNUMBER(E2910),E2910,VALUE(SUBSTITUTE(E2910,"#",".01")))</f>
        <v>14375.747</v>
      </c>
    </row>
    <row r="2911" customFormat="false" ht="12.75" hidden="false" customHeight="false" outlineLevel="0" collapsed="false">
      <c r="A2911" s="1" t="n">
        <v>134</v>
      </c>
      <c r="B2911" s="1" t="n">
        <v>86</v>
      </c>
      <c r="C2911" s="1" t="n">
        <v>220</v>
      </c>
      <c r="D2911" s="1" t="s">
        <v>994</v>
      </c>
      <c r="E2911" s="1" t="n">
        <v>10612.077</v>
      </c>
      <c r="F2911" s="1" t="n">
        <v>1.815</v>
      </c>
      <c r="G2911" s="1" t="n">
        <f aca="false">IF(ISNUMBER(E2911),E2911,VALUE(SUBSTITUTE(E2911,"#",".01")))</f>
        <v>10612.077</v>
      </c>
    </row>
    <row r="2912" customFormat="false" ht="12.75" hidden="false" customHeight="false" outlineLevel="0" collapsed="false">
      <c r="A2912" s="1" t="n">
        <v>133</v>
      </c>
      <c r="B2912" s="1" t="n">
        <v>87</v>
      </c>
      <c r="C2912" s="1" t="n">
        <v>220</v>
      </c>
      <c r="D2912" s="1" t="s">
        <v>1005</v>
      </c>
      <c r="E2912" s="1" t="n">
        <v>11482.32</v>
      </c>
      <c r="F2912" s="1" t="n">
        <v>4.028</v>
      </c>
      <c r="G2912" s="1" t="n">
        <f aca="false">IF(ISNUMBER(E2912),E2912,VALUE(SUBSTITUTE(E2912,"#",".01")))</f>
        <v>11482.32</v>
      </c>
    </row>
    <row r="2913" customFormat="false" ht="12.75" hidden="false" customHeight="false" outlineLevel="0" collapsed="false">
      <c r="A2913" s="1" t="n">
        <v>132</v>
      </c>
      <c r="B2913" s="1" t="n">
        <v>88</v>
      </c>
      <c r="C2913" s="1" t="n">
        <v>220</v>
      </c>
      <c r="D2913" s="1" t="s">
        <v>1015</v>
      </c>
      <c r="E2913" s="1" t="n">
        <v>10270.245</v>
      </c>
      <c r="F2913" s="1" t="n">
        <v>8.237</v>
      </c>
      <c r="G2913" s="1" t="n">
        <f aca="false">IF(ISNUMBER(E2913),E2913,VALUE(SUBSTITUTE(E2913,"#",".01")))</f>
        <v>10270.245</v>
      </c>
    </row>
    <row r="2914" customFormat="false" ht="12.75" hidden="false" customHeight="false" outlineLevel="0" collapsed="false">
      <c r="A2914" s="1" t="n">
        <v>131</v>
      </c>
      <c r="B2914" s="1" t="n">
        <v>89</v>
      </c>
      <c r="C2914" s="1" t="n">
        <v>220</v>
      </c>
      <c r="D2914" s="1" t="s">
        <v>1027</v>
      </c>
      <c r="E2914" s="1" t="n">
        <v>13743.682</v>
      </c>
      <c r="F2914" s="1" t="n">
        <v>6.129</v>
      </c>
      <c r="G2914" s="1" t="n">
        <f aca="false">IF(ISNUMBER(E2914),E2914,VALUE(SUBSTITUTE(E2914,"#",".01")))</f>
        <v>13743.682</v>
      </c>
    </row>
    <row r="2915" customFormat="false" ht="12.75" hidden="false" customHeight="false" outlineLevel="0" collapsed="false">
      <c r="A2915" s="1" t="n">
        <v>130</v>
      </c>
      <c r="B2915" s="1" t="n">
        <v>90</v>
      </c>
      <c r="C2915" s="1" t="n">
        <v>220</v>
      </c>
      <c r="D2915" s="1" t="s">
        <v>1034</v>
      </c>
      <c r="E2915" s="1" t="n">
        <v>14669.1</v>
      </c>
      <c r="F2915" s="1" t="n">
        <v>22.166</v>
      </c>
      <c r="G2915" s="1" t="n">
        <f aca="false">IF(ISNUMBER(E2915),E2915,VALUE(SUBSTITUTE(E2915,"#",".01")))</f>
        <v>14669.1</v>
      </c>
    </row>
    <row r="2916" customFormat="false" ht="12.75" hidden="false" customHeight="false" outlineLevel="0" collapsed="false">
      <c r="A2916" s="1" t="n">
        <v>129</v>
      </c>
      <c r="B2916" s="1" t="n">
        <v>91</v>
      </c>
      <c r="C2916" s="1" t="n">
        <v>220</v>
      </c>
      <c r="D2916" s="1" t="s">
        <v>1041</v>
      </c>
      <c r="E2916" s="1" t="s">
        <v>1065</v>
      </c>
      <c r="F2916" s="1" t="s">
        <v>1066</v>
      </c>
      <c r="G2916" s="1" t="n">
        <f aca="false">IF(ISNUMBER(E2916),E2916,VALUE(SUBSTITUTE(E2916,"#",".01")))</f>
        <v>20218.01</v>
      </c>
    </row>
    <row r="2917" customFormat="false" ht="12.75" hidden="false" customHeight="false" outlineLevel="0" collapsed="false">
      <c r="A2917" s="1" t="n">
        <v>128</v>
      </c>
      <c r="B2917" s="1" t="n">
        <v>92</v>
      </c>
      <c r="C2917" s="1" t="n">
        <v>220</v>
      </c>
      <c r="D2917" s="1" t="s">
        <v>1050</v>
      </c>
      <c r="E2917" s="1" t="s">
        <v>1067</v>
      </c>
      <c r="F2917" s="1" t="s">
        <v>1068</v>
      </c>
      <c r="G2917" s="1" t="n">
        <f aca="false">IF(ISNUMBER(E2917),E2917,VALUE(SUBSTITUTE(E2917,"#",".01")))</f>
        <v>22933.01</v>
      </c>
    </row>
    <row r="2918" customFormat="false" ht="12.75" hidden="false" customHeight="false" outlineLevel="0" collapsed="false">
      <c r="A2918" s="1" t="n">
        <v>127</v>
      </c>
      <c r="B2918" s="1" t="n">
        <v>93</v>
      </c>
      <c r="C2918" s="1" t="n">
        <v>220</v>
      </c>
      <c r="D2918" s="1" t="s">
        <v>1062</v>
      </c>
      <c r="E2918" s="1" t="s">
        <v>1069</v>
      </c>
      <c r="F2918" s="1" t="s">
        <v>333</v>
      </c>
      <c r="G2918" s="1" t="n">
        <f aca="false">IF(ISNUMBER(E2918),E2918,VALUE(SUBSTITUTE(E2918,"#",".01")))</f>
        <v>30311.01</v>
      </c>
    </row>
    <row r="2919" customFormat="false" ht="12.75" hidden="false" customHeight="false" outlineLevel="0" collapsed="false">
      <c r="A2919" s="1" t="n">
        <v>138</v>
      </c>
      <c r="B2919" s="1" t="n">
        <v>83</v>
      </c>
      <c r="C2919" s="1" t="n">
        <v>221</v>
      </c>
      <c r="D2919" s="1" t="s">
        <v>974</v>
      </c>
      <c r="E2919" s="1" t="s">
        <v>1070</v>
      </c>
      <c r="F2919" s="1" t="s">
        <v>360</v>
      </c>
      <c r="G2919" s="1" t="n">
        <f aca="false">IF(ISNUMBER(E2919),E2919,VALUE(SUBSTITUTE(E2919,"#",".01")))</f>
        <v>24098.01</v>
      </c>
    </row>
    <row r="2920" customFormat="false" ht="12.75" hidden="false" customHeight="false" outlineLevel="0" collapsed="false">
      <c r="A2920" s="1" t="n">
        <v>137</v>
      </c>
      <c r="B2920" s="1" t="n">
        <v>84</v>
      </c>
      <c r="C2920" s="1" t="n">
        <v>221</v>
      </c>
      <c r="D2920" s="1" t="s">
        <v>980</v>
      </c>
      <c r="E2920" s="1" t="n">
        <v>19773.755</v>
      </c>
      <c r="F2920" s="1" t="n">
        <v>19.561</v>
      </c>
      <c r="G2920" s="1" t="n">
        <f aca="false">IF(ISNUMBER(E2920),E2920,VALUE(SUBSTITUTE(E2920,"#",".01")))</f>
        <v>19773.755</v>
      </c>
    </row>
    <row r="2921" customFormat="false" ht="12.75" hidden="false" customHeight="false" outlineLevel="0" collapsed="false">
      <c r="A2921" s="1" t="n">
        <v>136</v>
      </c>
      <c r="B2921" s="1" t="n">
        <v>85</v>
      </c>
      <c r="C2921" s="1" t="n">
        <v>221</v>
      </c>
      <c r="D2921" s="1" t="s">
        <v>990</v>
      </c>
      <c r="E2921" s="1" t="n">
        <v>16782.727</v>
      </c>
      <c r="F2921" s="1" t="n">
        <v>13.972</v>
      </c>
      <c r="G2921" s="1" t="n">
        <f aca="false">IF(ISNUMBER(E2921),E2921,VALUE(SUBSTITUTE(E2921,"#",".01")))</f>
        <v>16782.727</v>
      </c>
    </row>
    <row r="2922" customFormat="false" ht="12.75" hidden="false" customHeight="false" outlineLevel="0" collapsed="false">
      <c r="A2922" s="1" t="n">
        <v>135</v>
      </c>
      <c r="B2922" s="1" t="n">
        <v>86</v>
      </c>
      <c r="C2922" s="1" t="n">
        <v>221</v>
      </c>
      <c r="D2922" s="1" t="s">
        <v>994</v>
      </c>
      <c r="E2922" s="1" t="n">
        <v>14471.42</v>
      </c>
      <c r="F2922" s="1" t="n">
        <v>5.714</v>
      </c>
      <c r="G2922" s="1" t="n">
        <f aca="false">IF(ISNUMBER(E2922),E2922,VALUE(SUBSTITUTE(E2922,"#",".01")))</f>
        <v>14471.42</v>
      </c>
    </row>
    <row r="2923" customFormat="false" ht="12.75" hidden="false" customHeight="false" outlineLevel="0" collapsed="false">
      <c r="A2923" s="1" t="n">
        <v>134</v>
      </c>
      <c r="B2923" s="1" t="n">
        <v>87</v>
      </c>
      <c r="C2923" s="1" t="n">
        <v>221</v>
      </c>
      <c r="D2923" s="1" t="s">
        <v>1005</v>
      </c>
      <c r="E2923" s="1" t="n">
        <v>13277.29</v>
      </c>
      <c r="F2923" s="1" t="n">
        <v>4.886</v>
      </c>
      <c r="G2923" s="1" t="n">
        <f aca="false">IF(ISNUMBER(E2923),E2923,VALUE(SUBSTITUTE(E2923,"#",".01")))</f>
        <v>13277.29</v>
      </c>
    </row>
    <row r="2924" customFormat="false" ht="12.75" hidden="false" customHeight="false" outlineLevel="0" collapsed="false">
      <c r="A2924" s="1" t="n">
        <v>133</v>
      </c>
      <c r="B2924" s="1" t="n">
        <v>88</v>
      </c>
      <c r="C2924" s="1" t="n">
        <v>221</v>
      </c>
      <c r="D2924" s="1" t="s">
        <v>1015</v>
      </c>
      <c r="E2924" s="1" t="n">
        <v>12963.811</v>
      </c>
      <c r="F2924" s="1" t="n">
        <v>4.63</v>
      </c>
      <c r="G2924" s="1" t="n">
        <f aca="false">IF(ISNUMBER(E2924),E2924,VALUE(SUBSTITUTE(E2924,"#",".01")))</f>
        <v>12963.811</v>
      </c>
    </row>
    <row r="2925" customFormat="false" ht="12.75" hidden="false" customHeight="false" outlineLevel="0" collapsed="false">
      <c r="A2925" s="1" t="n">
        <v>132</v>
      </c>
      <c r="B2925" s="1" t="n">
        <v>89</v>
      </c>
      <c r="C2925" s="1" t="n">
        <v>221</v>
      </c>
      <c r="D2925" s="1" t="s">
        <v>1027</v>
      </c>
      <c r="E2925" s="1" t="n">
        <v>14523.109</v>
      </c>
      <c r="F2925" s="1" t="n">
        <v>50.425</v>
      </c>
      <c r="G2925" s="1" t="n">
        <f aca="false">IF(ISNUMBER(E2925),E2925,VALUE(SUBSTITUTE(E2925,"#",".01")))</f>
        <v>14523.109</v>
      </c>
    </row>
    <row r="2926" customFormat="false" ht="12.75" hidden="false" customHeight="false" outlineLevel="0" collapsed="false">
      <c r="A2926" s="1" t="n">
        <v>131</v>
      </c>
      <c r="B2926" s="1" t="n">
        <v>90</v>
      </c>
      <c r="C2926" s="1" t="n">
        <v>221</v>
      </c>
      <c r="D2926" s="1" t="s">
        <v>1034</v>
      </c>
      <c r="E2926" s="1" t="n">
        <v>16940.371</v>
      </c>
      <c r="F2926" s="1" t="n">
        <v>8.166</v>
      </c>
      <c r="G2926" s="1" t="n">
        <f aca="false">IF(ISNUMBER(E2926),E2926,VALUE(SUBSTITUTE(E2926,"#",".01")))</f>
        <v>16940.371</v>
      </c>
    </row>
    <row r="2927" customFormat="false" ht="12.75" hidden="false" customHeight="false" outlineLevel="0" collapsed="false">
      <c r="A2927" s="1" t="n">
        <v>130</v>
      </c>
      <c r="B2927" s="1" t="n">
        <v>91</v>
      </c>
      <c r="C2927" s="1" t="n">
        <v>221</v>
      </c>
      <c r="D2927" s="1" t="s">
        <v>1041</v>
      </c>
      <c r="E2927" s="1" t="n">
        <v>20376.288</v>
      </c>
      <c r="F2927" s="1" t="n">
        <v>51.281</v>
      </c>
      <c r="G2927" s="1" t="n">
        <f aca="false">IF(ISNUMBER(E2927),E2927,VALUE(SUBSTITUTE(E2927,"#",".01")))</f>
        <v>20376.288</v>
      </c>
    </row>
    <row r="2928" customFormat="false" ht="12.75" hidden="false" customHeight="false" outlineLevel="0" collapsed="false">
      <c r="A2928" s="1" t="n">
        <v>129</v>
      </c>
      <c r="B2928" s="1" t="n">
        <v>92</v>
      </c>
      <c r="C2928" s="1" t="n">
        <v>221</v>
      </c>
      <c r="D2928" s="1" t="s">
        <v>1050</v>
      </c>
      <c r="E2928" s="1" t="n">
        <v>24519.995</v>
      </c>
      <c r="F2928" s="1" t="n">
        <v>51.114</v>
      </c>
      <c r="G2928" s="1" t="n">
        <f aca="false">IF(ISNUMBER(E2928),E2928,VALUE(SUBSTITUTE(E2928,"#",".01")))</f>
        <v>24519.995</v>
      </c>
    </row>
    <row r="2929" customFormat="false" ht="12.75" hidden="false" customHeight="false" outlineLevel="0" collapsed="false">
      <c r="A2929" s="1" t="n">
        <v>128</v>
      </c>
      <c r="B2929" s="1" t="n">
        <v>93</v>
      </c>
      <c r="C2929" s="1" t="n">
        <v>221</v>
      </c>
      <c r="D2929" s="1" t="s">
        <v>1062</v>
      </c>
      <c r="E2929" s="1" t="s">
        <v>1071</v>
      </c>
      <c r="F2929" s="1" t="s">
        <v>349</v>
      </c>
      <c r="G2929" s="1" t="n">
        <f aca="false">IF(ISNUMBER(E2929),E2929,VALUE(SUBSTITUTE(E2929,"#",".01")))</f>
        <v>29850.01</v>
      </c>
    </row>
    <row r="2930" customFormat="false" ht="12.75" hidden="false" customHeight="false" outlineLevel="0" collapsed="false">
      <c r="A2930" s="1" t="n">
        <v>139</v>
      </c>
      <c r="B2930" s="1" t="n">
        <v>83</v>
      </c>
      <c r="C2930" s="1" t="n">
        <v>222</v>
      </c>
      <c r="D2930" s="1" t="s">
        <v>974</v>
      </c>
      <c r="E2930" s="1" t="s">
        <v>1072</v>
      </c>
      <c r="F2930" s="1" t="s">
        <v>371</v>
      </c>
      <c r="G2930" s="1" t="n">
        <f aca="false">IF(ISNUMBER(E2930),E2930,VALUE(SUBSTITUTE(E2930,"#",".01")))</f>
        <v>28729.01</v>
      </c>
    </row>
    <row r="2931" customFormat="false" ht="12.75" hidden="false" customHeight="false" outlineLevel="0" collapsed="false">
      <c r="A2931" s="1" t="n">
        <v>138</v>
      </c>
      <c r="B2931" s="1" t="n">
        <v>84</v>
      </c>
      <c r="C2931" s="1" t="n">
        <v>222</v>
      </c>
      <c r="D2931" s="1" t="s">
        <v>980</v>
      </c>
      <c r="E2931" s="1" t="n">
        <v>22486.265</v>
      </c>
      <c r="F2931" s="1" t="n">
        <v>40.054</v>
      </c>
      <c r="G2931" s="1" t="n">
        <f aca="false">IF(ISNUMBER(E2931),E2931,VALUE(SUBSTITUTE(E2931,"#",".01")))</f>
        <v>22486.265</v>
      </c>
    </row>
    <row r="2932" customFormat="false" ht="12.75" hidden="false" customHeight="false" outlineLevel="0" collapsed="false">
      <c r="A2932" s="1" t="n">
        <v>137</v>
      </c>
      <c r="B2932" s="1" t="n">
        <v>85</v>
      </c>
      <c r="C2932" s="1" t="n">
        <v>222</v>
      </c>
      <c r="D2932" s="1" t="s">
        <v>990</v>
      </c>
      <c r="E2932" s="1" t="n">
        <v>20953.026</v>
      </c>
      <c r="F2932" s="1" t="n">
        <v>15.835</v>
      </c>
      <c r="G2932" s="1" t="n">
        <f aca="false">IF(ISNUMBER(E2932),E2932,VALUE(SUBSTITUTE(E2932,"#",".01")))</f>
        <v>20953.026</v>
      </c>
    </row>
    <row r="2933" customFormat="false" ht="12.75" hidden="false" customHeight="false" outlineLevel="0" collapsed="false">
      <c r="A2933" s="1" t="n">
        <v>136</v>
      </c>
      <c r="B2933" s="1" t="n">
        <v>86</v>
      </c>
      <c r="C2933" s="1" t="n">
        <v>222</v>
      </c>
      <c r="D2933" s="1" t="s">
        <v>994</v>
      </c>
      <c r="E2933" s="1" t="n">
        <v>16372.206</v>
      </c>
      <c r="F2933" s="1" t="n">
        <v>1.95</v>
      </c>
      <c r="G2933" s="1" t="n">
        <f aca="false">IF(ISNUMBER(E2933),E2933,VALUE(SUBSTITUTE(E2933,"#",".01")))</f>
        <v>16372.206</v>
      </c>
    </row>
    <row r="2934" customFormat="false" ht="12.75" hidden="false" customHeight="false" outlineLevel="0" collapsed="false">
      <c r="A2934" s="1" t="n">
        <v>135</v>
      </c>
      <c r="B2934" s="1" t="n">
        <v>87</v>
      </c>
      <c r="C2934" s="1" t="n">
        <v>222</v>
      </c>
      <c r="D2934" s="1" t="s">
        <v>1005</v>
      </c>
      <c r="E2934" s="1" t="n">
        <v>16378.105</v>
      </c>
      <c r="F2934" s="1" t="n">
        <v>7.452</v>
      </c>
      <c r="G2934" s="1" t="n">
        <f aca="false">IF(ISNUMBER(E2934),E2934,VALUE(SUBSTITUTE(E2934,"#",".01")))</f>
        <v>16378.105</v>
      </c>
    </row>
    <row r="2935" customFormat="false" ht="12.75" hidden="false" customHeight="false" outlineLevel="0" collapsed="false">
      <c r="A2935" s="1" t="n">
        <v>134</v>
      </c>
      <c r="B2935" s="1" t="n">
        <v>88</v>
      </c>
      <c r="C2935" s="1" t="n">
        <v>222</v>
      </c>
      <c r="D2935" s="1" t="s">
        <v>1015</v>
      </c>
      <c r="E2935" s="1" t="n">
        <v>14320.188</v>
      </c>
      <c r="F2935" s="1" t="n">
        <v>4.454</v>
      </c>
      <c r="G2935" s="1" t="n">
        <f aca="false">IF(ISNUMBER(E2935),E2935,VALUE(SUBSTITUTE(E2935,"#",".01")))</f>
        <v>14320.188</v>
      </c>
    </row>
    <row r="2936" customFormat="false" ht="12.75" hidden="false" customHeight="false" outlineLevel="0" collapsed="false">
      <c r="A2936" s="1" t="n">
        <v>133</v>
      </c>
      <c r="B2936" s="1" t="n">
        <v>89</v>
      </c>
      <c r="C2936" s="1" t="n">
        <v>222</v>
      </c>
      <c r="D2936" s="1" t="s">
        <v>1027</v>
      </c>
      <c r="E2936" s="1" t="n">
        <v>16621.474</v>
      </c>
      <c r="F2936" s="1" t="n">
        <v>5.174</v>
      </c>
      <c r="G2936" s="1" t="n">
        <f aca="false">IF(ISNUMBER(E2936),E2936,VALUE(SUBSTITUTE(E2936,"#",".01")))</f>
        <v>16621.474</v>
      </c>
    </row>
    <row r="2937" customFormat="false" ht="12.75" hidden="false" customHeight="false" outlineLevel="0" collapsed="false">
      <c r="A2937" s="1" t="n">
        <v>132</v>
      </c>
      <c r="B2937" s="1" t="n">
        <v>90</v>
      </c>
      <c r="C2937" s="1" t="n">
        <v>222</v>
      </c>
      <c r="D2937" s="1" t="s">
        <v>1034</v>
      </c>
      <c r="E2937" s="1" t="n">
        <v>17203.111</v>
      </c>
      <c r="F2937" s="1" t="n">
        <v>12.279</v>
      </c>
      <c r="G2937" s="1" t="n">
        <f aca="false">IF(ISNUMBER(E2937),E2937,VALUE(SUBSTITUTE(E2937,"#",".01")))</f>
        <v>17203.111</v>
      </c>
    </row>
    <row r="2938" customFormat="false" ht="12.75" hidden="false" customHeight="false" outlineLevel="0" collapsed="false">
      <c r="A2938" s="1" t="n">
        <v>131</v>
      </c>
      <c r="B2938" s="1" t="n">
        <v>91</v>
      </c>
      <c r="C2938" s="1" t="n">
        <v>222</v>
      </c>
      <c r="D2938" s="1" t="s">
        <v>1041</v>
      </c>
      <c r="E2938" s="1" t="s">
        <v>1073</v>
      </c>
      <c r="F2938" s="1" t="s">
        <v>1074</v>
      </c>
      <c r="G2938" s="1" t="n">
        <f aca="false">IF(ISNUMBER(E2938),E2938,VALUE(SUBSTITUTE(E2938,"#",".01")))</f>
        <v>22155.01</v>
      </c>
    </row>
    <row r="2939" customFormat="false" ht="12.75" hidden="false" customHeight="false" outlineLevel="0" collapsed="false">
      <c r="A2939" s="1" t="n">
        <v>130</v>
      </c>
      <c r="B2939" s="1" t="n">
        <v>92</v>
      </c>
      <c r="C2939" s="1" t="n">
        <v>222</v>
      </c>
      <c r="D2939" s="1" t="s">
        <v>1050</v>
      </c>
      <c r="E2939" s="1" t="n">
        <v>24272.827</v>
      </c>
      <c r="F2939" s="1" t="n">
        <v>51.994</v>
      </c>
      <c r="G2939" s="1" t="n">
        <f aca="false">IF(ISNUMBER(E2939),E2939,VALUE(SUBSTITUTE(E2939,"#",".01")))</f>
        <v>24272.827</v>
      </c>
    </row>
    <row r="2940" customFormat="false" ht="12.75" hidden="false" customHeight="false" outlineLevel="0" collapsed="false">
      <c r="A2940" s="1" t="n">
        <v>129</v>
      </c>
      <c r="B2940" s="1" t="n">
        <v>93</v>
      </c>
      <c r="C2940" s="1" t="n">
        <v>222</v>
      </c>
      <c r="D2940" s="1" t="s">
        <v>1062</v>
      </c>
      <c r="E2940" s="1" t="s">
        <v>1075</v>
      </c>
      <c r="F2940" s="1" t="s">
        <v>333</v>
      </c>
      <c r="G2940" s="1" t="n">
        <f aca="false">IF(ISNUMBER(E2940),E2940,VALUE(SUBSTITUTE(E2940,"#",".01")))</f>
        <v>31019.01</v>
      </c>
    </row>
    <row r="2941" customFormat="false" ht="12.75" hidden="false" customHeight="false" outlineLevel="0" collapsed="false">
      <c r="A2941" s="1" t="n">
        <v>140</v>
      </c>
      <c r="B2941" s="1" t="n">
        <v>83</v>
      </c>
      <c r="C2941" s="1" t="n">
        <v>223</v>
      </c>
      <c r="D2941" s="1" t="s">
        <v>974</v>
      </c>
      <c r="E2941" s="1" t="s">
        <v>1076</v>
      </c>
      <c r="F2941" s="1" t="s">
        <v>320</v>
      </c>
      <c r="G2941" s="1" t="n">
        <f aca="false">IF(ISNUMBER(E2941),E2941,VALUE(SUBSTITUTE(E2941,"#",".01")))</f>
        <v>32137.01</v>
      </c>
    </row>
    <row r="2942" customFormat="false" ht="12.75" hidden="false" customHeight="false" outlineLevel="0" collapsed="false">
      <c r="A2942" s="1" t="n">
        <v>139</v>
      </c>
      <c r="B2942" s="1" t="n">
        <v>84</v>
      </c>
      <c r="C2942" s="1" t="n">
        <v>223</v>
      </c>
      <c r="D2942" s="1" t="s">
        <v>980</v>
      </c>
      <c r="E2942" s="1" t="s">
        <v>335</v>
      </c>
      <c r="F2942" s="1" t="s">
        <v>333</v>
      </c>
      <c r="G2942" s="1" t="n">
        <f aca="false">IF(ISNUMBER(E2942),E2942,VALUE(SUBSTITUTE(E2942,"#",".01")))</f>
        <v>27079.01</v>
      </c>
    </row>
    <row r="2943" customFormat="false" ht="12.75" hidden="false" customHeight="false" outlineLevel="0" collapsed="false">
      <c r="A2943" s="1" t="n">
        <v>138</v>
      </c>
      <c r="B2943" s="1" t="n">
        <v>85</v>
      </c>
      <c r="C2943" s="1" t="n">
        <v>223</v>
      </c>
      <c r="D2943" s="1" t="s">
        <v>990</v>
      </c>
      <c r="E2943" s="1" t="n">
        <v>23428.006</v>
      </c>
      <c r="F2943" s="1" t="n">
        <v>13.972</v>
      </c>
      <c r="G2943" s="1" t="n">
        <f aca="false">IF(ISNUMBER(E2943),E2943,VALUE(SUBSTITUTE(E2943,"#",".01")))</f>
        <v>23428.006</v>
      </c>
    </row>
    <row r="2944" customFormat="false" ht="12.75" hidden="false" customHeight="false" outlineLevel="0" collapsed="false">
      <c r="A2944" s="1" t="n">
        <v>137</v>
      </c>
      <c r="B2944" s="1" t="n">
        <v>86</v>
      </c>
      <c r="C2944" s="1" t="n">
        <v>223</v>
      </c>
      <c r="D2944" s="1" t="s">
        <v>994</v>
      </c>
      <c r="E2944" s="1" t="n">
        <v>20389.739</v>
      </c>
      <c r="F2944" s="1" t="n">
        <v>7.822</v>
      </c>
      <c r="G2944" s="1" t="n">
        <f aca="false">IF(ISNUMBER(E2944),E2944,VALUE(SUBSTITUTE(E2944,"#",".01")))</f>
        <v>20389.739</v>
      </c>
    </row>
    <row r="2945" customFormat="false" ht="12.75" hidden="false" customHeight="false" outlineLevel="0" collapsed="false">
      <c r="A2945" s="1" t="n">
        <v>136</v>
      </c>
      <c r="B2945" s="1" t="n">
        <v>87</v>
      </c>
      <c r="C2945" s="1" t="n">
        <v>223</v>
      </c>
      <c r="D2945" s="1" t="s">
        <v>1005</v>
      </c>
      <c r="E2945" s="1" t="n">
        <v>18382.394</v>
      </c>
      <c r="F2945" s="1" t="n">
        <v>1.932</v>
      </c>
      <c r="G2945" s="1" t="n">
        <f aca="false">IF(ISNUMBER(E2945),E2945,VALUE(SUBSTITUTE(E2945,"#",".01")))</f>
        <v>18382.394</v>
      </c>
    </row>
    <row r="2946" customFormat="false" ht="12.75" hidden="false" customHeight="false" outlineLevel="0" collapsed="false">
      <c r="A2946" s="1" t="n">
        <v>135</v>
      </c>
      <c r="B2946" s="1" t="n">
        <v>88</v>
      </c>
      <c r="C2946" s="1" t="n">
        <v>223</v>
      </c>
      <c r="D2946" s="1" t="s">
        <v>1015</v>
      </c>
      <c r="E2946" s="1" t="n">
        <v>17233.309</v>
      </c>
      <c r="F2946" s="1" t="n">
        <v>2.09</v>
      </c>
      <c r="G2946" s="1" t="n">
        <f aca="false">IF(ISNUMBER(E2946),E2946,VALUE(SUBSTITUTE(E2946,"#",".01")))</f>
        <v>17233.309</v>
      </c>
    </row>
    <row r="2947" customFormat="false" ht="12.75" hidden="false" customHeight="false" outlineLevel="0" collapsed="false">
      <c r="A2947" s="1" t="n">
        <v>134</v>
      </c>
      <c r="B2947" s="1" t="n">
        <v>89</v>
      </c>
      <c r="C2947" s="1" t="n">
        <v>223</v>
      </c>
      <c r="D2947" s="1" t="s">
        <v>1027</v>
      </c>
      <c r="E2947" s="1" t="n">
        <v>17825.882</v>
      </c>
      <c r="F2947" s="1" t="n">
        <v>7.11</v>
      </c>
      <c r="G2947" s="1" t="n">
        <f aca="false">IF(ISNUMBER(E2947),E2947,VALUE(SUBSTITUTE(E2947,"#",".01")))</f>
        <v>17825.882</v>
      </c>
    </row>
    <row r="2948" customFormat="false" ht="12.75" hidden="false" customHeight="false" outlineLevel="0" collapsed="false">
      <c r="A2948" s="1" t="n">
        <v>133</v>
      </c>
      <c r="B2948" s="1" t="n">
        <v>90</v>
      </c>
      <c r="C2948" s="1" t="n">
        <v>223</v>
      </c>
      <c r="D2948" s="1" t="s">
        <v>1034</v>
      </c>
      <c r="E2948" s="1" t="n">
        <v>19385.831</v>
      </c>
      <c r="F2948" s="1" t="n">
        <v>9.212</v>
      </c>
      <c r="G2948" s="1" t="n">
        <f aca="false">IF(ISNUMBER(E2948),E2948,VALUE(SUBSTITUTE(E2948,"#",".01")))</f>
        <v>19385.831</v>
      </c>
    </row>
    <row r="2949" customFormat="false" ht="12.75" hidden="false" customHeight="false" outlineLevel="0" collapsed="false">
      <c r="A2949" s="1" t="n">
        <v>132</v>
      </c>
      <c r="B2949" s="1" t="n">
        <v>91</v>
      </c>
      <c r="C2949" s="1" t="n">
        <v>223</v>
      </c>
      <c r="D2949" s="1" t="s">
        <v>1041</v>
      </c>
      <c r="E2949" s="1" t="n">
        <v>22320.676</v>
      </c>
      <c r="F2949" s="1" t="n">
        <v>71.063</v>
      </c>
      <c r="G2949" s="1" t="n">
        <f aca="false">IF(ISNUMBER(E2949),E2949,VALUE(SUBSTITUTE(E2949,"#",".01")))</f>
        <v>22320.676</v>
      </c>
    </row>
    <row r="2950" customFormat="false" ht="12.75" hidden="false" customHeight="false" outlineLevel="0" collapsed="false">
      <c r="A2950" s="1" t="n">
        <v>131</v>
      </c>
      <c r="B2950" s="1" t="n">
        <v>92</v>
      </c>
      <c r="C2950" s="1" t="n">
        <v>223</v>
      </c>
      <c r="D2950" s="1" t="s">
        <v>1050</v>
      </c>
      <c r="E2950" s="1" t="n">
        <v>25837.006</v>
      </c>
      <c r="F2950" s="1" t="n">
        <v>71.119</v>
      </c>
      <c r="G2950" s="1" t="n">
        <f aca="false">IF(ISNUMBER(E2950),E2950,VALUE(SUBSTITUTE(E2950,"#",".01")))</f>
        <v>25837.006</v>
      </c>
    </row>
    <row r="2951" customFormat="false" ht="12.75" hidden="false" customHeight="false" outlineLevel="0" collapsed="false">
      <c r="A2951" s="1" t="n">
        <v>130</v>
      </c>
      <c r="B2951" s="1" t="n">
        <v>93</v>
      </c>
      <c r="C2951" s="1" t="n">
        <v>223</v>
      </c>
      <c r="D2951" s="1" t="s">
        <v>1062</v>
      </c>
      <c r="E2951" s="1" t="s">
        <v>1077</v>
      </c>
      <c r="F2951" s="1" t="s">
        <v>333</v>
      </c>
      <c r="G2951" s="1" t="n">
        <f aca="false">IF(ISNUMBER(E2951),E2951,VALUE(SUBSTITUTE(E2951,"#",".01")))</f>
        <v>30600.01</v>
      </c>
    </row>
    <row r="2952" customFormat="false" ht="12.75" hidden="false" customHeight="false" outlineLevel="0" collapsed="false">
      <c r="A2952" s="1" t="n">
        <v>141</v>
      </c>
      <c r="B2952" s="1" t="n">
        <v>83</v>
      </c>
      <c r="C2952" s="1" t="n">
        <v>224</v>
      </c>
      <c r="D2952" s="1" t="s">
        <v>974</v>
      </c>
      <c r="E2952" s="1" t="s">
        <v>1078</v>
      </c>
      <c r="F2952" s="1" t="s">
        <v>378</v>
      </c>
      <c r="G2952" s="1" t="n">
        <f aca="false">IF(ISNUMBER(E2952),E2952,VALUE(SUBSTITUTE(E2952,"#",".01")))</f>
        <v>36830.01</v>
      </c>
    </row>
    <row r="2953" customFormat="false" ht="12.75" hidden="false" customHeight="false" outlineLevel="0" collapsed="false">
      <c r="A2953" s="1" t="n">
        <v>140</v>
      </c>
      <c r="B2953" s="1" t="n">
        <v>84</v>
      </c>
      <c r="C2953" s="1" t="n">
        <v>224</v>
      </c>
      <c r="D2953" s="1" t="s">
        <v>980</v>
      </c>
      <c r="E2953" s="1" t="s">
        <v>1079</v>
      </c>
      <c r="F2953" s="1" t="s">
        <v>333</v>
      </c>
      <c r="G2953" s="1" t="n">
        <f aca="false">IF(ISNUMBER(E2953),E2953,VALUE(SUBSTITUTE(E2953,"#",".01")))</f>
        <v>29910.01</v>
      </c>
    </row>
    <row r="2954" customFormat="false" ht="12.75" hidden="false" customHeight="false" outlineLevel="0" collapsed="false">
      <c r="A2954" s="1" t="n">
        <v>139</v>
      </c>
      <c r="B2954" s="1" t="n">
        <v>85</v>
      </c>
      <c r="C2954" s="1" t="n">
        <v>224</v>
      </c>
      <c r="D2954" s="1" t="s">
        <v>990</v>
      </c>
      <c r="E2954" s="1" t="n">
        <v>27711.015</v>
      </c>
      <c r="F2954" s="1" t="n">
        <v>22.356</v>
      </c>
      <c r="G2954" s="1" t="n">
        <f aca="false">IF(ISNUMBER(E2954),E2954,VALUE(SUBSTITUTE(E2954,"#",".01")))</f>
        <v>27711.015</v>
      </c>
    </row>
    <row r="2955" customFormat="false" ht="12.75" hidden="false" customHeight="false" outlineLevel="0" collapsed="false">
      <c r="A2955" s="1" t="n">
        <v>138</v>
      </c>
      <c r="B2955" s="1" t="n">
        <v>86</v>
      </c>
      <c r="C2955" s="1" t="n">
        <v>224</v>
      </c>
      <c r="D2955" s="1" t="s">
        <v>994</v>
      </c>
      <c r="E2955" s="1" t="n">
        <v>22445.098</v>
      </c>
      <c r="F2955" s="1" t="n">
        <v>9.814</v>
      </c>
      <c r="G2955" s="1" t="n">
        <f aca="false">IF(ISNUMBER(E2955),E2955,VALUE(SUBSTITUTE(E2955,"#",".01")))</f>
        <v>22445.098</v>
      </c>
    </row>
    <row r="2956" customFormat="false" ht="12.75" hidden="false" customHeight="false" outlineLevel="0" collapsed="false">
      <c r="A2956" s="1" t="n">
        <v>137</v>
      </c>
      <c r="B2956" s="1" t="n">
        <v>87</v>
      </c>
      <c r="C2956" s="1" t="n">
        <v>224</v>
      </c>
      <c r="D2956" s="1" t="s">
        <v>1005</v>
      </c>
      <c r="E2956" s="1" t="n">
        <v>21748.616</v>
      </c>
      <c r="F2956" s="1" t="n">
        <v>11.178</v>
      </c>
      <c r="G2956" s="1" t="n">
        <f aca="false">IF(ISNUMBER(E2956),E2956,VALUE(SUBSTITUTE(E2956,"#",".01")))</f>
        <v>21748.616</v>
      </c>
    </row>
    <row r="2957" customFormat="false" ht="12.75" hidden="false" customHeight="false" outlineLevel="0" collapsed="false">
      <c r="A2957" s="1" t="n">
        <v>136</v>
      </c>
      <c r="B2957" s="1" t="n">
        <v>88</v>
      </c>
      <c r="C2957" s="1" t="n">
        <v>224</v>
      </c>
      <c r="D2957" s="1" t="s">
        <v>1015</v>
      </c>
      <c r="E2957" s="1" t="n">
        <v>18825.917</v>
      </c>
      <c r="F2957" s="1" t="n">
        <v>1.813</v>
      </c>
      <c r="G2957" s="1" t="n">
        <f aca="false">IF(ISNUMBER(E2957),E2957,VALUE(SUBSTITUTE(E2957,"#",".01")))</f>
        <v>18825.917</v>
      </c>
    </row>
    <row r="2958" customFormat="false" ht="12.75" hidden="false" customHeight="false" outlineLevel="0" collapsed="false">
      <c r="A2958" s="1" t="n">
        <v>135</v>
      </c>
      <c r="B2958" s="1" t="n">
        <v>89</v>
      </c>
      <c r="C2958" s="1" t="n">
        <v>224</v>
      </c>
      <c r="D2958" s="1" t="s">
        <v>1027</v>
      </c>
      <c r="E2958" s="1" t="n">
        <v>20234.135</v>
      </c>
      <c r="F2958" s="1" t="n">
        <v>4.089</v>
      </c>
      <c r="G2958" s="1" t="n">
        <f aca="false">IF(ISNUMBER(E2958),E2958,VALUE(SUBSTITUTE(E2958,"#",".01")))</f>
        <v>20234.135</v>
      </c>
    </row>
    <row r="2959" customFormat="false" ht="12.75" hidden="false" customHeight="false" outlineLevel="0" collapsed="false">
      <c r="A2959" s="1" t="n">
        <v>134</v>
      </c>
      <c r="B2959" s="1" t="n">
        <v>90</v>
      </c>
      <c r="C2959" s="1" t="n">
        <v>224</v>
      </c>
      <c r="D2959" s="1" t="s">
        <v>1034</v>
      </c>
      <c r="E2959" s="1" t="n">
        <v>19993.734</v>
      </c>
      <c r="F2959" s="1" t="n">
        <v>10.12</v>
      </c>
      <c r="G2959" s="1" t="n">
        <f aca="false">IF(ISNUMBER(E2959),E2959,VALUE(SUBSTITUTE(E2959,"#",".01")))</f>
        <v>19993.734</v>
      </c>
    </row>
    <row r="2960" customFormat="false" ht="12.75" hidden="false" customHeight="false" outlineLevel="0" collapsed="false">
      <c r="A2960" s="1" t="n">
        <v>133</v>
      </c>
      <c r="B2960" s="1" t="n">
        <v>91</v>
      </c>
      <c r="C2960" s="1" t="n">
        <v>224</v>
      </c>
      <c r="D2960" s="1" t="s">
        <v>1041</v>
      </c>
      <c r="E2960" s="1" t="n">
        <v>23862.278</v>
      </c>
      <c r="F2960" s="1" t="n">
        <v>7.587</v>
      </c>
      <c r="G2960" s="1" t="n">
        <f aca="false">IF(ISNUMBER(E2960),E2960,VALUE(SUBSTITUTE(E2960,"#",".01")))</f>
        <v>23862.278</v>
      </c>
    </row>
    <row r="2961" customFormat="false" ht="12.75" hidden="false" customHeight="false" outlineLevel="0" collapsed="false">
      <c r="A2961" s="1" t="n">
        <v>132</v>
      </c>
      <c r="B2961" s="1" t="n">
        <v>92</v>
      </c>
      <c r="C2961" s="1" t="n">
        <v>224</v>
      </c>
      <c r="D2961" s="1" t="s">
        <v>1050</v>
      </c>
      <c r="E2961" s="1" t="n">
        <v>25722.252</v>
      </c>
      <c r="F2961" s="1" t="n">
        <v>23.171</v>
      </c>
      <c r="G2961" s="1" t="n">
        <f aca="false">IF(ISNUMBER(E2961),E2961,VALUE(SUBSTITUTE(E2961,"#",".01")))</f>
        <v>25722.252</v>
      </c>
    </row>
    <row r="2962" customFormat="false" ht="12.75" hidden="false" customHeight="false" outlineLevel="0" collapsed="false">
      <c r="A2962" s="1" t="n">
        <v>131</v>
      </c>
      <c r="B2962" s="1" t="n">
        <v>93</v>
      </c>
      <c r="C2962" s="1" t="n">
        <v>224</v>
      </c>
      <c r="D2962" s="1" t="s">
        <v>1062</v>
      </c>
      <c r="E2962" s="1" t="s">
        <v>1080</v>
      </c>
      <c r="F2962" s="1" t="s">
        <v>333</v>
      </c>
      <c r="G2962" s="1" t="n">
        <f aca="false">IF(ISNUMBER(E2962),E2962,VALUE(SUBSTITUTE(E2962,"#",".01")))</f>
        <v>31876.01</v>
      </c>
    </row>
    <row r="2963" customFormat="false" ht="12.75" hidden="false" customHeight="false" outlineLevel="0" collapsed="false">
      <c r="A2963" s="1" t="n">
        <v>141</v>
      </c>
      <c r="B2963" s="1" t="n">
        <v>84</v>
      </c>
      <c r="C2963" s="1" t="n">
        <v>225</v>
      </c>
      <c r="D2963" s="1" t="s">
        <v>980</v>
      </c>
      <c r="E2963" s="1" t="s">
        <v>1081</v>
      </c>
      <c r="F2963" s="1" t="s">
        <v>360</v>
      </c>
      <c r="G2963" s="1" t="n">
        <f aca="false">IF(ISNUMBER(E2963),E2963,VALUE(SUBSTITUTE(E2963,"#",".01")))</f>
        <v>34530.01</v>
      </c>
    </row>
    <row r="2964" customFormat="false" ht="12.75" hidden="false" customHeight="false" outlineLevel="0" collapsed="false">
      <c r="A2964" s="1" t="n">
        <v>140</v>
      </c>
      <c r="B2964" s="1" t="n">
        <v>85</v>
      </c>
      <c r="C2964" s="1" t="n">
        <v>225</v>
      </c>
      <c r="D2964" s="1" t="s">
        <v>990</v>
      </c>
      <c r="E2964" s="1" t="s">
        <v>1082</v>
      </c>
      <c r="F2964" s="1" t="s">
        <v>360</v>
      </c>
      <c r="G2964" s="1" t="n">
        <f aca="false">IF(ISNUMBER(E2964),E2964,VALUE(SUBSTITUTE(E2964,"#",".01")))</f>
        <v>30395.01</v>
      </c>
    </row>
    <row r="2965" customFormat="false" ht="12.75" hidden="false" customHeight="false" outlineLevel="0" collapsed="false">
      <c r="A2965" s="1" t="n">
        <v>139</v>
      </c>
      <c r="B2965" s="1" t="n">
        <v>86</v>
      </c>
      <c r="C2965" s="1" t="n">
        <v>225</v>
      </c>
      <c r="D2965" s="1" t="s">
        <v>994</v>
      </c>
      <c r="E2965" s="1" t="n">
        <v>26534.141</v>
      </c>
      <c r="F2965" s="1" t="n">
        <v>11.14</v>
      </c>
      <c r="G2965" s="1" t="n">
        <f aca="false">IF(ISNUMBER(E2965),E2965,VALUE(SUBSTITUTE(E2965,"#",".01")))</f>
        <v>26534.141</v>
      </c>
    </row>
    <row r="2966" customFormat="false" ht="12.75" hidden="false" customHeight="false" outlineLevel="0" collapsed="false">
      <c r="A2966" s="1" t="n">
        <v>138</v>
      </c>
      <c r="B2966" s="1" t="n">
        <v>87</v>
      </c>
      <c r="C2966" s="1" t="n">
        <v>225</v>
      </c>
      <c r="D2966" s="1" t="s">
        <v>1005</v>
      </c>
      <c r="E2966" s="1" t="n">
        <v>23820.61</v>
      </c>
      <c r="F2966" s="1" t="n">
        <v>11.967</v>
      </c>
      <c r="G2966" s="1" t="n">
        <f aca="false">IF(ISNUMBER(E2966),E2966,VALUE(SUBSTITUTE(E2966,"#",".01")))</f>
        <v>23820.61</v>
      </c>
    </row>
    <row r="2967" customFormat="false" ht="12.75" hidden="false" customHeight="false" outlineLevel="0" collapsed="false">
      <c r="A2967" s="1" t="n">
        <v>137</v>
      </c>
      <c r="B2967" s="1" t="n">
        <v>88</v>
      </c>
      <c r="C2967" s="1" t="n">
        <v>225</v>
      </c>
      <c r="D2967" s="1" t="s">
        <v>1015</v>
      </c>
      <c r="E2967" s="1" t="n">
        <v>21993.109</v>
      </c>
      <c r="F2967" s="1" t="n">
        <v>2.596</v>
      </c>
      <c r="G2967" s="1" t="n">
        <f aca="false">IF(ISNUMBER(E2967),E2967,VALUE(SUBSTITUTE(E2967,"#",".01")))</f>
        <v>21993.109</v>
      </c>
    </row>
    <row r="2968" customFormat="false" ht="12.75" hidden="false" customHeight="false" outlineLevel="0" collapsed="false">
      <c r="A2968" s="1" t="n">
        <v>136</v>
      </c>
      <c r="B2968" s="1" t="n">
        <v>89</v>
      </c>
      <c r="C2968" s="1" t="n">
        <v>225</v>
      </c>
      <c r="D2968" s="1" t="s">
        <v>1027</v>
      </c>
      <c r="E2968" s="1" t="n">
        <v>21637.346</v>
      </c>
      <c r="F2968" s="1" t="n">
        <v>4.758</v>
      </c>
      <c r="G2968" s="1" t="n">
        <f aca="false">IF(ISNUMBER(E2968),E2968,VALUE(SUBSTITUTE(E2968,"#",".01")))</f>
        <v>21637.346</v>
      </c>
    </row>
    <row r="2969" customFormat="false" ht="12.75" hidden="false" customHeight="false" outlineLevel="0" collapsed="false">
      <c r="A2969" s="1" t="n">
        <v>135</v>
      </c>
      <c r="B2969" s="1" t="n">
        <v>90</v>
      </c>
      <c r="C2969" s="1" t="n">
        <v>225</v>
      </c>
      <c r="D2969" s="1" t="s">
        <v>1034</v>
      </c>
      <c r="E2969" s="1" t="n">
        <v>22310.127</v>
      </c>
      <c r="F2969" s="1" t="n">
        <v>5.093</v>
      </c>
      <c r="G2969" s="1" t="n">
        <f aca="false">IF(ISNUMBER(E2969),E2969,VALUE(SUBSTITUTE(E2969,"#",".01")))</f>
        <v>22310.127</v>
      </c>
    </row>
    <row r="2970" customFormat="false" ht="12.75" hidden="false" customHeight="false" outlineLevel="0" collapsed="false">
      <c r="A2970" s="1" t="n">
        <v>134</v>
      </c>
      <c r="B2970" s="1" t="n">
        <v>91</v>
      </c>
      <c r="C2970" s="1" t="n">
        <v>225</v>
      </c>
      <c r="D2970" s="1" t="s">
        <v>1041</v>
      </c>
      <c r="E2970" s="1" t="n">
        <v>24340.725</v>
      </c>
      <c r="F2970" s="1" t="n">
        <v>71.012</v>
      </c>
      <c r="G2970" s="1" t="n">
        <f aca="false">IF(ISNUMBER(E2970),E2970,VALUE(SUBSTITUTE(E2970,"#",".01")))</f>
        <v>24340.725</v>
      </c>
    </row>
    <row r="2971" customFormat="false" ht="12.75" hidden="false" customHeight="false" outlineLevel="0" collapsed="false">
      <c r="A2971" s="1" t="n">
        <v>133</v>
      </c>
      <c r="B2971" s="1" t="n">
        <v>92</v>
      </c>
      <c r="C2971" s="1" t="n">
        <v>225</v>
      </c>
      <c r="D2971" s="1" t="s">
        <v>1050</v>
      </c>
      <c r="E2971" s="1" t="n">
        <v>27379.921</v>
      </c>
      <c r="F2971" s="1" t="n">
        <v>10.909</v>
      </c>
      <c r="G2971" s="1" t="n">
        <f aca="false">IF(ISNUMBER(E2971),E2971,VALUE(SUBSTITUTE(E2971,"#",".01")))</f>
        <v>27379.921</v>
      </c>
    </row>
    <row r="2972" customFormat="false" ht="12.75" hidden="false" customHeight="false" outlineLevel="0" collapsed="false">
      <c r="A2972" s="1" t="n">
        <v>132</v>
      </c>
      <c r="B2972" s="1" t="n">
        <v>93</v>
      </c>
      <c r="C2972" s="1" t="n">
        <v>225</v>
      </c>
      <c r="D2972" s="1" t="s">
        <v>1062</v>
      </c>
      <c r="E2972" s="1" t="n">
        <v>31587.704</v>
      </c>
      <c r="F2972" s="1" t="n">
        <v>71.622</v>
      </c>
      <c r="G2972" s="1" t="n">
        <f aca="false">IF(ISNUMBER(E2972),E2972,VALUE(SUBSTITUTE(E2972,"#",".01")))</f>
        <v>31587.704</v>
      </c>
    </row>
    <row r="2973" customFormat="false" ht="12.75" hidden="false" customHeight="false" outlineLevel="0" collapsed="false">
      <c r="A2973" s="1" t="n">
        <v>142</v>
      </c>
      <c r="B2973" s="1" t="n">
        <v>84</v>
      </c>
      <c r="C2973" s="1" t="n">
        <v>226</v>
      </c>
      <c r="D2973" s="1" t="s">
        <v>980</v>
      </c>
      <c r="E2973" s="1" t="s">
        <v>1083</v>
      </c>
      <c r="F2973" s="1" t="s">
        <v>320</v>
      </c>
      <c r="G2973" s="1" t="n">
        <f aca="false">IF(ISNUMBER(E2973),E2973,VALUE(SUBSTITUTE(E2973,"#",".01")))</f>
        <v>37549.01</v>
      </c>
    </row>
    <row r="2974" customFormat="false" ht="12.75" hidden="false" customHeight="false" outlineLevel="0" collapsed="false">
      <c r="A2974" s="1" t="n">
        <v>141</v>
      </c>
      <c r="B2974" s="1" t="n">
        <v>85</v>
      </c>
      <c r="C2974" s="1" t="n">
        <v>226</v>
      </c>
      <c r="D2974" s="1" t="s">
        <v>990</v>
      </c>
      <c r="E2974" s="1" t="s">
        <v>1084</v>
      </c>
      <c r="F2974" s="1" t="s">
        <v>360</v>
      </c>
      <c r="G2974" s="1" t="n">
        <f aca="false">IF(ISNUMBER(E2974),E2974,VALUE(SUBSTITUTE(E2974,"#",".01")))</f>
        <v>34614.01</v>
      </c>
    </row>
    <row r="2975" customFormat="false" ht="12.75" hidden="false" customHeight="false" outlineLevel="0" collapsed="false">
      <c r="A2975" s="1" t="n">
        <v>140</v>
      </c>
      <c r="B2975" s="1" t="n">
        <v>86</v>
      </c>
      <c r="C2975" s="1" t="n">
        <v>226</v>
      </c>
      <c r="D2975" s="1" t="s">
        <v>994</v>
      </c>
      <c r="E2975" s="1" t="n">
        <v>28747.192</v>
      </c>
      <c r="F2975" s="1" t="n">
        <v>10.477</v>
      </c>
      <c r="G2975" s="1" t="n">
        <f aca="false">IF(ISNUMBER(E2975),E2975,VALUE(SUBSTITUTE(E2975,"#",".01")))</f>
        <v>28747.192</v>
      </c>
    </row>
    <row r="2976" customFormat="false" ht="12.75" hidden="false" customHeight="false" outlineLevel="0" collapsed="false">
      <c r="A2976" s="1" t="n">
        <v>139</v>
      </c>
      <c r="B2976" s="1" t="n">
        <v>87</v>
      </c>
      <c r="C2976" s="1" t="n">
        <v>226</v>
      </c>
      <c r="D2976" s="1" t="s">
        <v>1005</v>
      </c>
      <c r="E2976" s="1" t="n">
        <v>27520.539</v>
      </c>
      <c r="F2976" s="1" t="n">
        <v>6.23</v>
      </c>
      <c r="G2976" s="1" t="n">
        <f aca="false">IF(ISNUMBER(E2976),E2976,VALUE(SUBSTITUTE(E2976,"#",".01")))</f>
        <v>27520.539</v>
      </c>
    </row>
    <row r="2977" customFormat="false" ht="12.75" hidden="false" customHeight="false" outlineLevel="0" collapsed="false">
      <c r="A2977" s="1" t="n">
        <v>138</v>
      </c>
      <c r="B2977" s="1" t="n">
        <v>88</v>
      </c>
      <c r="C2977" s="1" t="n">
        <v>226</v>
      </c>
      <c r="D2977" s="1" t="s">
        <v>1015</v>
      </c>
      <c r="E2977" s="1" t="n">
        <v>23667.824</v>
      </c>
      <c r="F2977" s="1" t="n">
        <v>1.933</v>
      </c>
      <c r="G2977" s="1" t="n">
        <f aca="false">IF(ISNUMBER(E2977),E2977,VALUE(SUBSTITUTE(E2977,"#",".01")))</f>
        <v>23667.824</v>
      </c>
    </row>
    <row r="2978" customFormat="false" ht="12.75" hidden="false" customHeight="false" outlineLevel="0" collapsed="false">
      <c r="A2978" s="1" t="n">
        <v>137</v>
      </c>
      <c r="B2978" s="1" t="n">
        <v>89</v>
      </c>
      <c r="C2978" s="1" t="n">
        <v>226</v>
      </c>
      <c r="D2978" s="1" t="s">
        <v>1027</v>
      </c>
      <c r="E2978" s="1" t="n">
        <v>24309.264</v>
      </c>
      <c r="F2978" s="1" t="n">
        <v>3.1</v>
      </c>
      <c r="G2978" s="1" t="n">
        <f aca="false">IF(ISNUMBER(E2978),E2978,VALUE(SUBSTITUTE(E2978,"#",".01")))</f>
        <v>24309.264</v>
      </c>
    </row>
    <row r="2979" customFormat="false" ht="12.75" hidden="false" customHeight="false" outlineLevel="0" collapsed="false">
      <c r="A2979" s="1" t="n">
        <v>136</v>
      </c>
      <c r="B2979" s="1" t="n">
        <v>90</v>
      </c>
      <c r="C2979" s="1" t="n">
        <v>226</v>
      </c>
      <c r="D2979" s="1" t="s">
        <v>1034</v>
      </c>
      <c r="E2979" s="1" t="n">
        <v>23197.634</v>
      </c>
      <c r="F2979" s="1" t="n">
        <v>4.481</v>
      </c>
      <c r="G2979" s="1" t="n">
        <f aca="false">IF(ISNUMBER(E2979),E2979,VALUE(SUBSTITUTE(E2979,"#",".01")))</f>
        <v>23197.634</v>
      </c>
    </row>
    <row r="2980" customFormat="false" ht="12.75" hidden="false" customHeight="false" outlineLevel="0" collapsed="false">
      <c r="A2980" s="1" t="n">
        <v>135</v>
      </c>
      <c r="B2980" s="1" t="n">
        <v>91</v>
      </c>
      <c r="C2980" s="1" t="n">
        <v>226</v>
      </c>
      <c r="D2980" s="1" t="s">
        <v>1041</v>
      </c>
      <c r="E2980" s="1" t="n">
        <v>26033.276</v>
      </c>
      <c r="F2980" s="1" t="n">
        <v>11.42</v>
      </c>
      <c r="G2980" s="1" t="n">
        <f aca="false">IF(ISNUMBER(E2980),E2980,VALUE(SUBSTITUTE(E2980,"#",".01")))</f>
        <v>26033.276</v>
      </c>
    </row>
    <row r="2981" customFormat="false" ht="12.75" hidden="false" customHeight="false" outlineLevel="0" collapsed="false">
      <c r="A2981" s="1" t="n">
        <v>134</v>
      </c>
      <c r="B2981" s="1" t="n">
        <v>92</v>
      </c>
      <c r="C2981" s="1" t="n">
        <v>226</v>
      </c>
      <c r="D2981" s="1" t="s">
        <v>1050</v>
      </c>
      <c r="E2981" s="1" t="n">
        <v>27328.869</v>
      </c>
      <c r="F2981" s="1" t="n">
        <v>12.999</v>
      </c>
      <c r="G2981" s="1" t="n">
        <f aca="false">IF(ISNUMBER(E2981),E2981,VALUE(SUBSTITUTE(E2981,"#",".01")))</f>
        <v>27328.869</v>
      </c>
    </row>
    <row r="2982" customFormat="false" ht="12.75" hidden="false" customHeight="false" outlineLevel="0" collapsed="false">
      <c r="A2982" s="1" t="n">
        <v>133</v>
      </c>
      <c r="B2982" s="1" t="n">
        <v>93</v>
      </c>
      <c r="C2982" s="1" t="n">
        <v>226</v>
      </c>
      <c r="D2982" s="1" t="s">
        <v>1062</v>
      </c>
      <c r="E2982" s="1" t="s">
        <v>1085</v>
      </c>
      <c r="F2982" s="1" t="s">
        <v>1086</v>
      </c>
      <c r="G2982" s="1" t="n">
        <f aca="false">IF(ISNUMBER(E2982),E2982,VALUE(SUBSTITUTE(E2982,"#",".01")))</f>
        <v>32777.01</v>
      </c>
    </row>
    <row r="2983" customFormat="false" ht="12.75" hidden="false" customHeight="false" outlineLevel="0" collapsed="false">
      <c r="A2983" s="1" t="n">
        <v>143</v>
      </c>
      <c r="B2983" s="1" t="n">
        <v>84</v>
      </c>
      <c r="C2983" s="1" t="n">
        <v>227</v>
      </c>
      <c r="D2983" s="1" t="s">
        <v>980</v>
      </c>
      <c r="E2983" s="1" t="s">
        <v>1087</v>
      </c>
      <c r="F2983" s="1" t="s">
        <v>320</v>
      </c>
      <c r="G2983" s="1" t="n">
        <f aca="false">IF(ISNUMBER(E2983),E2983,VALUE(SUBSTITUTE(E2983,"#",".01")))</f>
        <v>42281.01</v>
      </c>
    </row>
    <row r="2984" customFormat="false" ht="12.75" hidden="false" customHeight="false" outlineLevel="0" collapsed="false">
      <c r="A2984" s="1" t="n">
        <v>142</v>
      </c>
      <c r="B2984" s="1" t="n">
        <v>85</v>
      </c>
      <c r="C2984" s="1" t="n">
        <v>227</v>
      </c>
      <c r="D2984" s="1" t="s">
        <v>990</v>
      </c>
      <c r="E2984" s="1" t="s">
        <v>1088</v>
      </c>
      <c r="F2984" s="1" t="s">
        <v>360</v>
      </c>
      <c r="G2984" s="1" t="n">
        <f aca="false">IF(ISNUMBER(E2984),E2984,VALUE(SUBSTITUTE(E2984,"#",".01")))</f>
        <v>37483.01</v>
      </c>
    </row>
    <row r="2985" customFormat="false" ht="12.75" hidden="false" customHeight="false" outlineLevel="0" collapsed="false">
      <c r="A2985" s="1" t="n">
        <v>141</v>
      </c>
      <c r="B2985" s="1" t="n">
        <v>86</v>
      </c>
      <c r="C2985" s="1" t="n">
        <v>227</v>
      </c>
      <c r="D2985" s="1" t="s">
        <v>994</v>
      </c>
      <c r="E2985" s="1" t="n">
        <v>32885.834</v>
      </c>
      <c r="F2985" s="1" t="n">
        <v>14.091</v>
      </c>
      <c r="G2985" s="1" t="n">
        <f aca="false">IF(ISNUMBER(E2985),E2985,VALUE(SUBSTITUTE(E2985,"#",".01")))</f>
        <v>32885.834</v>
      </c>
    </row>
    <row r="2986" customFormat="false" ht="12.75" hidden="false" customHeight="false" outlineLevel="0" collapsed="false">
      <c r="A2986" s="1" t="n">
        <v>140</v>
      </c>
      <c r="B2986" s="1" t="n">
        <v>87</v>
      </c>
      <c r="C2986" s="1" t="n">
        <v>227</v>
      </c>
      <c r="D2986" s="1" t="s">
        <v>1005</v>
      </c>
      <c r="E2986" s="1" t="n">
        <v>29682.445</v>
      </c>
      <c r="F2986" s="1" t="n">
        <v>5.898</v>
      </c>
      <c r="G2986" s="1" t="n">
        <f aca="false">IF(ISNUMBER(E2986),E2986,VALUE(SUBSTITUTE(E2986,"#",".01")))</f>
        <v>29682.445</v>
      </c>
    </row>
    <row r="2987" customFormat="false" ht="12.75" hidden="false" customHeight="false" outlineLevel="0" collapsed="false">
      <c r="A2987" s="1" t="n">
        <v>139</v>
      </c>
      <c r="B2987" s="1" t="n">
        <v>88</v>
      </c>
      <c r="C2987" s="1" t="n">
        <v>227</v>
      </c>
      <c r="D2987" s="1" t="s">
        <v>1015</v>
      </c>
      <c r="E2987" s="1" t="n">
        <v>27177.711</v>
      </c>
      <c r="F2987" s="1" t="n">
        <v>1.952</v>
      </c>
      <c r="G2987" s="1" t="n">
        <f aca="false">IF(ISNUMBER(E2987),E2987,VALUE(SUBSTITUTE(E2987,"#",".01")))</f>
        <v>27177.711</v>
      </c>
    </row>
    <row r="2988" customFormat="false" ht="12.75" hidden="false" customHeight="false" outlineLevel="0" collapsed="false">
      <c r="A2988" s="1" t="n">
        <v>138</v>
      </c>
      <c r="B2988" s="1" t="n">
        <v>89</v>
      </c>
      <c r="C2988" s="1" t="n">
        <v>227</v>
      </c>
      <c r="D2988" s="1" t="s">
        <v>1027</v>
      </c>
      <c r="E2988" s="1" t="n">
        <v>25849.58</v>
      </c>
      <c r="F2988" s="1" t="n">
        <v>1.927</v>
      </c>
      <c r="G2988" s="1" t="n">
        <f aca="false">IF(ISNUMBER(E2988),E2988,VALUE(SUBSTITUTE(E2988,"#",".01")))</f>
        <v>25849.58</v>
      </c>
    </row>
    <row r="2989" customFormat="false" ht="12.75" hidden="false" customHeight="false" outlineLevel="0" collapsed="false">
      <c r="A2989" s="1" t="n">
        <v>137</v>
      </c>
      <c r="B2989" s="1" t="n">
        <v>90</v>
      </c>
      <c r="C2989" s="1" t="n">
        <v>227</v>
      </c>
      <c r="D2989" s="1" t="s">
        <v>1034</v>
      </c>
      <c r="E2989" s="1" t="n">
        <v>25804.823</v>
      </c>
      <c r="F2989" s="1" t="n">
        <v>2.088</v>
      </c>
      <c r="G2989" s="1" t="n">
        <f aca="false">IF(ISNUMBER(E2989),E2989,VALUE(SUBSTITUTE(E2989,"#",".01")))</f>
        <v>25804.823</v>
      </c>
    </row>
    <row r="2990" customFormat="false" ht="12.75" hidden="false" customHeight="false" outlineLevel="0" collapsed="false">
      <c r="A2990" s="1" t="n">
        <v>136</v>
      </c>
      <c r="B2990" s="1" t="n">
        <v>91</v>
      </c>
      <c r="C2990" s="1" t="n">
        <v>227</v>
      </c>
      <c r="D2990" s="1" t="s">
        <v>1041</v>
      </c>
      <c r="E2990" s="1" t="n">
        <v>26831.198</v>
      </c>
      <c r="F2990" s="1" t="n">
        <v>7.42</v>
      </c>
      <c r="G2990" s="1" t="n">
        <f aca="false">IF(ISNUMBER(E2990),E2990,VALUE(SUBSTITUTE(E2990,"#",".01")))</f>
        <v>26831.198</v>
      </c>
    </row>
    <row r="2991" customFormat="false" ht="12.75" hidden="false" customHeight="false" outlineLevel="0" collapsed="false">
      <c r="A2991" s="1" t="n">
        <v>135</v>
      </c>
      <c r="B2991" s="1" t="n">
        <v>92</v>
      </c>
      <c r="C2991" s="1" t="n">
        <v>227</v>
      </c>
      <c r="D2991" s="1" t="s">
        <v>1050</v>
      </c>
      <c r="E2991" s="1" t="n">
        <v>29045.462</v>
      </c>
      <c r="F2991" s="1" t="n">
        <v>9.705</v>
      </c>
      <c r="G2991" s="1" t="n">
        <f aca="false">IF(ISNUMBER(E2991),E2991,VALUE(SUBSTITUTE(E2991,"#",".01")))</f>
        <v>29045.462</v>
      </c>
    </row>
    <row r="2992" customFormat="false" ht="12.75" hidden="false" customHeight="false" outlineLevel="0" collapsed="false">
      <c r="A2992" s="1" t="n">
        <v>134</v>
      </c>
      <c r="B2992" s="1" t="n">
        <v>93</v>
      </c>
      <c r="C2992" s="1" t="n">
        <v>227</v>
      </c>
      <c r="D2992" s="1" t="s">
        <v>1062</v>
      </c>
      <c r="E2992" s="1" t="n">
        <v>32562.08</v>
      </c>
      <c r="F2992" s="1" t="n">
        <v>72.506</v>
      </c>
      <c r="G2992" s="1" t="n">
        <f aca="false">IF(ISNUMBER(E2992),E2992,VALUE(SUBSTITUTE(E2992,"#",".01")))</f>
        <v>32562.08</v>
      </c>
    </row>
    <row r="2993" customFormat="false" ht="12.75" hidden="false" customHeight="false" outlineLevel="0" collapsed="false">
      <c r="A2993" s="1" t="n">
        <v>133</v>
      </c>
      <c r="B2993" s="1" t="n">
        <v>94</v>
      </c>
      <c r="C2993" s="1" t="n">
        <v>227</v>
      </c>
      <c r="D2993" s="1" t="s">
        <v>1089</v>
      </c>
      <c r="E2993" s="1" t="s">
        <v>1090</v>
      </c>
      <c r="F2993" s="1" t="s">
        <v>533</v>
      </c>
      <c r="G2993" s="1" t="n">
        <f aca="false">IF(ISNUMBER(E2993),E2993,VALUE(SUBSTITUTE(E2993,"#",".01")))</f>
        <v>36770.01</v>
      </c>
    </row>
    <row r="2994" customFormat="false" ht="12.75" hidden="false" customHeight="false" outlineLevel="0" collapsed="false">
      <c r="A2994" s="1" t="n">
        <v>143</v>
      </c>
      <c r="B2994" s="1" t="n">
        <v>85</v>
      </c>
      <c r="C2994" s="1" t="n">
        <v>228</v>
      </c>
      <c r="D2994" s="1" t="s">
        <v>990</v>
      </c>
      <c r="E2994" s="1" t="s">
        <v>1091</v>
      </c>
      <c r="F2994" s="1" t="s">
        <v>320</v>
      </c>
      <c r="G2994" s="1" t="n">
        <f aca="false">IF(ISNUMBER(E2994),E2994,VALUE(SUBSTITUTE(E2994,"#",".01")))</f>
        <v>41684.01</v>
      </c>
    </row>
    <row r="2995" customFormat="false" ht="12.75" hidden="false" customHeight="false" outlineLevel="0" collapsed="false">
      <c r="A2995" s="1" t="n">
        <v>142</v>
      </c>
      <c r="B2995" s="1" t="n">
        <v>86</v>
      </c>
      <c r="C2995" s="1" t="n">
        <v>228</v>
      </c>
      <c r="D2995" s="1" t="s">
        <v>994</v>
      </c>
      <c r="E2995" s="1" t="n">
        <v>35243.465</v>
      </c>
      <c r="F2995" s="1" t="n">
        <v>17.677</v>
      </c>
      <c r="G2995" s="1" t="n">
        <f aca="false">IF(ISNUMBER(E2995),E2995,VALUE(SUBSTITUTE(E2995,"#",".01")))</f>
        <v>35243.465</v>
      </c>
    </row>
    <row r="2996" customFormat="false" ht="12.75" hidden="false" customHeight="false" outlineLevel="0" collapsed="false">
      <c r="A2996" s="1" t="n">
        <v>141</v>
      </c>
      <c r="B2996" s="1" t="n">
        <v>87</v>
      </c>
      <c r="C2996" s="1" t="n">
        <v>228</v>
      </c>
      <c r="D2996" s="1" t="s">
        <v>1005</v>
      </c>
      <c r="E2996" s="1" t="n">
        <v>33384.221</v>
      </c>
      <c r="F2996" s="1" t="n">
        <v>6.732</v>
      </c>
      <c r="G2996" s="1" t="n">
        <f aca="false">IF(ISNUMBER(E2996),E2996,VALUE(SUBSTITUTE(E2996,"#",".01")))</f>
        <v>33384.221</v>
      </c>
    </row>
    <row r="2997" customFormat="false" ht="12.75" hidden="false" customHeight="false" outlineLevel="0" collapsed="false">
      <c r="A2997" s="1" t="n">
        <v>140</v>
      </c>
      <c r="B2997" s="1" t="n">
        <v>88</v>
      </c>
      <c r="C2997" s="1" t="n">
        <v>228</v>
      </c>
      <c r="D2997" s="1" t="s">
        <v>1015</v>
      </c>
      <c r="E2997" s="1" t="n">
        <v>28940.268</v>
      </c>
      <c r="F2997" s="1" t="n">
        <v>1.996</v>
      </c>
      <c r="G2997" s="1" t="n">
        <f aca="false">IF(ISNUMBER(E2997),E2997,VALUE(SUBSTITUTE(E2997,"#",".01")))</f>
        <v>28940.268</v>
      </c>
    </row>
    <row r="2998" customFormat="false" ht="12.75" hidden="false" customHeight="false" outlineLevel="0" collapsed="false">
      <c r="A2998" s="1" t="n">
        <v>139</v>
      </c>
      <c r="B2998" s="1" t="n">
        <v>89</v>
      </c>
      <c r="C2998" s="1" t="n">
        <v>228</v>
      </c>
      <c r="D2998" s="1" t="s">
        <v>1027</v>
      </c>
      <c r="E2998" s="1" t="n">
        <v>28894.728</v>
      </c>
      <c r="F2998" s="1" t="n">
        <v>2.094</v>
      </c>
      <c r="G2998" s="1" t="n">
        <f aca="false">IF(ISNUMBER(E2998),E2998,VALUE(SUBSTITUTE(E2998,"#",".01")))</f>
        <v>28894.728</v>
      </c>
    </row>
    <row r="2999" customFormat="false" ht="12.75" hidden="false" customHeight="false" outlineLevel="0" collapsed="false">
      <c r="A2999" s="1" t="n">
        <v>138</v>
      </c>
      <c r="B2999" s="1" t="n">
        <v>90</v>
      </c>
      <c r="C2999" s="1" t="n">
        <v>228</v>
      </c>
      <c r="D2999" s="1" t="s">
        <v>1034</v>
      </c>
      <c r="E2999" s="1" t="n">
        <v>26770.984</v>
      </c>
      <c r="F2999" s="1" t="n">
        <v>1.807</v>
      </c>
      <c r="G2999" s="1" t="n">
        <f aca="false">IF(ISNUMBER(E2999),E2999,VALUE(SUBSTITUTE(E2999,"#",".01")))</f>
        <v>26770.984</v>
      </c>
    </row>
    <row r="3000" customFormat="false" ht="12.75" hidden="false" customHeight="false" outlineLevel="0" collapsed="false">
      <c r="A3000" s="1" t="n">
        <v>137</v>
      </c>
      <c r="B3000" s="1" t="n">
        <v>91</v>
      </c>
      <c r="C3000" s="1" t="n">
        <v>228</v>
      </c>
      <c r="D3000" s="1" t="s">
        <v>1041</v>
      </c>
      <c r="E3000" s="1" t="n">
        <v>28923.586</v>
      </c>
      <c r="F3000" s="1" t="n">
        <v>4.34</v>
      </c>
      <c r="G3000" s="1" t="n">
        <f aca="false">IF(ISNUMBER(E3000),E3000,VALUE(SUBSTITUTE(E3000,"#",".01")))</f>
        <v>28923.586</v>
      </c>
    </row>
    <row r="3001" customFormat="false" ht="12.75" hidden="false" customHeight="false" outlineLevel="0" collapsed="false">
      <c r="A3001" s="1" t="n">
        <v>136</v>
      </c>
      <c r="B3001" s="1" t="n">
        <v>92</v>
      </c>
      <c r="C3001" s="1" t="n">
        <v>228</v>
      </c>
      <c r="D3001" s="1" t="s">
        <v>1050</v>
      </c>
      <c r="E3001" s="1" t="n">
        <v>29222.226</v>
      </c>
      <c r="F3001" s="1" t="n">
        <v>14.354</v>
      </c>
      <c r="G3001" s="1" t="n">
        <f aca="false">IF(ISNUMBER(E3001),E3001,VALUE(SUBSTITUTE(E3001,"#",".01")))</f>
        <v>29222.226</v>
      </c>
    </row>
    <row r="3002" customFormat="false" ht="12.75" hidden="false" customHeight="false" outlineLevel="0" collapsed="false">
      <c r="A3002" s="1" t="n">
        <v>135</v>
      </c>
      <c r="B3002" s="1" t="n">
        <v>93</v>
      </c>
      <c r="C3002" s="1" t="n">
        <v>228</v>
      </c>
      <c r="D3002" s="1" t="s">
        <v>1062</v>
      </c>
      <c r="E3002" s="1" t="n">
        <v>33595.694</v>
      </c>
      <c r="F3002" s="1" t="n">
        <v>50.572</v>
      </c>
      <c r="G3002" s="1" t="n">
        <f aca="false">IF(ISNUMBER(E3002),E3002,VALUE(SUBSTITUTE(E3002,"#",".01")))</f>
        <v>33595.694</v>
      </c>
    </row>
    <row r="3003" customFormat="false" ht="12.75" hidden="false" customHeight="false" outlineLevel="0" collapsed="false">
      <c r="A3003" s="1" t="n">
        <v>134</v>
      </c>
      <c r="B3003" s="1" t="n">
        <v>94</v>
      </c>
      <c r="C3003" s="1" t="n">
        <v>228</v>
      </c>
      <c r="D3003" s="1" t="s">
        <v>1089</v>
      </c>
      <c r="E3003" s="1" t="n">
        <v>36087.37</v>
      </c>
      <c r="F3003" s="1" t="n">
        <v>29.143</v>
      </c>
      <c r="G3003" s="1" t="n">
        <f aca="false">IF(ISNUMBER(E3003),E3003,VALUE(SUBSTITUTE(E3003,"#",".01")))</f>
        <v>36087.37</v>
      </c>
    </row>
    <row r="3004" customFormat="false" ht="12.75" hidden="false" customHeight="false" outlineLevel="0" collapsed="false">
      <c r="A3004" s="1" t="n">
        <v>144</v>
      </c>
      <c r="B3004" s="1" t="n">
        <v>85</v>
      </c>
      <c r="C3004" s="1" t="n">
        <v>229</v>
      </c>
      <c r="D3004" s="1" t="s">
        <v>990</v>
      </c>
      <c r="E3004" s="1" t="s">
        <v>1092</v>
      </c>
      <c r="F3004" s="1" t="s">
        <v>320</v>
      </c>
      <c r="G3004" s="1" t="n">
        <f aca="false">IF(ISNUMBER(E3004),E3004,VALUE(SUBSTITUTE(E3004,"#",".01")))</f>
        <v>44823.01</v>
      </c>
    </row>
    <row r="3005" customFormat="false" ht="12.75" hidden="false" customHeight="false" outlineLevel="0" collapsed="false">
      <c r="A3005" s="1" t="n">
        <v>143</v>
      </c>
      <c r="B3005" s="1" t="n">
        <v>86</v>
      </c>
      <c r="C3005" s="1" t="n">
        <v>229</v>
      </c>
      <c r="D3005" s="1" t="s">
        <v>994</v>
      </c>
      <c r="E3005" s="1" t="n">
        <v>39362.4</v>
      </c>
      <c r="F3005" s="1" t="n">
        <v>13.041</v>
      </c>
      <c r="G3005" s="1" t="n">
        <f aca="false">IF(ISNUMBER(E3005),E3005,VALUE(SUBSTITUTE(E3005,"#",".01")))</f>
        <v>39362.4</v>
      </c>
    </row>
    <row r="3006" customFormat="false" ht="12.75" hidden="false" customHeight="false" outlineLevel="0" collapsed="false">
      <c r="A3006" s="1" t="n">
        <v>142</v>
      </c>
      <c r="B3006" s="1" t="n">
        <v>87</v>
      </c>
      <c r="C3006" s="1" t="n">
        <v>229</v>
      </c>
      <c r="D3006" s="1" t="s">
        <v>1005</v>
      </c>
      <c r="E3006" s="1" t="n">
        <v>35668.262</v>
      </c>
      <c r="F3006" s="1" t="n">
        <v>5.001</v>
      </c>
      <c r="G3006" s="1" t="n">
        <f aca="false">IF(ISNUMBER(E3006),E3006,VALUE(SUBSTITUTE(E3006,"#",".01")))</f>
        <v>35668.262</v>
      </c>
    </row>
    <row r="3007" customFormat="false" ht="12.75" hidden="false" customHeight="false" outlineLevel="0" collapsed="false">
      <c r="A3007" s="1" t="n">
        <v>141</v>
      </c>
      <c r="B3007" s="1" t="n">
        <v>88</v>
      </c>
      <c r="C3007" s="1" t="n">
        <v>229</v>
      </c>
      <c r="D3007" s="1" t="s">
        <v>1015</v>
      </c>
      <c r="E3007" s="1" t="n">
        <v>32561.963</v>
      </c>
      <c r="F3007" s="1" t="n">
        <v>15.441</v>
      </c>
      <c r="G3007" s="1" t="n">
        <f aca="false">IF(ISNUMBER(E3007),E3007,VALUE(SUBSTITUTE(E3007,"#",".01")))</f>
        <v>32561.963</v>
      </c>
    </row>
    <row r="3008" customFormat="false" ht="12.75" hidden="false" customHeight="false" outlineLevel="0" collapsed="false">
      <c r="A3008" s="1" t="n">
        <v>140</v>
      </c>
      <c r="B3008" s="1" t="n">
        <v>89</v>
      </c>
      <c r="C3008" s="1" t="n">
        <v>229</v>
      </c>
      <c r="D3008" s="1" t="s">
        <v>1027</v>
      </c>
      <c r="E3008" s="1" t="n">
        <v>30689.933</v>
      </c>
      <c r="F3008" s="1" t="n">
        <v>12.109</v>
      </c>
      <c r="G3008" s="1" t="n">
        <f aca="false">IF(ISNUMBER(E3008),E3008,VALUE(SUBSTITUTE(E3008,"#",".01")))</f>
        <v>30689.933</v>
      </c>
    </row>
    <row r="3009" customFormat="false" ht="12.75" hidden="false" customHeight="false" outlineLevel="0" collapsed="false">
      <c r="A3009" s="1" t="n">
        <v>139</v>
      </c>
      <c r="B3009" s="1" t="n">
        <v>90</v>
      </c>
      <c r="C3009" s="1" t="n">
        <v>229</v>
      </c>
      <c r="D3009" s="1" t="s">
        <v>1034</v>
      </c>
      <c r="E3009" s="1" t="n">
        <v>29585.583</v>
      </c>
      <c r="F3009" s="1" t="n">
        <v>2.405</v>
      </c>
      <c r="G3009" s="1" t="n">
        <f aca="false">IF(ISNUMBER(E3009),E3009,VALUE(SUBSTITUTE(E3009,"#",".01")))</f>
        <v>29585.583</v>
      </c>
    </row>
    <row r="3010" customFormat="false" ht="12.75" hidden="false" customHeight="false" outlineLevel="0" collapsed="false">
      <c r="A3010" s="1" t="n">
        <v>138</v>
      </c>
      <c r="B3010" s="1" t="n">
        <v>91</v>
      </c>
      <c r="C3010" s="1" t="n">
        <v>229</v>
      </c>
      <c r="D3010" s="1" t="s">
        <v>1041</v>
      </c>
      <c r="E3010" s="1" t="n">
        <v>29896.908</v>
      </c>
      <c r="F3010" s="1" t="n">
        <v>3.28</v>
      </c>
      <c r="G3010" s="1" t="n">
        <f aca="false">IF(ISNUMBER(E3010),E3010,VALUE(SUBSTITUTE(E3010,"#",".01")))</f>
        <v>29896.908</v>
      </c>
    </row>
    <row r="3011" customFormat="false" ht="12.75" hidden="false" customHeight="false" outlineLevel="0" collapsed="false">
      <c r="A3011" s="1" t="n">
        <v>137</v>
      </c>
      <c r="B3011" s="1" t="n">
        <v>92</v>
      </c>
      <c r="C3011" s="1" t="n">
        <v>229</v>
      </c>
      <c r="D3011" s="1" t="s">
        <v>1050</v>
      </c>
      <c r="E3011" s="1" t="n">
        <v>31210.554</v>
      </c>
      <c r="F3011" s="1" t="n">
        <v>5.938</v>
      </c>
      <c r="G3011" s="1" t="n">
        <f aca="false">IF(ISNUMBER(E3011),E3011,VALUE(SUBSTITUTE(E3011,"#",".01")))</f>
        <v>31210.554</v>
      </c>
    </row>
    <row r="3012" customFormat="false" ht="12.75" hidden="false" customHeight="false" outlineLevel="0" collapsed="false">
      <c r="A3012" s="1" t="n">
        <v>136</v>
      </c>
      <c r="B3012" s="1" t="n">
        <v>93</v>
      </c>
      <c r="C3012" s="1" t="n">
        <v>229</v>
      </c>
      <c r="D3012" s="1" t="s">
        <v>1062</v>
      </c>
      <c r="E3012" s="1" t="n">
        <v>33779.675</v>
      </c>
      <c r="F3012" s="1" t="n">
        <v>86.848</v>
      </c>
      <c r="G3012" s="1" t="n">
        <f aca="false">IF(ISNUMBER(E3012),E3012,VALUE(SUBSTITUTE(E3012,"#",".01")))</f>
        <v>33779.675</v>
      </c>
    </row>
    <row r="3013" customFormat="false" ht="12.75" hidden="false" customHeight="false" outlineLevel="0" collapsed="false">
      <c r="A3013" s="1" t="n">
        <v>135</v>
      </c>
      <c r="B3013" s="1" t="n">
        <v>94</v>
      </c>
      <c r="C3013" s="1" t="n">
        <v>229</v>
      </c>
      <c r="D3013" s="1" t="s">
        <v>1089</v>
      </c>
      <c r="E3013" s="1" t="n">
        <v>37395.59</v>
      </c>
      <c r="F3013" s="1" t="n">
        <v>51.176</v>
      </c>
      <c r="G3013" s="1" t="n">
        <f aca="false">IF(ISNUMBER(E3013),E3013,VALUE(SUBSTITUTE(E3013,"#",".01")))</f>
        <v>37395.59</v>
      </c>
    </row>
    <row r="3014" customFormat="false" ht="12.75" hidden="false" customHeight="false" outlineLevel="0" collapsed="false">
      <c r="A3014" s="1" t="n">
        <v>134</v>
      </c>
      <c r="B3014" s="1" t="n">
        <v>95</v>
      </c>
      <c r="C3014" s="1" t="n">
        <v>229</v>
      </c>
      <c r="D3014" s="1" t="s">
        <v>1093</v>
      </c>
      <c r="E3014" s="1" t="n">
        <v>42150.02</v>
      </c>
      <c r="F3014" s="1" t="n">
        <v>87.348</v>
      </c>
      <c r="G3014" s="1" t="n">
        <f aca="false">IF(ISNUMBER(E3014),E3014,VALUE(SUBSTITUTE(E3014,"#",".01")))</f>
        <v>42150.02</v>
      </c>
    </row>
    <row r="3015" customFormat="false" ht="12.75" hidden="false" customHeight="false" outlineLevel="0" collapsed="false">
      <c r="A3015" s="1" t="n">
        <v>144</v>
      </c>
      <c r="B3015" s="1" t="n">
        <v>86</v>
      </c>
      <c r="C3015" s="1" t="n">
        <v>230</v>
      </c>
      <c r="D3015" s="1" t="s">
        <v>994</v>
      </c>
      <c r="E3015" s="1" t="s">
        <v>1094</v>
      </c>
      <c r="F3015" s="1" t="s">
        <v>333</v>
      </c>
      <c r="G3015" s="1" t="n">
        <f aca="false">IF(ISNUMBER(E3015),E3015,VALUE(SUBSTITUTE(E3015,"#",".01")))</f>
        <v>42048.01</v>
      </c>
    </row>
    <row r="3016" customFormat="false" ht="12.75" hidden="false" customHeight="false" outlineLevel="0" collapsed="false">
      <c r="A3016" s="1" t="n">
        <v>143</v>
      </c>
      <c r="B3016" s="1" t="n">
        <v>87</v>
      </c>
      <c r="C3016" s="1" t="n">
        <v>230</v>
      </c>
      <c r="D3016" s="1" t="s">
        <v>1005</v>
      </c>
      <c r="E3016" s="1" t="n">
        <v>39486.768</v>
      </c>
      <c r="F3016" s="1" t="n">
        <v>6.541</v>
      </c>
      <c r="G3016" s="1" t="n">
        <f aca="false">IF(ISNUMBER(E3016),E3016,VALUE(SUBSTITUTE(E3016,"#",".01")))</f>
        <v>39486.768</v>
      </c>
    </row>
    <row r="3017" customFormat="false" ht="12.75" hidden="false" customHeight="false" outlineLevel="0" collapsed="false">
      <c r="A3017" s="1" t="n">
        <v>142</v>
      </c>
      <c r="B3017" s="1" t="n">
        <v>88</v>
      </c>
      <c r="C3017" s="1" t="n">
        <v>230</v>
      </c>
      <c r="D3017" s="1" t="s">
        <v>1015</v>
      </c>
      <c r="E3017" s="1" t="n">
        <v>34516.306</v>
      </c>
      <c r="F3017" s="1" t="n">
        <v>10.296</v>
      </c>
      <c r="G3017" s="1" t="n">
        <f aca="false">IF(ISNUMBER(E3017),E3017,VALUE(SUBSTITUTE(E3017,"#",".01")))</f>
        <v>34516.306</v>
      </c>
    </row>
    <row r="3018" customFormat="false" ht="12.75" hidden="false" customHeight="false" outlineLevel="0" collapsed="false">
      <c r="A3018" s="1" t="n">
        <v>141</v>
      </c>
      <c r="B3018" s="1" t="n">
        <v>89</v>
      </c>
      <c r="C3018" s="1" t="n">
        <v>230</v>
      </c>
      <c r="D3018" s="1" t="s">
        <v>1027</v>
      </c>
      <c r="E3018" s="1" t="n">
        <v>33838.383</v>
      </c>
      <c r="F3018" s="1" t="n">
        <v>15.835</v>
      </c>
      <c r="G3018" s="1" t="n">
        <f aca="false">IF(ISNUMBER(E3018),E3018,VALUE(SUBSTITUTE(E3018,"#",".01")))</f>
        <v>33838.383</v>
      </c>
    </row>
    <row r="3019" customFormat="false" ht="12.75" hidden="false" customHeight="false" outlineLevel="0" collapsed="false">
      <c r="A3019" s="1" t="n">
        <v>140</v>
      </c>
      <c r="B3019" s="1" t="n">
        <v>90</v>
      </c>
      <c r="C3019" s="1" t="n">
        <v>230</v>
      </c>
      <c r="D3019" s="1" t="s">
        <v>1034</v>
      </c>
      <c r="E3019" s="1" t="n">
        <v>30862.593</v>
      </c>
      <c r="F3019" s="1" t="n">
        <v>1.21</v>
      </c>
      <c r="G3019" s="1" t="n">
        <f aca="false">IF(ISNUMBER(E3019),E3019,VALUE(SUBSTITUTE(E3019,"#",".01")))</f>
        <v>30862.593</v>
      </c>
    </row>
    <row r="3020" customFormat="false" ht="12.75" hidden="false" customHeight="false" outlineLevel="0" collapsed="false">
      <c r="A3020" s="1" t="n">
        <v>139</v>
      </c>
      <c r="B3020" s="1" t="n">
        <v>91</v>
      </c>
      <c r="C3020" s="1" t="n">
        <v>230</v>
      </c>
      <c r="D3020" s="1" t="s">
        <v>1041</v>
      </c>
      <c r="E3020" s="1" t="n">
        <v>32173.607</v>
      </c>
      <c r="F3020" s="1" t="n">
        <v>3.038</v>
      </c>
      <c r="G3020" s="1" t="n">
        <f aca="false">IF(ISNUMBER(E3020),E3020,VALUE(SUBSTITUTE(E3020,"#",".01")))</f>
        <v>32173.607</v>
      </c>
    </row>
    <row r="3021" customFormat="false" ht="12.75" hidden="false" customHeight="false" outlineLevel="0" collapsed="false">
      <c r="A3021" s="1" t="n">
        <v>138</v>
      </c>
      <c r="B3021" s="1" t="n">
        <v>92</v>
      </c>
      <c r="C3021" s="1" t="n">
        <v>230</v>
      </c>
      <c r="D3021" s="1" t="s">
        <v>1050</v>
      </c>
      <c r="E3021" s="1" t="n">
        <v>31615.002</v>
      </c>
      <c r="F3021" s="1" t="n">
        <v>4.509</v>
      </c>
      <c r="G3021" s="1" t="n">
        <f aca="false">IF(ISNUMBER(E3021),E3021,VALUE(SUBSTITUTE(E3021,"#",".01")))</f>
        <v>31615.002</v>
      </c>
    </row>
    <row r="3022" customFormat="false" ht="12.75" hidden="false" customHeight="false" outlineLevel="0" collapsed="false">
      <c r="A3022" s="1" t="n">
        <v>137</v>
      </c>
      <c r="B3022" s="1" t="n">
        <v>93</v>
      </c>
      <c r="C3022" s="1" t="n">
        <v>230</v>
      </c>
      <c r="D3022" s="1" t="s">
        <v>1062</v>
      </c>
      <c r="E3022" s="1" t="n">
        <v>35236.291</v>
      </c>
      <c r="F3022" s="1" t="n">
        <v>51.288</v>
      </c>
      <c r="G3022" s="1" t="n">
        <f aca="false">IF(ISNUMBER(E3022),E3022,VALUE(SUBSTITUTE(E3022,"#",".01")))</f>
        <v>35236.291</v>
      </c>
    </row>
    <row r="3023" customFormat="false" ht="12.75" hidden="false" customHeight="false" outlineLevel="0" collapsed="false">
      <c r="A3023" s="1" t="n">
        <v>136</v>
      </c>
      <c r="B3023" s="1" t="n">
        <v>94</v>
      </c>
      <c r="C3023" s="1" t="n">
        <v>230</v>
      </c>
      <c r="D3023" s="1" t="s">
        <v>1089</v>
      </c>
      <c r="E3023" s="1" t="n">
        <v>36934.392</v>
      </c>
      <c r="F3023" s="1" t="n">
        <v>14.824</v>
      </c>
      <c r="G3023" s="1" t="n">
        <f aca="false">IF(ISNUMBER(E3023),E3023,VALUE(SUBSTITUTE(E3023,"#",".01")))</f>
        <v>36934.392</v>
      </c>
    </row>
    <row r="3024" customFormat="false" ht="12.75" hidden="false" customHeight="false" outlineLevel="0" collapsed="false">
      <c r="A3024" s="1" t="n">
        <v>135</v>
      </c>
      <c r="B3024" s="1" t="n">
        <v>95</v>
      </c>
      <c r="C3024" s="1" t="n">
        <v>230</v>
      </c>
      <c r="D3024" s="1" t="s">
        <v>1093</v>
      </c>
      <c r="E3024" s="1" t="s">
        <v>1095</v>
      </c>
      <c r="F3024" s="1" t="s">
        <v>1096</v>
      </c>
      <c r="G3024" s="1" t="n">
        <f aca="false">IF(ISNUMBER(E3024),E3024,VALUE(SUBSTITUTE(E3024,"#",".01")))</f>
        <v>42932.01</v>
      </c>
    </row>
    <row r="3025" customFormat="false" ht="12.75" hidden="false" customHeight="false" outlineLevel="0" collapsed="false">
      <c r="A3025" s="1" t="n">
        <v>145</v>
      </c>
      <c r="B3025" s="1" t="n">
        <v>86</v>
      </c>
      <c r="C3025" s="1" t="n">
        <v>231</v>
      </c>
      <c r="D3025" s="1" t="s">
        <v>994</v>
      </c>
      <c r="E3025" s="1" t="s">
        <v>1097</v>
      </c>
      <c r="F3025" s="1" t="s">
        <v>360</v>
      </c>
      <c r="G3025" s="1" t="n">
        <f aca="false">IF(ISNUMBER(E3025),E3025,VALUE(SUBSTITUTE(E3025,"#",".01")))</f>
        <v>46454.01</v>
      </c>
    </row>
    <row r="3026" customFormat="false" ht="12.75" hidden="false" customHeight="false" outlineLevel="0" collapsed="false">
      <c r="A3026" s="1" t="n">
        <v>144</v>
      </c>
      <c r="B3026" s="1" t="n">
        <v>87</v>
      </c>
      <c r="C3026" s="1" t="n">
        <v>231</v>
      </c>
      <c r="D3026" s="1" t="s">
        <v>1005</v>
      </c>
      <c r="E3026" s="1" t="n">
        <v>42080.575</v>
      </c>
      <c r="F3026" s="1" t="n">
        <v>7.731</v>
      </c>
      <c r="G3026" s="1" t="n">
        <f aca="false">IF(ISNUMBER(E3026),E3026,VALUE(SUBSTITUTE(E3026,"#",".01")))</f>
        <v>42080.575</v>
      </c>
    </row>
    <row r="3027" customFormat="false" ht="12.75" hidden="false" customHeight="false" outlineLevel="0" collapsed="false">
      <c r="A3027" s="1" t="n">
        <v>143</v>
      </c>
      <c r="B3027" s="1" t="n">
        <v>88</v>
      </c>
      <c r="C3027" s="1" t="n">
        <v>231</v>
      </c>
      <c r="D3027" s="1" t="s">
        <v>1015</v>
      </c>
      <c r="E3027" s="1" t="n">
        <v>38216.486</v>
      </c>
      <c r="F3027" s="1" t="n">
        <v>11.37</v>
      </c>
      <c r="G3027" s="1" t="n">
        <f aca="false">IF(ISNUMBER(E3027),E3027,VALUE(SUBSTITUTE(E3027,"#",".01")))</f>
        <v>38216.486</v>
      </c>
    </row>
    <row r="3028" customFormat="false" ht="12.75" hidden="false" customHeight="false" outlineLevel="0" collapsed="false">
      <c r="A3028" s="1" t="n">
        <v>142</v>
      </c>
      <c r="B3028" s="1" t="n">
        <v>89</v>
      </c>
      <c r="C3028" s="1" t="n">
        <v>231</v>
      </c>
      <c r="D3028" s="1" t="s">
        <v>1027</v>
      </c>
      <c r="E3028" s="1" t="n">
        <v>35762.849</v>
      </c>
      <c r="F3028" s="1" t="n">
        <v>13.041</v>
      </c>
      <c r="G3028" s="1" t="n">
        <f aca="false">IF(ISNUMBER(E3028),E3028,VALUE(SUBSTITUTE(E3028,"#",".01")))</f>
        <v>35762.849</v>
      </c>
    </row>
    <row r="3029" customFormat="false" ht="12.75" hidden="false" customHeight="false" outlineLevel="0" collapsed="false">
      <c r="A3029" s="1" t="n">
        <v>141</v>
      </c>
      <c r="B3029" s="1" t="n">
        <v>90</v>
      </c>
      <c r="C3029" s="1" t="n">
        <v>231</v>
      </c>
      <c r="D3029" s="1" t="s">
        <v>1034</v>
      </c>
      <c r="E3029" s="1" t="n">
        <v>33815.891</v>
      </c>
      <c r="F3029" s="1" t="n">
        <v>1.218</v>
      </c>
      <c r="G3029" s="1" t="n">
        <f aca="false">IF(ISNUMBER(E3029),E3029,VALUE(SUBSTITUTE(E3029,"#",".01")))</f>
        <v>33815.891</v>
      </c>
    </row>
    <row r="3030" customFormat="false" ht="12.75" hidden="false" customHeight="false" outlineLevel="0" collapsed="false">
      <c r="A3030" s="1" t="n">
        <v>140</v>
      </c>
      <c r="B3030" s="1" t="n">
        <v>91</v>
      </c>
      <c r="C3030" s="1" t="n">
        <v>231</v>
      </c>
      <c r="D3030" s="1" t="s">
        <v>1041</v>
      </c>
      <c r="E3030" s="1" t="n">
        <v>33424.404</v>
      </c>
      <c r="F3030" s="1" t="n">
        <v>1.772</v>
      </c>
      <c r="G3030" s="1" t="n">
        <f aca="false">IF(ISNUMBER(E3030),E3030,VALUE(SUBSTITUTE(E3030,"#",".01")))</f>
        <v>33424.404</v>
      </c>
    </row>
    <row r="3031" customFormat="false" ht="12.75" hidden="false" customHeight="false" outlineLevel="0" collapsed="false">
      <c r="A3031" s="1" t="n">
        <v>139</v>
      </c>
      <c r="B3031" s="1" t="n">
        <v>92</v>
      </c>
      <c r="C3031" s="1" t="n">
        <v>231</v>
      </c>
      <c r="D3031" s="1" t="s">
        <v>1050</v>
      </c>
      <c r="E3031" s="1" t="n">
        <v>33806.015</v>
      </c>
      <c r="F3031" s="1" t="n">
        <v>2.67</v>
      </c>
      <c r="G3031" s="1" t="n">
        <f aca="false">IF(ISNUMBER(E3031),E3031,VALUE(SUBSTITUTE(E3031,"#",".01")))</f>
        <v>33806.015</v>
      </c>
    </row>
    <row r="3032" customFormat="false" ht="12.75" hidden="false" customHeight="false" outlineLevel="0" collapsed="false">
      <c r="A3032" s="1" t="n">
        <v>138</v>
      </c>
      <c r="B3032" s="1" t="n">
        <v>93</v>
      </c>
      <c r="C3032" s="1" t="n">
        <v>231</v>
      </c>
      <c r="D3032" s="1" t="s">
        <v>1062</v>
      </c>
      <c r="E3032" s="1" t="n">
        <v>35624.513</v>
      </c>
      <c r="F3032" s="1" t="n">
        <v>50.547</v>
      </c>
      <c r="G3032" s="1" t="n">
        <f aca="false">IF(ISNUMBER(E3032),E3032,VALUE(SUBSTITUTE(E3032,"#",".01")))</f>
        <v>35624.513</v>
      </c>
    </row>
    <row r="3033" customFormat="false" ht="12.75" hidden="false" customHeight="false" outlineLevel="0" collapsed="false">
      <c r="A3033" s="1" t="n">
        <v>137</v>
      </c>
      <c r="B3033" s="1" t="n">
        <v>94</v>
      </c>
      <c r="C3033" s="1" t="n">
        <v>231</v>
      </c>
      <c r="D3033" s="1" t="s">
        <v>1089</v>
      </c>
      <c r="E3033" s="1" t="n">
        <v>38309.005</v>
      </c>
      <c r="F3033" s="1" t="n">
        <v>22.549</v>
      </c>
      <c r="G3033" s="1" t="n">
        <f aca="false">IF(ISNUMBER(E3033),E3033,VALUE(SUBSTITUTE(E3033,"#",".01")))</f>
        <v>38309.005</v>
      </c>
    </row>
    <row r="3034" customFormat="false" ht="12.75" hidden="false" customHeight="false" outlineLevel="0" collapsed="false">
      <c r="A3034" s="1" t="n">
        <v>136</v>
      </c>
      <c r="B3034" s="1" t="n">
        <v>95</v>
      </c>
      <c r="C3034" s="1" t="n">
        <v>231</v>
      </c>
      <c r="D3034" s="1" t="s">
        <v>1093</v>
      </c>
      <c r="E3034" s="1" t="s">
        <v>1098</v>
      </c>
      <c r="F3034" s="1" t="s">
        <v>371</v>
      </c>
      <c r="G3034" s="1" t="n">
        <f aca="false">IF(ISNUMBER(E3034),E3034,VALUE(SUBSTITUTE(E3034,"#",".01")))</f>
        <v>42410.01</v>
      </c>
    </row>
    <row r="3035" customFormat="false" ht="12.75" hidden="false" customHeight="false" outlineLevel="0" collapsed="false">
      <c r="A3035" s="1" t="n">
        <v>135</v>
      </c>
      <c r="B3035" s="1" t="n">
        <v>96</v>
      </c>
      <c r="C3035" s="1" t="n">
        <v>231</v>
      </c>
      <c r="D3035" s="1" t="s">
        <v>1099</v>
      </c>
      <c r="E3035" s="1" t="s">
        <v>1100</v>
      </c>
      <c r="F3035" s="1" t="s">
        <v>371</v>
      </c>
      <c r="G3035" s="1" t="n">
        <f aca="false">IF(ISNUMBER(E3035),E3035,VALUE(SUBSTITUTE(E3035,"#",".01")))</f>
        <v>47270.01</v>
      </c>
    </row>
    <row r="3036" customFormat="false" ht="12.75" hidden="false" customHeight="false" outlineLevel="0" collapsed="false">
      <c r="A3036" s="1" t="n">
        <v>145</v>
      </c>
      <c r="B3036" s="1" t="n">
        <v>87</v>
      </c>
      <c r="C3036" s="1" t="n">
        <v>232</v>
      </c>
      <c r="D3036" s="1" t="s">
        <v>1005</v>
      </c>
      <c r="E3036" s="1" t="n">
        <v>46072.834</v>
      </c>
      <c r="F3036" s="1" t="n">
        <v>13.972</v>
      </c>
      <c r="G3036" s="1" t="n">
        <f aca="false">IF(ISNUMBER(E3036),E3036,VALUE(SUBSTITUTE(E3036,"#",".01")))</f>
        <v>46072.834</v>
      </c>
    </row>
    <row r="3037" customFormat="false" ht="12.75" hidden="false" customHeight="false" outlineLevel="0" collapsed="false">
      <c r="A3037" s="1" t="n">
        <v>144</v>
      </c>
      <c r="B3037" s="1" t="n">
        <v>88</v>
      </c>
      <c r="C3037" s="1" t="n">
        <v>232</v>
      </c>
      <c r="D3037" s="1" t="s">
        <v>1015</v>
      </c>
      <c r="E3037" s="1" t="n">
        <v>40496.953</v>
      </c>
      <c r="F3037" s="1" t="n">
        <v>9.151</v>
      </c>
      <c r="G3037" s="1" t="n">
        <f aca="false">IF(ISNUMBER(E3037),E3037,VALUE(SUBSTITUTE(E3037,"#",".01")))</f>
        <v>40496.953</v>
      </c>
    </row>
    <row r="3038" customFormat="false" ht="12.75" hidden="false" customHeight="false" outlineLevel="0" collapsed="false">
      <c r="A3038" s="1" t="n">
        <v>143</v>
      </c>
      <c r="B3038" s="1" t="n">
        <v>89</v>
      </c>
      <c r="C3038" s="1" t="n">
        <v>232</v>
      </c>
      <c r="D3038" s="1" t="s">
        <v>1027</v>
      </c>
      <c r="E3038" s="1" t="n">
        <v>39154.419</v>
      </c>
      <c r="F3038" s="1" t="n">
        <v>13.041</v>
      </c>
      <c r="G3038" s="1" t="n">
        <f aca="false">IF(ISNUMBER(E3038),E3038,VALUE(SUBSTITUTE(E3038,"#",".01")))</f>
        <v>39154.419</v>
      </c>
    </row>
    <row r="3039" customFormat="false" ht="12.75" hidden="false" customHeight="false" outlineLevel="0" collapsed="false">
      <c r="A3039" s="1" t="n">
        <v>142</v>
      </c>
      <c r="B3039" s="1" t="n">
        <v>90</v>
      </c>
      <c r="C3039" s="1" t="n">
        <v>232</v>
      </c>
      <c r="D3039" s="1" t="s">
        <v>1034</v>
      </c>
      <c r="E3039" s="1" t="n">
        <v>35446.784</v>
      </c>
      <c r="F3039" s="1" t="n">
        <v>1.422</v>
      </c>
      <c r="G3039" s="1" t="n">
        <f aca="false">IF(ISNUMBER(E3039),E3039,VALUE(SUBSTITUTE(E3039,"#",".01")))</f>
        <v>35446.784</v>
      </c>
    </row>
    <row r="3040" customFormat="false" ht="12.75" hidden="false" customHeight="false" outlineLevel="0" collapsed="false">
      <c r="A3040" s="1" t="n">
        <v>141</v>
      </c>
      <c r="B3040" s="1" t="n">
        <v>91</v>
      </c>
      <c r="C3040" s="1" t="n">
        <v>232</v>
      </c>
      <c r="D3040" s="1" t="s">
        <v>1041</v>
      </c>
      <c r="E3040" s="1" t="n">
        <v>35946.633</v>
      </c>
      <c r="F3040" s="1" t="n">
        <v>7.645</v>
      </c>
      <c r="G3040" s="1" t="n">
        <f aca="false">IF(ISNUMBER(E3040),E3040,VALUE(SUBSTITUTE(E3040,"#",".01")))</f>
        <v>35946.633</v>
      </c>
    </row>
    <row r="3041" customFormat="false" ht="12.75" hidden="false" customHeight="false" outlineLevel="0" collapsed="false">
      <c r="A3041" s="1" t="n">
        <v>140</v>
      </c>
      <c r="B3041" s="1" t="n">
        <v>92</v>
      </c>
      <c r="C3041" s="1" t="n">
        <v>232</v>
      </c>
      <c r="D3041" s="1" t="s">
        <v>1050</v>
      </c>
      <c r="E3041" s="1" t="n">
        <v>34609.53</v>
      </c>
      <c r="F3041" s="1" t="n">
        <v>1.809</v>
      </c>
      <c r="G3041" s="1" t="n">
        <f aca="false">IF(ISNUMBER(E3041),E3041,VALUE(SUBSTITUTE(E3041,"#",".01")))</f>
        <v>34609.53</v>
      </c>
    </row>
    <row r="3042" customFormat="false" ht="12.75" hidden="false" customHeight="false" outlineLevel="0" collapsed="false">
      <c r="A3042" s="1" t="n">
        <v>139</v>
      </c>
      <c r="B3042" s="1" t="n">
        <v>93</v>
      </c>
      <c r="C3042" s="1" t="n">
        <v>232</v>
      </c>
      <c r="D3042" s="1" t="s">
        <v>1062</v>
      </c>
      <c r="E3042" s="1" t="s">
        <v>1101</v>
      </c>
      <c r="F3042" s="1" t="s">
        <v>533</v>
      </c>
      <c r="G3042" s="1" t="n">
        <f aca="false">IF(ISNUMBER(E3042),E3042,VALUE(SUBSTITUTE(E3042,"#",".01")))</f>
        <v>37360.01</v>
      </c>
    </row>
    <row r="3043" customFormat="false" ht="12.75" hidden="false" customHeight="false" outlineLevel="0" collapsed="false">
      <c r="A3043" s="1" t="n">
        <v>138</v>
      </c>
      <c r="B3043" s="1" t="n">
        <v>94</v>
      </c>
      <c r="C3043" s="1" t="n">
        <v>232</v>
      </c>
      <c r="D3043" s="1" t="s">
        <v>1089</v>
      </c>
      <c r="E3043" s="1" t="n">
        <v>38363.14</v>
      </c>
      <c r="F3043" s="1" t="n">
        <v>17.595</v>
      </c>
      <c r="G3043" s="1" t="n">
        <f aca="false">IF(ISNUMBER(E3043),E3043,VALUE(SUBSTITUTE(E3043,"#",".01")))</f>
        <v>38363.14</v>
      </c>
    </row>
    <row r="3044" customFormat="false" ht="12.75" hidden="false" customHeight="false" outlineLevel="0" collapsed="false">
      <c r="A3044" s="1" t="n">
        <v>137</v>
      </c>
      <c r="B3044" s="1" t="n">
        <v>95</v>
      </c>
      <c r="C3044" s="1" t="n">
        <v>232</v>
      </c>
      <c r="D3044" s="1" t="s">
        <v>1093</v>
      </c>
      <c r="E3044" s="1" t="s">
        <v>1102</v>
      </c>
      <c r="F3044" s="1" t="s">
        <v>371</v>
      </c>
      <c r="G3044" s="1" t="n">
        <f aca="false">IF(ISNUMBER(E3044),E3044,VALUE(SUBSTITUTE(E3044,"#",".01")))</f>
        <v>43340.01</v>
      </c>
    </row>
    <row r="3045" customFormat="false" ht="12.75" hidden="false" customHeight="false" outlineLevel="0" collapsed="false">
      <c r="A3045" s="1" t="n">
        <v>136</v>
      </c>
      <c r="B3045" s="1" t="n">
        <v>96</v>
      </c>
      <c r="C3045" s="1" t="n">
        <v>232</v>
      </c>
      <c r="D3045" s="1" t="s">
        <v>1099</v>
      </c>
      <c r="E3045" s="1" t="s">
        <v>1103</v>
      </c>
      <c r="F3045" s="1" t="s">
        <v>752</v>
      </c>
      <c r="G3045" s="1" t="n">
        <f aca="false">IF(ISNUMBER(E3045),E3045,VALUE(SUBSTITUTE(E3045,"#",".01")))</f>
        <v>46312.01</v>
      </c>
    </row>
    <row r="3046" customFormat="false" ht="12.75" hidden="false" customHeight="false" outlineLevel="0" collapsed="false">
      <c r="A3046" s="1" t="n">
        <v>146</v>
      </c>
      <c r="B3046" s="1" t="n">
        <v>87</v>
      </c>
      <c r="C3046" s="1" t="n">
        <v>233</v>
      </c>
      <c r="D3046" s="1" t="s">
        <v>1005</v>
      </c>
      <c r="E3046" s="1" t="n">
        <v>48920.051</v>
      </c>
      <c r="F3046" s="1" t="n">
        <v>19.561</v>
      </c>
      <c r="G3046" s="1" t="n">
        <f aca="false">IF(ISNUMBER(E3046),E3046,VALUE(SUBSTITUTE(E3046,"#",".01")))</f>
        <v>48920.051</v>
      </c>
    </row>
    <row r="3047" customFormat="false" ht="12.75" hidden="false" customHeight="false" outlineLevel="0" collapsed="false">
      <c r="A3047" s="1" t="n">
        <v>145</v>
      </c>
      <c r="B3047" s="1" t="n">
        <v>88</v>
      </c>
      <c r="C3047" s="1" t="n">
        <v>233</v>
      </c>
      <c r="D3047" s="1" t="s">
        <v>1015</v>
      </c>
      <c r="E3047" s="1" t="n">
        <v>44334.06</v>
      </c>
      <c r="F3047" s="1" t="n">
        <v>8.603</v>
      </c>
      <c r="G3047" s="1" t="n">
        <f aca="false">IF(ISNUMBER(E3047),E3047,VALUE(SUBSTITUTE(E3047,"#",".01")))</f>
        <v>44334.06</v>
      </c>
    </row>
    <row r="3048" customFormat="false" ht="12.75" hidden="false" customHeight="false" outlineLevel="0" collapsed="false">
      <c r="A3048" s="1" t="n">
        <v>144</v>
      </c>
      <c r="B3048" s="1" t="n">
        <v>89</v>
      </c>
      <c r="C3048" s="1" t="n">
        <v>233</v>
      </c>
      <c r="D3048" s="1" t="s">
        <v>1027</v>
      </c>
      <c r="E3048" s="1" t="n">
        <v>41308.033</v>
      </c>
      <c r="F3048" s="1" t="n">
        <v>13.041</v>
      </c>
      <c r="G3048" s="1" t="n">
        <f aca="false">IF(ISNUMBER(E3048),E3048,VALUE(SUBSTITUTE(E3048,"#",".01")))</f>
        <v>41308.033</v>
      </c>
    </row>
    <row r="3049" customFormat="false" ht="12.75" hidden="false" customHeight="false" outlineLevel="0" collapsed="false">
      <c r="A3049" s="1" t="n">
        <v>143</v>
      </c>
      <c r="B3049" s="1" t="n">
        <v>90</v>
      </c>
      <c r="C3049" s="1" t="n">
        <v>233</v>
      </c>
      <c r="D3049" s="1" t="s">
        <v>1034</v>
      </c>
      <c r="E3049" s="1" t="n">
        <v>38731.715</v>
      </c>
      <c r="F3049" s="1" t="n">
        <v>1.425</v>
      </c>
      <c r="G3049" s="1" t="n">
        <f aca="false">IF(ISNUMBER(E3049),E3049,VALUE(SUBSTITUTE(E3049,"#",".01")))</f>
        <v>38731.715</v>
      </c>
    </row>
    <row r="3050" customFormat="false" ht="12.75" hidden="false" customHeight="false" outlineLevel="0" collapsed="false">
      <c r="A3050" s="1" t="n">
        <v>142</v>
      </c>
      <c r="B3050" s="1" t="n">
        <v>91</v>
      </c>
      <c r="C3050" s="1" t="n">
        <v>233</v>
      </c>
      <c r="D3050" s="1" t="s">
        <v>1041</v>
      </c>
      <c r="E3050" s="1" t="n">
        <v>37489.472</v>
      </c>
      <c r="F3050" s="1" t="n">
        <v>1.336</v>
      </c>
      <c r="G3050" s="1" t="n">
        <f aca="false">IF(ISNUMBER(E3050),E3050,VALUE(SUBSTITUTE(E3050,"#",".01")))</f>
        <v>37489.472</v>
      </c>
    </row>
    <row r="3051" customFormat="false" ht="12.75" hidden="false" customHeight="false" outlineLevel="0" collapsed="false">
      <c r="A3051" s="1" t="n">
        <v>141</v>
      </c>
      <c r="B3051" s="1" t="n">
        <v>92</v>
      </c>
      <c r="C3051" s="1" t="n">
        <v>233</v>
      </c>
      <c r="D3051" s="1" t="s">
        <v>1050</v>
      </c>
      <c r="E3051" s="1" t="n">
        <v>36919.176</v>
      </c>
      <c r="F3051" s="1" t="n">
        <v>2.255</v>
      </c>
      <c r="G3051" s="1" t="n">
        <f aca="false">IF(ISNUMBER(E3051),E3051,VALUE(SUBSTITUTE(E3051,"#",".01")))</f>
        <v>36919.176</v>
      </c>
    </row>
    <row r="3052" customFormat="false" ht="12.75" hidden="false" customHeight="false" outlineLevel="0" collapsed="false">
      <c r="A3052" s="1" t="n">
        <v>140</v>
      </c>
      <c r="B3052" s="1" t="n">
        <v>93</v>
      </c>
      <c r="C3052" s="1" t="n">
        <v>233</v>
      </c>
      <c r="D3052" s="1" t="s">
        <v>1062</v>
      </c>
      <c r="E3052" s="1" t="n">
        <v>37948.59</v>
      </c>
      <c r="F3052" s="1" t="n">
        <v>50.981</v>
      </c>
      <c r="G3052" s="1" t="n">
        <f aca="false">IF(ISNUMBER(E3052),E3052,VALUE(SUBSTITUTE(E3052,"#",".01")))</f>
        <v>37948.59</v>
      </c>
    </row>
    <row r="3053" customFormat="false" ht="12.75" hidden="false" customHeight="false" outlineLevel="0" collapsed="false">
      <c r="A3053" s="1" t="n">
        <v>139</v>
      </c>
      <c r="B3053" s="1" t="n">
        <v>94</v>
      </c>
      <c r="C3053" s="1" t="n">
        <v>233</v>
      </c>
      <c r="D3053" s="1" t="s">
        <v>1089</v>
      </c>
      <c r="E3053" s="1" t="n">
        <v>40051.769</v>
      </c>
      <c r="F3053" s="1" t="n">
        <v>50.351</v>
      </c>
      <c r="G3053" s="1" t="n">
        <f aca="false">IF(ISNUMBER(E3053),E3053,VALUE(SUBSTITUTE(E3053,"#",".01")))</f>
        <v>40051.769</v>
      </c>
    </row>
    <row r="3054" customFormat="false" ht="12.75" hidden="false" customHeight="false" outlineLevel="0" collapsed="false">
      <c r="A3054" s="1" t="n">
        <v>138</v>
      </c>
      <c r="B3054" s="1" t="n">
        <v>95</v>
      </c>
      <c r="C3054" s="1" t="n">
        <v>233</v>
      </c>
      <c r="D3054" s="1" t="s">
        <v>1093</v>
      </c>
      <c r="E3054" s="1" t="s">
        <v>1104</v>
      </c>
      <c r="F3054" s="1" t="s">
        <v>677</v>
      </c>
      <c r="G3054" s="1" t="n">
        <f aca="false">IF(ISNUMBER(E3054),E3054,VALUE(SUBSTITUTE(E3054,"#",".01")))</f>
        <v>43263.01</v>
      </c>
    </row>
    <row r="3055" customFormat="false" ht="12.75" hidden="false" customHeight="false" outlineLevel="0" collapsed="false">
      <c r="A3055" s="1" t="n">
        <v>137</v>
      </c>
      <c r="B3055" s="1" t="n">
        <v>96</v>
      </c>
      <c r="C3055" s="1" t="n">
        <v>233</v>
      </c>
      <c r="D3055" s="1" t="s">
        <v>1099</v>
      </c>
      <c r="E3055" s="1" t="n">
        <v>47294.006</v>
      </c>
      <c r="F3055" s="1" t="n">
        <v>71.547</v>
      </c>
      <c r="G3055" s="1" t="n">
        <f aca="false">IF(ISNUMBER(E3055),E3055,VALUE(SUBSTITUTE(E3055,"#",".01")))</f>
        <v>47294.006</v>
      </c>
    </row>
    <row r="3056" customFormat="false" ht="12.75" hidden="false" customHeight="false" outlineLevel="0" collapsed="false">
      <c r="A3056" s="1" t="n">
        <v>136</v>
      </c>
      <c r="B3056" s="1" t="n">
        <v>97</v>
      </c>
      <c r="C3056" s="1" t="n">
        <v>233</v>
      </c>
      <c r="D3056" s="1" t="s">
        <v>1105</v>
      </c>
      <c r="E3056" s="1" t="s">
        <v>1106</v>
      </c>
      <c r="F3056" s="1" t="s">
        <v>1107</v>
      </c>
      <c r="G3056" s="1" t="n">
        <f aca="false">IF(ISNUMBER(E3056),E3056,VALUE(SUBSTITUTE(E3056,"#",".01")))</f>
        <v>52861.01</v>
      </c>
    </row>
    <row r="3057" customFormat="false" ht="12.75" hidden="false" customHeight="false" outlineLevel="0" collapsed="false">
      <c r="A3057" s="1" t="n">
        <v>146</v>
      </c>
      <c r="B3057" s="1" t="n">
        <v>88</v>
      </c>
      <c r="C3057" s="1" t="n">
        <v>234</v>
      </c>
      <c r="D3057" s="1" t="s">
        <v>1015</v>
      </c>
      <c r="E3057" s="1" t="n">
        <v>46930.629</v>
      </c>
      <c r="F3057" s="1" t="n">
        <v>8.383</v>
      </c>
      <c r="G3057" s="1" t="n">
        <f aca="false">IF(ISNUMBER(E3057),E3057,VALUE(SUBSTITUTE(E3057,"#",".01")))</f>
        <v>46930.629</v>
      </c>
    </row>
    <row r="3058" customFormat="false" ht="12.75" hidden="false" customHeight="false" outlineLevel="0" collapsed="false">
      <c r="A3058" s="1" t="n">
        <v>145</v>
      </c>
      <c r="B3058" s="1" t="n">
        <v>89</v>
      </c>
      <c r="C3058" s="1" t="n">
        <v>234</v>
      </c>
      <c r="D3058" s="1" t="s">
        <v>1027</v>
      </c>
      <c r="E3058" s="1" t="n">
        <v>44841.19</v>
      </c>
      <c r="F3058" s="1" t="n">
        <v>13.972</v>
      </c>
      <c r="G3058" s="1" t="n">
        <f aca="false">IF(ISNUMBER(E3058),E3058,VALUE(SUBSTITUTE(E3058,"#",".01")))</f>
        <v>44841.19</v>
      </c>
    </row>
    <row r="3059" customFormat="false" ht="12.75" hidden="false" customHeight="false" outlineLevel="0" collapsed="false">
      <c r="A3059" s="1" t="n">
        <v>144</v>
      </c>
      <c r="B3059" s="1" t="n">
        <v>90</v>
      </c>
      <c r="C3059" s="1" t="n">
        <v>234</v>
      </c>
      <c r="D3059" s="1" t="s">
        <v>1034</v>
      </c>
      <c r="E3059" s="1" t="n">
        <v>40613.009</v>
      </c>
      <c r="F3059" s="1" t="n">
        <v>2.589</v>
      </c>
      <c r="G3059" s="1" t="n">
        <f aca="false">IF(ISNUMBER(E3059),E3059,VALUE(SUBSTITUTE(E3059,"#",".01")))</f>
        <v>40613.009</v>
      </c>
    </row>
    <row r="3060" customFormat="false" ht="12.75" hidden="false" customHeight="false" outlineLevel="0" collapsed="false">
      <c r="A3060" s="1" t="n">
        <v>143</v>
      </c>
      <c r="B3060" s="1" t="n">
        <v>91</v>
      </c>
      <c r="C3060" s="1" t="n">
        <v>234</v>
      </c>
      <c r="D3060" s="1" t="s">
        <v>1041</v>
      </c>
      <c r="E3060" s="1" t="n">
        <v>40338.921</v>
      </c>
      <c r="F3060" s="1" t="n">
        <v>4.094</v>
      </c>
      <c r="G3060" s="1" t="n">
        <f aca="false">IF(ISNUMBER(E3060),E3060,VALUE(SUBSTITUTE(E3060,"#",".01")))</f>
        <v>40338.921</v>
      </c>
    </row>
    <row r="3061" customFormat="false" ht="12.75" hidden="false" customHeight="false" outlineLevel="0" collapsed="false">
      <c r="A3061" s="1" t="n">
        <v>142</v>
      </c>
      <c r="B3061" s="1" t="n">
        <v>92</v>
      </c>
      <c r="C3061" s="1" t="n">
        <v>234</v>
      </c>
      <c r="D3061" s="1" t="s">
        <v>1050</v>
      </c>
      <c r="E3061" s="1" t="n">
        <v>38145.025</v>
      </c>
      <c r="F3061" s="1" t="n">
        <v>1.13</v>
      </c>
      <c r="G3061" s="1" t="n">
        <f aca="false">IF(ISNUMBER(E3061),E3061,VALUE(SUBSTITUTE(E3061,"#",".01")))</f>
        <v>38145.025</v>
      </c>
    </row>
    <row r="3062" customFormat="false" ht="12.75" hidden="false" customHeight="false" outlineLevel="0" collapsed="false">
      <c r="A3062" s="1" t="n">
        <v>141</v>
      </c>
      <c r="B3062" s="1" t="n">
        <v>93</v>
      </c>
      <c r="C3062" s="1" t="n">
        <v>234</v>
      </c>
      <c r="D3062" s="1" t="s">
        <v>1062</v>
      </c>
      <c r="E3062" s="1" t="n">
        <v>39954.871</v>
      </c>
      <c r="F3062" s="1" t="n">
        <v>8.397</v>
      </c>
      <c r="G3062" s="1" t="n">
        <f aca="false">IF(ISNUMBER(E3062),E3062,VALUE(SUBSTITUTE(E3062,"#",".01")))</f>
        <v>39954.871</v>
      </c>
    </row>
    <row r="3063" customFormat="false" ht="12.75" hidden="false" customHeight="false" outlineLevel="0" collapsed="false">
      <c r="A3063" s="1" t="n">
        <v>140</v>
      </c>
      <c r="B3063" s="1" t="n">
        <v>94</v>
      </c>
      <c r="C3063" s="1" t="n">
        <v>234</v>
      </c>
      <c r="D3063" s="1" t="s">
        <v>1089</v>
      </c>
      <c r="E3063" s="1" t="n">
        <v>40349.971</v>
      </c>
      <c r="F3063" s="1" t="n">
        <v>6.798</v>
      </c>
      <c r="G3063" s="1" t="n">
        <f aca="false">IF(ISNUMBER(E3063),E3063,VALUE(SUBSTITUTE(E3063,"#",".01")))</f>
        <v>40349.971</v>
      </c>
    </row>
    <row r="3064" customFormat="false" ht="12.75" hidden="false" customHeight="false" outlineLevel="0" collapsed="false">
      <c r="A3064" s="1" t="n">
        <v>139</v>
      </c>
      <c r="B3064" s="1" t="n">
        <v>95</v>
      </c>
      <c r="C3064" s="1" t="n">
        <v>234</v>
      </c>
      <c r="D3064" s="1" t="s">
        <v>1093</v>
      </c>
      <c r="E3064" s="1" t="s">
        <v>1108</v>
      </c>
      <c r="F3064" s="1" t="s">
        <v>1109</v>
      </c>
      <c r="G3064" s="1" t="n">
        <f aca="false">IF(ISNUMBER(E3064),E3064,VALUE(SUBSTITUTE(E3064,"#",".01")))</f>
        <v>44461.01</v>
      </c>
    </row>
    <row r="3065" customFormat="false" ht="12.75" hidden="false" customHeight="false" outlineLevel="0" collapsed="false">
      <c r="A3065" s="1" t="n">
        <v>138</v>
      </c>
      <c r="B3065" s="1" t="n">
        <v>96</v>
      </c>
      <c r="C3065" s="1" t="n">
        <v>234</v>
      </c>
      <c r="D3065" s="1" t="s">
        <v>1099</v>
      </c>
      <c r="E3065" s="1" t="n">
        <v>46724.633</v>
      </c>
      <c r="F3065" s="1" t="n">
        <v>17.394</v>
      </c>
      <c r="G3065" s="1" t="n">
        <f aca="false">IF(ISNUMBER(E3065),E3065,VALUE(SUBSTITUTE(E3065,"#",".01")))</f>
        <v>46724.633</v>
      </c>
    </row>
    <row r="3066" customFormat="false" ht="12.75" hidden="false" customHeight="false" outlineLevel="0" collapsed="false">
      <c r="A3066" s="1" t="n">
        <v>137</v>
      </c>
      <c r="B3066" s="1" t="n">
        <v>97</v>
      </c>
      <c r="C3066" s="1" t="n">
        <v>234</v>
      </c>
      <c r="D3066" s="1" t="s">
        <v>1105</v>
      </c>
      <c r="E3066" s="1" t="s">
        <v>1110</v>
      </c>
      <c r="F3066" s="1" t="s">
        <v>1111</v>
      </c>
      <c r="G3066" s="1" t="n">
        <f aca="false">IF(ISNUMBER(E3066),E3066,VALUE(SUBSTITUTE(E3066,"#",".01")))</f>
        <v>53455.01</v>
      </c>
    </row>
    <row r="3067" customFormat="false" ht="12.75" hidden="false" customHeight="false" outlineLevel="0" collapsed="false">
      <c r="A3067" s="1" t="n">
        <v>147</v>
      </c>
      <c r="B3067" s="1" t="n">
        <v>88</v>
      </c>
      <c r="C3067" s="1" t="n">
        <v>235</v>
      </c>
      <c r="D3067" s="1" t="s">
        <v>1015</v>
      </c>
      <c r="E3067" s="1" t="s">
        <v>1112</v>
      </c>
      <c r="F3067" s="1" t="s">
        <v>371</v>
      </c>
      <c r="G3067" s="1" t="n">
        <f aca="false">IF(ISNUMBER(E3067),E3067,VALUE(SUBSTITUTE(E3067,"#",".01")))</f>
        <v>51130.01</v>
      </c>
    </row>
    <row r="3068" customFormat="false" ht="12.75" hidden="false" customHeight="false" outlineLevel="0" collapsed="false">
      <c r="A3068" s="1" t="n">
        <v>146</v>
      </c>
      <c r="B3068" s="1" t="n">
        <v>89</v>
      </c>
      <c r="C3068" s="1" t="n">
        <v>235</v>
      </c>
      <c r="D3068" s="1" t="s">
        <v>1027</v>
      </c>
      <c r="E3068" s="1" t="n">
        <v>47357.155</v>
      </c>
      <c r="F3068" s="1" t="n">
        <v>13.972</v>
      </c>
      <c r="G3068" s="1" t="n">
        <f aca="false">IF(ISNUMBER(E3068),E3068,VALUE(SUBSTITUTE(E3068,"#",".01")))</f>
        <v>47357.155</v>
      </c>
    </row>
    <row r="3069" customFormat="false" ht="12.75" hidden="false" customHeight="false" outlineLevel="0" collapsed="false">
      <c r="A3069" s="1" t="n">
        <v>145</v>
      </c>
      <c r="B3069" s="1" t="n">
        <v>90</v>
      </c>
      <c r="C3069" s="1" t="n">
        <v>235</v>
      </c>
      <c r="D3069" s="1" t="s">
        <v>1034</v>
      </c>
      <c r="E3069" s="1" t="n">
        <v>44017.749</v>
      </c>
      <c r="F3069" s="1" t="n">
        <v>13.041</v>
      </c>
      <c r="G3069" s="1" t="n">
        <f aca="false">IF(ISNUMBER(E3069),E3069,VALUE(SUBSTITUTE(E3069,"#",".01")))</f>
        <v>44017.749</v>
      </c>
    </row>
    <row r="3070" customFormat="false" ht="12.75" hidden="false" customHeight="false" outlineLevel="0" collapsed="false">
      <c r="A3070" s="1" t="n">
        <v>144</v>
      </c>
      <c r="B3070" s="1" t="n">
        <v>91</v>
      </c>
      <c r="C3070" s="1" t="n">
        <v>235</v>
      </c>
      <c r="D3070" s="1" t="s">
        <v>1041</v>
      </c>
      <c r="E3070" s="1" t="n">
        <v>42288.896</v>
      </c>
      <c r="F3070" s="1" t="n">
        <v>13.972</v>
      </c>
      <c r="G3070" s="1" t="n">
        <f aca="false">IF(ISNUMBER(E3070),E3070,VALUE(SUBSTITUTE(E3070,"#",".01")))</f>
        <v>42288.896</v>
      </c>
    </row>
    <row r="3071" customFormat="false" ht="12.75" hidden="false" customHeight="false" outlineLevel="0" collapsed="false">
      <c r="A3071" s="1" t="n">
        <v>143</v>
      </c>
      <c r="B3071" s="1" t="n">
        <v>92</v>
      </c>
      <c r="C3071" s="1" t="n">
        <v>235</v>
      </c>
      <c r="D3071" s="1" t="s">
        <v>1050</v>
      </c>
      <c r="E3071" s="1" t="n">
        <v>40918.846</v>
      </c>
      <c r="F3071" s="1" t="n">
        <v>1.117</v>
      </c>
      <c r="G3071" s="1" t="n">
        <f aca="false">IF(ISNUMBER(E3071),E3071,VALUE(SUBSTITUTE(E3071,"#",".01")))</f>
        <v>40918.846</v>
      </c>
    </row>
    <row r="3072" customFormat="false" ht="12.75" hidden="false" customHeight="false" outlineLevel="0" collapsed="false">
      <c r="A3072" s="1" t="n">
        <v>142</v>
      </c>
      <c r="B3072" s="1" t="n">
        <v>93</v>
      </c>
      <c r="C3072" s="1" t="n">
        <v>235</v>
      </c>
      <c r="D3072" s="1" t="s">
        <v>1062</v>
      </c>
      <c r="E3072" s="1" t="n">
        <v>41043.108</v>
      </c>
      <c r="F3072" s="1" t="n">
        <v>1.389</v>
      </c>
      <c r="G3072" s="1" t="n">
        <f aca="false">IF(ISNUMBER(E3072),E3072,VALUE(SUBSTITUTE(E3072,"#",".01")))</f>
        <v>41043.108</v>
      </c>
    </row>
    <row r="3073" customFormat="false" ht="12.75" hidden="false" customHeight="false" outlineLevel="0" collapsed="false">
      <c r="A3073" s="1" t="n">
        <v>141</v>
      </c>
      <c r="B3073" s="1" t="n">
        <v>94</v>
      </c>
      <c r="C3073" s="1" t="n">
        <v>235</v>
      </c>
      <c r="D3073" s="1" t="s">
        <v>1089</v>
      </c>
      <c r="E3073" s="1" t="n">
        <v>42182.41</v>
      </c>
      <c r="F3073" s="1" t="n">
        <v>20.521</v>
      </c>
      <c r="G3073" s="1" t="n">
        <f aca="false">IF(ISNUMBER(E3073),E3073,VALUE(SUBSTITUTE(E3073,"#",".01")))</f>
        <v>42182.41</v>
      </c>
    </row>
    <row r="3074" customFormat="false" ht="12.75" hidden="false" customHeight="false" outlineLevel="0" collapsed="false">
      <c r="A3074" s="1" t="n">
        <v>140</v>
      </c>
      <c r="B3074" s="1" t="n">
        <v>95</v>
      </c>
      <c r="C3074" s="1" t="n">
        <v>235</v>
      </c>
      <c r="D3074" s="1" t="s">
        <v>1093</v>
      </c>
      <c r="E3074" s="1" t="n">
        <v>44625.429</v>
      </c>
      <c r="F3074" s="1" t="n">
        <v>52.192</v>
      </c>
      <c r="G3074" s="1" t="n">
        <f aca="false">IF(ISNUMBER(E3074),E3074,VALUE(SUBSTITUTE(E3074,"#",".01")))</f>
        <v>44625.429</v>
      </c>
    </row>
    <row r="3075" customFormat="false" ht="12.75" hidden="false" customHeight="false" outlineLevel="0" collapsed="false">
      <c r="A3075" s="1" t="n">
        <v>139</v>
      </c>
      <c r="B3075" s="1" t="n">
        <v>96</v>
      </c>
      <c r="C3075" s="1" t="n">
        <v>235</v>
      </c>
      <c r="D3075" s="1" t="s">
        <v>1099</v>
      </c>
      <c r="E3075" s="1" t="s">
        <v>1113</v>
      </c>
      <c r="F3075" s="1" t="s">
        <v>1114</v>
      </c>
      <c r="G3075" s="1" t="n">
        <f aca="false">IF(ISNUMBER(E3075),E3075,VALUE(SUBSTITUTE(E3075,"#",".01")))</f>
        <v>48034.01</v>
      </c>
    </row>
    <row r="3076" customFormat="false" ht="12.75" hidden="false" customHeight="false" outlineLevel="0" collapsed="false">
      <c r="A3076" s="1" t="n">
        <v>138</v>
      </c>
      <c r="B3076" s="1" t="n">
        <v>97</v>
      </c>
      <c r="C3076" s="1" t="n">
        <v>235</v>
      </c>
      <c r="D3076" s="1" t="s">
        <v>1105</v>
      </c>
      <c r="E3076" s="1" t="s">
        <v>1115</v>
      </c>
      <c r="F3076" s="1" t="s">
        <v>320</v>
      </c>
      <c r="G3076" s="1" t="n">
        <f aca="false">IF(ISNUMBER(E3076),E3076,VALUE(SUBSTITUTE(E3076,"#",".01")))</f>
        <v>52704.01</v>
      </c>
    </row>
    <row r="3077" customFormat="false" ht="12.75" hidden="false" customHeight="false" outlineLevel="0" collapsed="false">
      <c r="A3077" s="1" t="n">
        <v>147</v>
      </c>
      <c r="B3077" s="1" t="n">
        <v>89</v>
      </c>
      <c r="C3077" s="1" t="n">
        <v>236</v>
      </c>
      <c r="D3077" s="1" t="s">
        <v>1027</v>
      </c>
      <c r="E3077" s="1" t="n">
        <v>51220.992</v>
      </c>
      <c r="F3077" s="1" t="n">
        <v>38.191</v>
      </c>
      <c r="G3077" s="1" t="n">
        <f aca="false">IF(ISNUMBER(E3077),E3077,VALUE(SUBSTITUTE(E3077,"#",".01")))</f>
        <v>51220.992</v>
      </c>
    </row>
    <row r="3078" customFormat="false" ht="12.75" hidden="false" customHeight="false" outlineLevel="0" collapsed="false">
      <c r="A3078" s="1" t="n">
        <v>146</v>
      </c>
      <c r="B3078" s="1" t="n">
        <v>90</v>
      </c>
      <c r="C3078" s="1" t="n">
        <v>236</v>
      </c>
      <c r="D3078" s="1" t="s">
        <v>1034</v>
      </c>
      <c r="E3078" s="1" t="n">
        <v>46255.198</v>
      </c>
      <c r="F3078" s="1" t="n">
        <v>13.972</v>
      </c>
      <c r="G3078" s="1" t="n">
        <f aca="false">IF(ISNUMBER(E3078),E3078,VALUE(SUBSTITUTE(E3078,"#",".01")))</f>
        <v>46255.198</v>
      </c>
    </row>
    <row r="3079" customFormat="false" ht="12.75" hidden="false" customHeight="false" outlineLevel="0" collapsed="false">
      <c r="A3079" s="1" t="n">
        <v>145</v>
      </c>
      <c r="B3079" s="1" t="n">
        <v>91</v>
      </c>
      <c r="C3079" s="1" t="n">
        <v>236</v>
      </c>
      <c r="D3079" s="1" t="s">
        <v>1041</v>
      </c>
      <c r="E3079" s="1" t="n">
        <v>45333.95</v>
      </c>
      <c r="F3079" s="1" t="n">
        <v>13.972</v>
      </c>
      <c r="G3079" s="1" t="n">
        <f aca="false">IF(ISNUMBER(E3079),E3079,VALUE(SUBSTITUTE(E3079,"#",".01")))</f>
        <v>45333.95</v>
      </c>
    </row>
    <row r="3080" customFormat="false" ht="12.75" hidden="false" customHeight="false" outlineLevel="0" collapsed="false">
      <c r="A3080" s="1" t="n">
        <v>144</v>
      </c>
      <c r="B3080" s="1" t="n">
        <v>92</v>
      </c>
      <c r="C3080" s="1" t="n">
        <v>236</v>
      </c>
      <c r="D3080" s="1" t="s">
        <v>1050</v>
      </c>
      <c r="E3080" s="1" t="n">
        <v>42444.644</v>
      </c>
      <c r="F3080" s="1" t="n">
        <v>1.113</v>
      </c>
      <c r="G3080" s="1" t="n">
        <f aca="false">IF(ISNUMBER(E3080),E3080,VALUE(SUBSTITUTE(E3080,"#",".01")))</f>
        <v>42444.644</v>
      </c>
    </row>
    <row r="3081" customFormat="false" ht="12.75" hidden="false" customHeight="false" outlineLevel="0" collapsed="false">
      <c r="A3081" s="1" t="n">
        <v>143</v>
      </c>
      <c r="B3081" s="1" t="n">
        <v>93</v>
      </c>
      <c r="C3081" s="1" t="n">
        <v>236</v>
      </c>
      <c r="D3081" s="1" t="s">
        <v>1062</v>
      </c>
      <c r="E3081" s="1" t="n">
        <v>43378.178</v>
      </c>
      <c r="F3081" s="1" t="n">
        <v>50.421</v>
      </c>
      <c r="G3081" s="1" t="n">
        <f aca="false">IF(ISNUMBER(E3081),E3081,VALUE(SUBSTITUTE(E3081,"#",".01")))</f>
        <v>43378.178</v>
      </c>
    </row>
    <row r="3082" customFormat="false" ht="12.75" hidden="false" customHeight="false" outlineLevel="0" collapsed="false">
      <c r="A3082" s="1" t="n">
        <v>142</v>
      </c>
      <c r="B3082" s="1" t="n">
        <v>94</v>
      </c>
      <c r="C3082" s="1" t="n">
        <v>236</v>
      </c>
      <c r="D3082" s="1" t="s">
        <v>1089</v>
      </c>
      <c r="E3082" s="1" t="n">
        <v>42901.593</v>
      </c>
      <c r="F3082" s="1" t="n">
        <v>1.811</v>
      </c>
      <c r="G3082" s="1" t="n">
        <f aca="false">IF(ISNUMBER(E3082),E3082,VALUE(SUBSTITUTE(E3082,"#",".01")))</f>
        <v>42901.593</v>
      </c>
    </row>
    <row r="3083" customFormat="false" ht="12.75" hidden="false" customHeight="false" outlineLevel="0" collapsed="false">
      <c r="A3083" s="1" t="n">
        <v>141</v>
      </c>
      <c r="B3083" s="1" t="n">
        <v>95</v>
      </c>
      <c r="C3083" s="1" t="n">
        <v>236</v>
      </c>
      <c r="D3083" s="1" t="s">
        <v>1093</v>
      </c>
      <c r="E3083" s="1" t="s">
        <v>1116</v>
      </c>
      <c r="F3083" s="1" t="s">
        <v>1117</v>
      </c>
      <c r="G3083" s="1" t="n">
        <f aca="false">IF(ISNUMBER(E3083),E3083,VALUE(SUBSTITUTE(E3083,"#",".01")))</f>
        <v>46041.01</v>
      </c>
    </row>
    <row r="3084" customFormat="false" ht="12.75" hidden="false" customHeight="false" outlineLevel="0" collapsed="false">
      <c r="A3084" s="1" t="n">
        <v>140</v>
      </c>
      <c r="B3084" s="1" t="n">
        <v>96</v>
      </c>
      <c r="C3084" s="1" t="n">
        <v>236</v>
      </c>
      <c r="D3084" s="1" t="s">
        <v>1099</v>
      </c>
      <c r="E3084" s="1" t="n">
        <v>47855.045</v>
      </c>
      <c r="F3084" s="1" t="n">
        <v>18.315</v>
      </c>
      <c r="G3084" s="1" t="n">
        <f aca="false">IF(ISNUMBER(E3084),E3084,VALUE(SUBSTITUTE(E3084,"#",".01")))</f>
        <v>47855.045</v>
      </c>
    </row>
    <row r="3085" customFormat="false" ht="12.75" hidden="false" customHeight="false" outlineLevel="0" collapsed="false">
      <c r="A3085" s="1" t="n">
        <v>139</v>
      </c>
      <c r="B3085" s="1" t="n">
        <v>97</v>
      </c>
      <c r="C3085" s="1" t="n">
        <v>236</v>
      </c>
      <c r="D3085" s="1" t="s">
        <v>1105</v>
      </c>
      <c r="E3085" s="1" t="s">
        <v>1118</v>
      </c>
      <c r="F3085" s="1" t="s">
        <v>320</v>
      </c>
      <c r="G3085" s="1" t="n">
        <f aca="false">IF(ISNUMBER(E3085),E3085,VALUE(SUBSTITUTE(E3085,"#",".01")))</f>
        <v>53542.01</v>
      </c>
    </row>
    <row r="3086" customFormat="false" ht="12.75" hidden="false" customHeight="false" outlineLevel="0" collapsed="false">
      <c r="A3086" s="1" t="n">
        <v>148</v>
      </c>
      <c r="B3086" s="1" t="n">
        <v>89</v>
      </c>
      <c r="C3086" s="1" t="n">
        <v>237</v>
      </c>
      <c r="D3086" s="1" t="s">
        <v>1027</v>
      </c>
      <c r="E3086" s="1" t="s">
        <v>1119</v>
      </c>
      <c r="F3086" s="1" t="s">
        <v>378</v>
      </c>
      <c r="G3086" s="1" t="n">
        <f aca="false">IF(ISNUMBER(E3086),E3086,VALUE(SUBSTITUTE(E3086,"#",".01")))</f>
        <v>54020.01</v>
      </c>
    </row>
    <row r="3087" customFormat="false" ht="12.75" hidden="false" customHeight="false" outlineLevel="0" collapsed="false">
      <c r="A3087" s="1" t="n">
        <v>147</v>
      </c>
      <c r="B3087" s="1" t="n">
        <v>90</v>
      </c>
      <c r="C3087" s="1" t="n">
        <v>237</v>
      </c>
      <c r="D3087" s="1" t="s">
        <v>1034</v>
      </c>
      <c r="E3087" s="1" t="n">
        <v>49955.092</v>
      </c>
      <c r="F3087" s="1" t="n">
        <v>15.835</v>
      </c>
      <c r="G3087" s="1" t="n">
        <f aca="false">IF(ISNUMBER(E3087),E3087,VALUE(SUBSTITUTE(E3087,"#",".01")))</f>
        <v>49955.092</v>
      </c>
    </row>
    <row r="3088" customFormat="false" ht="12.75" hidden="false" customHeight="false" outlineLevel="0" collapsed="false">
      <c r="A3088" s="1" t="n">
        <v>146</v>
      </c>
      <c r="B3088" s="1" t="n">
        <v>91</v>
      </c>
      <c r="C3088" s="1" t="n">
        <v>237</v>
      </c>
      <c r="D3088" s="1" t="s">
        <v>1041</v>
      </c>
      <c r="E3088" s="1" t="n">
        <v>47527.619</v>
      </c>
      <c r="F3088" s="1" t="n">
        <v>13.041</v>
      </c>
      <c r="G3088" s="1" t="n">
        <f aca="false">IF(ISNUMBER(E3088),E3088,VALUE(SUBSTITUTE(E3088,"#",".01")))</f>
        <v>47527.619</v>
      </c>
    </row>
    <row r="3089" customFormat="false" ht="12.75" hidden="false" customHeight="false" outlineLevel="0" collapsed="false">
      <c r="A3089" s="1" t="n">
        <v>145</v>
      </c>
      <c r="B3089" s="1" t="n">
        <v>92</v>
      </c>
      <c r="C3089" s="1" t="n">
        <v>237</v>
      </c>
      <c r="D3089" s="1" t="s">
        <v>1050</v>
      </c>
      <c r="E3089" s="1" t="n">
        <v>45390.194</v>
      </c>
      <c r="F3089" s="1" t="n">
        <v>1.203</v>
      </c>
      <c r="G3089" s="1" t="n">
        <f aca="false">IF(ISNUMBER(E3089),E3089,VALUE(SUBSTITUTE(E3089,"#",".01")))</f>
        <v>45390.194</v>
      </c>
    </row>
    <row r="3090" customFormat="false" ht="12.75" hidden="false" customHeight="false" outlineLevel="0" collapsed="false">
      <c r="A3090" s="1" t="n">
        <v>144</v>
      </c>
      <c r="B3090" s="1" t="n">
        <v>93</v>
      </c>
      <c r="C3090" s="1" t="n">
        <v>237</v>
      </c>
      <c r="D3090" s="1" t="s">
        <v>1062</v>
      </c>
      <c r="E3090" s="1" t="n">
        <v>44871.659</v>
      </c>
      <c r="F3090" s="1" t="n">
        <v>1.12</v>
      </c>
      <c r="G3090" s="1" t="n">
        <f aca="false">IF(ISNUMBER(E3090),E3090,VALUE(SUBSTITUTE(E3090,"#",".01")))</f>
        <v>44871.659</v>
      </c>
    </row>
    <row r="3091" customFormat="false" ht="12.75" hidden="false" customHeight="false" outlineLevel="0" collapsed="false">
      <c r="A3091" s="1" t="n">
        <v>143</v>
      </c>
      <c r="B3091" s="1" t="n">
        <v>94</v>
      </c>
      <c r="C3091" s="1" t="n">
        <v>237</v>
      </c>
      <c r="D3091" s="1" t="s">
        <v>1089</v>
      </c>
      <c r="E3091" s="1" t="n">
        <v>45091.722</v>
      </c>
      <c r="F3091" s="1" t="n">
        <v>1.697</v>
      </c>
      <c r="G3091" s="1" t="n">
        <f aca="false">IF(ISNUMBER(E3091),E3091,VALUE(SUBSTITUTE(E3091,"#",".01")))</f>
        <v>45091.722</v>
      </c>
    </row>
    <row r="3092" customFormat="false" ht="12.75" hidden="false" customHeight="false" outlineLevel="0" collapsed="false">
      <c r="A3092" s="1" t="n">
        <v>142</v>
      </c>
      <c r="B3092" s="1" t="n">
        <v>95</v>
      </c>
      <c r="C3092" s="1" t="n">
        <v>237</v>
      </c>
      <c r="D3092" s="1" t="s">
        <v>1093</v>
      </c>
      <c r="E3092" s="1" t="s">
        <v>1120</v>
      </c>
      <c r="F3092" s="1" t="s">
        <v>1121</v>
      </c>
      <c r="G3092" s="1" t="n">
        <f aca="false">IF(ISNUMBER(E3092),E3092,VALUE(SUBSTITUTE(E3092,"#",".01")))</f>
        <v>46570.01</v>
      </c>
    </row>
    <row r="3093" customFormat="false" ht="12.75" hidden="false" customHeight="false" outlineLevel="0" collapsed="false">
      <c r="A3093" s="1" t="n">
        <v>141</v>
      </c>
      <c r="B3093" s="1" t="n">
        <v>96</v>
      </c>
      <c r="C3093" s="1" t="n">
        <v>237</v>
      </c>
      <c r="D3093" s="1" t="s">
        <v>1099</v>
      </c>
      <c r="E3093" s="1" t="n">
        <v>49247.085</v>
      </c>
      <c r="F3093" s="1" t="n">
        <v>70.96</v>
      </c>
      <c r="G3093" s="1" t="n">
        <f aca="false">IF(ISNUMBER(E3093),E3093,VALUE(SUBSTITUTE(E3093,"#",".01")))</f>
        <v>49247.085</v>
      </c>
    </row>
    <row r="3094" customFormat="false" ht="12.75" hidden="false" customHeight="false" outlineLevel="0" collapsed="false">
      <c r="A3094" s="1" t="n">
        <v>140</v>
      </c>
      <c r="B3094" s="1" t="n">
        <v>97</v>
      </c>
      <c r="C3094" s="1" t="n">
        <v>237</v>
      </c>
      <c r="D3094" s="1" t="s">
        <v>1105</v>
      </c>
      <c r="E3094" s="1" t="s">
        <v>1122</v>
      </c>
      <c r="F3094" s="1" t="s">
        <v>1107</v>
      </c>
      <c r="G3094" s="1" t="n">
        <f aca="false">IF(ISNUMBER(E3094),E3094,VALUE(SUBSTITUTE(E3094,"#",".01")))</f>
        <v>53188.01</v>
      </c>
    </row>
    <row r="3095" customFormat="false" ht="12.75" hidden="false" customHeight="false" outlineLevel="0" collapsed="false">
      <c r="A3095" s="1" t="n">
        <v>139</v>
      </c>
      <c r="B3095" s="1" t="n">
        <v>98</v>
      </c>
      <c r="C3095" s="1" t="n">
        <v>237</v>
      </c>
      <c r="D3095" s="1" t="s">
        <v>1123</v>
      </c>
      <c r="E3095" s="1" t="n">
        <v>57938.921</v>
      </c>
      <c r="F3095" s="1" t="n">
        <v>87.287</v>
      </c>
      <c r="G3095" s="1" t="n">
        <f aca="false">IF(ISNUMBER(E3095),E3095,VALUE(SUBSTITUTE(E3095,"#",".01")))</f>
        <v>57938.921</v>
      </c>
    </row>
    <row r="3096" customFormat="false" ht="12.75" hidden="false" customHeight="false" outlineLevel="0" collapsed="false">
      <c r="A3096" s="1" t="n">
        <v>148</v>
      </c>
      <c r="B3096" s="1" t="n">
        <v>90</v>
      </c>
      <c r="C3096" s="1" t="n">
        <v>238</v>
      </c>
      <c r="D3096" s="1" t="s">
        <v>1034</v>
      </c>
      <c r="E3096" s="1" t="s">
        <v>1124</v>
      </c>
      <c r="F3096" s="1" t="s">
        <v>1125</v>
      </c>
      <c r="G3096" s="1" t="n">
        <f aca="false">IF(ISNUMBER(E3096),E3096,VALUE(SUBSTITUTE(E3096,"#",".01")))</f>
        <v>52525.01</v>
      </c>
    </row>
    <row r="3097" customFormat="false" ht="12.75" hidden="false" customHeight="false" outlineLevel="0" collapsed="false">
      <c r="A3097" s="1" t="n">
        <v>147</v>
      </c>
      <c r="B3097" s="1" t="n">
        <v>91</v>
      </c>
      <c r="C3097" s="1" t="n">
        <v>238</v>
      </c>
      <c r="D3097" s="1" t="s">
        <v>1041</v>
      </c>
      <c r="E3097" s="1" t="n">
        <v>50894.038</v>
      </c>
      <c r="F3097" s="1" t="n">
        <v>15.835</v>
      </c>
      <c r="G3097" s="1" t="n">
        <f aca="false">IF(ISNUMBER(E3097),E3097,VALUE(SUBSTITUTE(E3097,"#",".01")))</f>
        <v>50894.038</v>
      </c>
    </row>
    <row r="3098" customFormat="false" ht="12.75" hidden="false" customHeight="false" outlineLevel="0" collapsed="false">
      <c r="A3098" s="1" t="n">
        <v>146</v>
      </c>
      <c r="B3098" s="1" t="n">
        <v>92</v>
      </c>
      <c r="C3098" s="1" t="n">
        <v>238</v>
      </c>
      <c r="D3098" s="1" t="s">
        <v>1050</v>
      </c>
      <c r="E3098" s="1" t="n">
        <v>47307.783</v>
      </c>
      <c r="F3098" s="1" t="n">
        <v>1.493</v>
      </c>
      <c r="G3098" s="1" t="n">
        <f aca="false">IF(ISNUMBER(E3098),E3098,VALUE(SUBSTITUTE(E3098,"#",".01")))</f>
        <v>47307.783</v>
      </c>
    </row>
    <row r="3099" customFormat="false" ht="12.75" hidden="false" customHeight="false" outlineLevel="0" collapsed="false">
      <c r="A3099" s="1" t="n">
        <v>145</v>
      </c>
      <c r="B3099" s="1" t="n">
        <v>93</v>
      </c>
      <c r="C3099" s="1" t="n">
        <v>238</v>
      </c>
      <c r="D3099" s="1" t="s">
        <v>1062</v>
      </c>
      <c r="E3099" s="1" t="n">
        <v>47454.656</v>
      </c>
      <c r="F3099" s="1" t="n">
        <v>1.138</v>
      </c>
      <c r="G3099" s="1" t="n">
        <f aca="false">IF(ISNUMBER(E3099),E3099,VALUE(SUBSTITUTE(E3099,"#",".01")))</f>
        <v>47454.656</v>
      </c>
    </row>
    <row r="3100" customFormat="false" ht="12.75" hidden="false" customHeight="false" outlineLevel="0" collapsed="false">
      <c r="A3100" s="1" t="n">
        <v>144</v>
      </c>
      <c r="B3100" s="1" t="n">
        <v>94</v>
      </c>
      <c r="C3100" s="1" t="n">
        <v>238</v>
      </c>
      <c r="D3100" s="1" t="s">
        <v>1089</v>
      </c>
      <c r="E3100" s="1" t="n">
        <v>46163.213</v>
      </c>
      <c r="F3100" s="1" t="n">
        <v>1.139</v>
      </c>
      <c r="G3100" s="1" t="n">
        <f aca="false">IF(ISNUMBER(E3100),E3100,VALUE(SUBSTITUTE(E3100,"#",".01")))</f>
        <v>46163.213</v>
      </c>
    </row>
    <row r="3101" customFormat="false" ht="12.75" hidden="false" customHeight="false" outlineLevel="0" collapsed="false">
      <c r="A3101" s="1" t="n">
        <v>143</v>
      </c>
      <c r="B3101" s="1" t="n">
        <v>95</v>
      </c>
      <c r="C3101" s="1" t="n">
        <v>238</v>
      </c>
      <c r="D3101" s="1" t="s">
        <v>1093</v>
      </c>
      <c r="E3101" s="1" t="n">
        <v>48421.487</v>
      </c>
      <c r="F3101" s="1" t="n">
        <v>50.7</v>
      </c>
      <c r="G3101" s="1" t="n">
        <f aca="false">IF(ISNUMBER(E3101),E3101,VALUE(SUBSTITUTE(E3101,"#",".01")))</f>
        <v>48421.487</v>
      </c>
    </row>
    <row r="3102" customFormat="false" ht="12.75" hidden="false" customHeight="false" outlineLevel="0" collapsed="false">
      <c r="A3102" s="1" t="n">
        <v>142</v>
      </c>
      <c r="B3102" s="1" t="n">
        <v>96</v>
      </c>
      <c r="C3102" s="1" t="n">
        <v>238</v>
      </c>
      <c r="D3102" s="1" t="s">
        <v>1099</v>
      </c>
      <c r="E3102" s="1" t="n">
        <v>49445.188</v>
      </c>
      <c r="F3102" s="1" t="n">
        <v>12.234</v>
      </c>
      <c r="G3102" s="1" t="n">
        <f aca="false">IF(ISNUMBER(E3102),E3102,VALUE(SUBSTITUTE(E3102,"#",".01")))</f>
        <v>49445.188</v>
      </c>
    </row>
    <row r="3103" customFormat="false" ht="12.75" hidden="false" customHeight="false" outlineLevel="0" collapsed="false">
      <c r="A3103" s="1" t="n">
        <v>141</v>
      </c>
      <c r="B3103" s="1" t="n">
        <v>97</v>
      </c>
      <c r="C3103" s="1" t="n">
        <v>238</v>
      </c>
      <c r="D3103" s="1" t="s">
        <v>1105</v>
      </c>
      <c r="E3103" s="1" t="s">
        <v>1126</v>
      </c>
      <c r="F3103" s="1" t="s">
        <v>1127</v>
      </c>
      <c r="G3103" s="1" t="n">
        <f aca="false">IF(ISNUMBER(E3103),E3103,VALUE(SUBSTITUTE(E3103,"#",".01")))</f>
        <v>54216.01</v>
      </c>
    </row>
    <row r="3104" customFormat="false" ht="12.75" hidden="false" customHeight="false" outlineLevel="0" collapsed="false">
      <c r="A3104" s="1" t="n">
        <v>140</v>
      </c>
      <c r="B3104" s="1" t="n">
        <v>98</v>
      </c>
      <c r="C3104" s="1" t="n">
        <v>238</v>
      </c>
      <c r="D3104" s="1" t="s">
        <v>1123</v>
      </c>
      <c r="E3104" s="1" t="s">
        <v>1128</v>
      </c>
      <c r="F3104" s="1" t="s">
        <v>360</v>
      </c>
      <c r="G3104" s="1" t="n">
        <f aca="false">IF(ISNUMBER(E3104),E3104,VALUE(SUBSTITUTE(E3104,"#",".01")))</f>
        <v>57278.01</v>
      </c>
    </row>
    <row r="3105" customFormat="false" ht="12.75" hidden="false" customHeight="false" outlineLevel="0" collapsed="false">
      <c r="A3105" s="1" t="n">
        <v>149</v>
      </c>
      <c r="B3105" s="1" t="n">
        <v>90</v>
      </c>
      <c r="C3105" s="1" t="n">
        <v>239</v>
      </c>
      <c r="D3105" s="1" t="s">
        <v>1034</v>
      </c>
      <c r="E3105" s="1" t="s">
        <v>1129</v>
      </c>
      <c r="F3105" s="1" t="s">
        <v>378</v>
      </c>
      <c r="G3105" s="1" t="n">
        <f aca="false">IF(ISNUMBER(E3105),E3105,VALUE(SUBSTITUTE(E3105,"#",".01")))</f>
        <v>56450.01</v>
      </c>
    </row>
    <row r="3106" customFormat="false" ht="12.75" hidden="false" customHeight="false" outlineLevel="0" collapsed="false">
      <c r="A3106" s="1" t="n">
        <v>148</v>
      </c>
      <c r="B3106" s="1" t="n">
        <v>91</v>
      </c>
      <c r="C3106" s="1" t="n">
        <v>239</v>
      </c>
      <c r="D3106" s="1" t="s">
        <v>1041</v>
      </c>
      <c r="E3106" s="1" t="s">
        <v>1130</v>
      </c>
      <c r="F3106" s="1" t="s">
        <v>333</v>
      </c>
      <c r="G3106" s="1" t="n">
        <f aca="false">IF(ISNUMBER(E3106),E3106,VALUE(SUBSTITUTE(E3106,"#",".01")))</f>
        <v>53337.01</v>
      </c>
    </row>
    <row r="3107" customFormat="false" ht="12.75" hidden="false" customHeight="false" outlineLevel="0" collapsed="false">
      <c r="A3107" s="1" t="n">
        <v>147</v>
      </c>
      <c r="B3107" s="1" t="n">
        <v>92</v>
      </c>
      <c r="C3107" s="1" t="n">
        <v>239</v>
      </c>
      <c r="D3107" s="1" t="s">
        <v>1050</v>
      </c>
      <c r="E3107" s="1" t="n">
        <v>50572.718</v>
      </c>
      <c r="F3107" s="1" t="n">
        <v>1.503</v>
      </c>
      <c r="G3107" s="1" t="n">
        <f aca="false">IF(ISNUMBER(E3107),E3107,VALUE(SUBSTITUTE(E3107,"#",".01")))</f>
        <v>50572.718</v>
      </c>
    </row>
    <row r="3108" customFormat="false" ht="12.75" hidden="false" customHeight="false" outlineLevel="0" collapsed="false">
      <c r="A3108" s="1" t="n">
        <v>146</v>
      </c>
      <c r="B3108" s="1" t="n">
        <v>93</v>
      </c>
      <c r="C3108" s="1" t="n">
        <v>239</v>
      </c>
      <c r="D3108" s="1" t="s">
        <v>1062</v>
      </c>
      <c r="E3108" s="1" t="n">
        <v>49311.057</v>
      </c>
      <c r="F3108" s="1" t="n">
        <v>1.311</v>
      </c>
      <c r="G3108" s="1" t="n">
        <f aca="false">IF(ISNUMBER(E3108),E3108,VALUE(SUBSTITUTE(E3108,"#",".01")))</f>
        <v>49311.057</v>
      </c>
    </row>
    <row r="3109" customFormat="false" ht="12.75" hidden="false" customHeight="false" outlineLevel="0" collapsed="false">
      <c r="A3109" s="1" t="n">
        <v>145</v>
      </c>
      <c r="B3109" s="1" t="n">
        <v>94</v>
      </c>
      <c r="C3109" s="1" t="n">
        <v>239</v>
      </c>
      <c r="D3109" s="1" t="s">
        <v>1089</v>
      </c>
      <c r="E3109" s="1" t="n">
        <v>48588.282</v>
      </c>
      <c r="F3109" s="1" t="n">
        <v>1.113</v>
      </c>
      <c r="G3109" s="1" t="n">
        <f aca="false">IF(ISNUMBER(E3109),E3109,VALUE(SUBSTITUTE(E3109,"#",".01")))</f>
        <v>48588.282</v>
      </c>
    </row>
    <row r="3110" customFormat="false" ht="12.75" hidden="false" customHeight="false" outlineLevel="0" collapsed="false">
      <c r="A3110" s="1" t="n">
        <v>144</v>
      </c>
      <c r="B3110" s="1" t="n">
        <v>95</v>
      </c>
      <c r="C3110" s="1" t="n">
        <v>239</v>
      </c>
      <c r="D3110" s="1" t="s">
        <v>1093</v>
      </c>
      <c r="E3110" s="1" t="n">
        <v>49390.424</v>
      </c>
      <c r="F3110" s="1" t="n">
        <v>1.982</v>
      </c>
      <c r="G3110" s="1" t="n">
        <f aca="false">IF(ISNUMBER(E3110),E3110,VALUE(SUBSTITUTE(E3110,"#",".01")))</f>
        <v>49390.424</v>
      </c>
    </row>
    <row r="3111" customFormat="false" ht="12.75" hidden="false" customHeight="false" outlineLevel="0" collapsed="false">
      <c r="A3111" s="1" t="n">
        <v>143</v>
      </c>
      <c r="B3111" s="1" t="n">
        <v>96</v>
      </c>
      <c r="C3111" s="1" t="n">
        <v>239</v>
      </c>
      <c r="D3111" s="1" t="s">
        <v>1099</v>
      </c>
      <c r="E3111" s="1" t="n">
        <v>51147.025</v>
      </c>
      <c r="F3111" s="1" t="n">
        <v>54.047</v>
      </c>
      <c r="G3111" s="1" t="n">
        <f aca="false">IF(ISNUMBER(E3111),E3111,VALUE(SUBSTITUTE(E3111,"#",".01")))</f>
        <v>51147.025</v>
      </c>
    </row>
    <row r="3112" customFormat="false" ht="12.75" hidden="false" customHeight="false" outlineLevel="0" collapsed="false">
      <c r="A3112" s="1" t="n">
        <v>142</v>
      </c>
      <c r="B3112" s="1" t="n">
        <v>97</v>
      </c>
      <c r="C3112" s="1" t="n">
        <v>239</v>
      </c>
      <c r="D3112" s="1" t="s">
        <v>1105</v>
      </c>
      <c r="E3112" s="1" t="s">
        <v>1131</v>
      </c>
      <c r="F3112" s="1" t="s">
        <v>1132</v>
      </c>
      <c r="G3112" s="1" t="n">
        <f aca="false">IF(ISNUMBER(E3112),E3112,VALUE(SUBSTITUTE(E3112,"#",".01")))</f>
        <v>54250.01</v>
      </c>
    </row>
    <row r="3113" customFormat="false" ht="12.75" hidden="false" customHeight="false" outlineLevel="0" collapsed="false">
      <c r="A3113" s="1" t="n">
        <v>141</v>
      </c>
      <c r="B3113" s="1" t="n">
        <v>98</v>
      </c>
      <c r="C3113" s="1" t="n">
        <v>239</v>
      </c>
      <c r="D3113" s="1" t="s">
        <v>1123</v>
      </c>
      <c r="E3113" s="1" t="s">
        <v>1133</v>
      </c>
      <c r="F3113" s="1" t="s">
        <v>1134</v>
      </c>
      <c r="G3113" s="1" t="n">
        <f aca="false">IF(ISNUMBER(E3113),E3113,VALUE(SUBSTITUTE(E3113,"#",".01")))</f>
        <v>58269.01</v>
      </c>
    </row>
    <row r="3114" customFormat="false" ht="12.75" hidden="false" customHeight="false" outlineLevel="0" collapsed="false">
      <c r="A3114" s="1" t="n">
        <v>140</v>
      </c>
      <c r="B3114" s="1" t="n">
        <v>99</v>
      </c>
      <c r="C3114" s="1" t="n">
        <v>239</v>
      </c>
      <c r="D3114" s="1" t="s">
        <v>1135</v>
      </c>
      <c r="E3114" s="1" t="s">
        <v>1136</v>
      </c>
      <c r="F3114" s="1" t="s">
        <v>360</v>
      </c>
      <c r="G3114" s="1" t="n">
        <f aca="false">IF(ISNUMBER(E3114),E3114,VALUE(SUBSTITUTE(E3114,"#",".01")))</f>
        <v>63556.01</v>
      </c>
    </row>
    <row r="3115" customFormat="false" ht="12.75" hidden="false" customHeight="false" outlineLevel="0" collapsed="false">
      <c r="A3115" s="1" t="n">
        <v>149</v>
      </c>
      <c r="B3115" s="1" t="n">
        <v>91</v>
      </c>
      <c r="C3115" s="1" t="n">
        <v>240</v>
      </c>
      <c r="D3115" s="1" t="s">
        <v>1041</v>
      </c>
      <c r="E3115" s="1" t="s">
        <v>1137</v>
      </c>
      <c r="F3115" s="1" t="s">
        <v>349</v>
      </c>
      <c r="G3115" s="1" t="n">
        <f aca="false">IF(ISNUMBER(E3115),E3115,VALUE(SUBSTITUTE(E3115,"#",".01")))</f>
        <v>56910.01</v>
      </c>
    </row>
    <row r="3116" customFormat="false" ht="12.75" hidden="false" customHeight="false" outlineLevel="0" collapsed="false">
      <c r="A3116" s="1" t="n">
        <v>148</v>
      </c>
      <c r="B3116" s="1" t="n">
        <v>92</v>
      </c>
      <c r="C3116" s="1" t="n">
        <v>240</v>
      </c>
      <c r="D3116" s="1" t="s">
        <v>1050</v>
      </c>
      <c r="E3116" s="1" t="n">
        <v>52715.505</v>
      </c>
      <c r="F3116" s="1" t="n">
        <v>2.553</v>
      </c>
      <c r="G3116" s="1" t="n">
        <f aca="false">IF(ISNUMBER(E3116),E3116,VALUE(SUBSTITUTE(E3116,"#",".01")))</f>
        <v>52715.505</v>
      </c>
    </row>
    <row r="3117" customFormat="false" ht="12.75" hidden="false" customHeight="false" outlineLevel="0" collapsed="false">
      <c r="A3117" s="1" t="n">
        <v>147</v>
      </c>
      <c r="B3117" s="1" t="n">
        <v>93</v>
      </c>
      <c r="C3117" s="1" t="n">
        <v>240</v>
      </c>
      <c r="D3117" s="1" t="s">
        <v>1062</v>
      </c>
      <c r="E3117" s="1" t="n">
        <v>52316.272</v>
      </c>
      <c r="F3117" s="1" t="n">
        <v>17.032</v>
      </c>
      <c r="G3117" s="1" t="n">
        <f aca="false">IF(ISNUMBER(E3117),E3117,VALUE(SUBSTITUTE(E3117,"#",".01")))</f>
        <v>52316.272</v>
      </c>
    </row>
    <row r="3118" customFormat="false" ht="12.75" hidden="false" customHeight="false" outlineLevel="0" collapsed="false">
      <c r="A3118" s="1" t="n">
        <v>146</v>
      </c>
      <c r="B3118" s="1" t="n">
        <v>94</v>
      </c>
      <c r="C3118" s="1" t="n">
        <v>240</v>
      </c>
      <c r="D3118" s="1" t="s">
        <v>1089</v>
      </c>
      <c r="E3118" s="1" t="n">
        <v>50125.38</v>
      </c>
      <c r="F3118" s="1" t="n">
        <v>1.106</v>
      </c>
      <c r="G3118" s="1" t="n">
        <f aca="false">IF(ISNUMBER(E3118),E3118,VALUE(SUBSTITUTE(E3118,"#",".01")))</f>
        <v>50125.38</v>
      </c>
    </row>
    <row r="3119" customFormat="false" ht="12.75" hidden="false" customHeight="false" outlineLevel="0" collapsed="false">
      <c r="A3119" s="1" t="n">
        <v>145</v>
      </c>
      <c r="B3119" s="1" t="n">
        <v>95</v>
      </c>
      <c r="C3119" s="1" t="n">
        <v>240</v>
      </c>
      <c r="D3119" s="1" t="s">
        <v>1093</v>
      </c>
      <c r="E3119" s="1" t="n">
        <v>51510.169</v>
      </c>
      <c r="F3119" s="1" t="n">
        <v>13.832</v>
      </c>
      <c r="G3119" s="1" t="n">
        <f aca="false">IF(ISNUMBER(E3119),E3119,VALUE(SUBSTITUTE(E3119,"#",".01")))</f>
        <v>51510.169</v>
      </c>
    </row>
    <row r="3120" customFormat="false" ht="12.75" hidden="false" customHeight="false" outlineLevel="0" collapsed="false">
      <c r="A3120" s="1" t="n">
        <v>144</v>
      </c>
      <c r="B3120" s="1" t="n">
        <v>96</v>
      </c>
      <c r="C3120" s="1" t="n">
        <v>240</v>
      </c>
      <c r="D3120" s="1" t="s">
        <v>1099</v>
      </c>
      <c r="E3120" s="1" t="n">
        <v>51724.306</v>
      </c>
      <c r="F3120" s="1" t="n">
        <v>1.906</v>
      </c>
      <c r="G3120" s="1" t="n">
        <f aca="false">IF(ISNUMBER(E3120),E3120,VALUE(SUBSTITUTE(E3120,"#",".01")))</f>
        <v>51724.306</v>
      </c>
    </row>
    <row r="3121" customFormat="false" ht="12.75" hidden="false" customHeight="false" outlineLevel="0" collapsed="false">
      <c r="A3121" s="1" t="n">
        <v>143</v>
      </c>
      <c r="B3121" s="1" t="n">
        <v>97</v>
      </c>
      <c r="C3121" s="1" t="n">
        <v>240</v>
      </c>
      <c r="D3121" s="1" t="s">
        <v>1105</v>
      </c>
      <c r="E3121" s="1" t="s">
        <v>1138</v>
      </c>
      <c r="F3121" s="1" t="s">
        <v>1139</v>
      </c>
      <c r="G3121" s="1" t="n">
        <f aca="false">IF(ISNUMBER(E3121),E3121,VALUE(SUBSTITUTE(E3121,"#",".01")))</f>
        <v>55664.01</v>
      </c>
    </row>
    <row r="3122" customFormat="false" ht="12.75" hidden="false" customHeight="false" outlineLevel="0" collapsed="false">
      <c r="A3122" s="1" t="n">
        <v>142</v>
      </c>
      <c r="B3122" s="1" t="n">
        <v>98</v>
      </c>
      <c r="C3122" s="1" t="n">
        <v>240</v>
      </c>
      <c r="D3122" s="1" t="s">
        <v>1123</v>
      </c>
      <c r="E3122" s="1" t="n">
        <v>57990.944</v>
      </c>
      <c r="F3122" s="1" t="n">
        <v>18.7</v>
      </c>
      <c r="G3122" s="1" t="n">
        <f aca="false">IF(ISNUMBER(E3122),E3122,VALUE(SUBSTITUTE(E3122,"#",".01")))</f>
        <v>57990.944</v>
      </c>
    </row>
    <row r="3123" customFormat="false" ht="12.75" hidden="false" customHeight="false" outlineLevel="0" collapsed="false">
      <c r="A3123" s="1" t="n">
        <v>141</v>
      </c>
      <c r="B3123" s="1" t="n">
        <v>99</v>
      </c>
      <c r="C3123" s="1" t="n">
        <v>240</v>
      </c>
      <c r="D3123" s="1" t="s">
        <v>1135</v>
      </c>
      <c r="E3123" s="1" t="s">
        <v>1140</v>
      </c>
      <c r="F3123" s="1" t="s">
        <v>320</v>
      </c>
      <c r="G3123" s="1" t="n">
        <f aca="false">IF(ISNUMBER(E3123),E3123,VALUE(SUBSTITUTE(E3123,"#",".01")))</f>
        <v>64199.01</v>
      </c>
    </row>
    <row r="3124" customFormat="false" ht="12.75" hidden="false" customHeight="false" outlineLevel="0" collapsed="false">
      <c r="A3124" s="1" t="n">
        <v>150</v>
      </c>
      <c r="B3124" s="1" t="n">
        <v>91</v>
      </c>
      <c r="C3124" s="1" t="n">
        <v>241</v>
      </c>
      <c r="D3124" s="1" t="s">
        <v>1041</v>
      </c>
      <c r="E3124" s="1" t="s">
        <v>1141</v>
      </c>
      <c r="F3124" s="1" t="s">
        <v>371</v>
      </c>
      <c r="G3124" s="1" t="n">
        <f aca="false">IF(ISNUMBER(E3124),E3124,VALUE(SUBSTITUTE(E3124,"#",".01")))</f>
        <v>59640.01</v>
      </c>
    </row>
    <row r="3125" customFormat="false" ht="12.75" hidden="false" customHeight="false" outlineLevel="0" collapsed="false">
      <c r="A3125" s="1" t="n">
        <v>149</v>
      </c>
      <c r="B3125" s="1" t="n">
        <v>92</v>
      </c>
      <c r="C3125" s="1" t="n">
        <v>241</v>
      </c>
      <c r="D3125" s="1" t="s">
        <v>1050</v>
      </c>
      <c r="E3125" s="1" t="s">
        <v>1142</v>
      </c>
      <c r="F3125" s="1" t="s">
        <v>333</v>
      </c>
      <c r="G3125" s="1" t="n">
        <f aca="false">IF(ISNUMBER(E3125),E3125,VALUE(SUBSTITUTE(E3125,"#",".01")))</f>
        <v>56197.01</v>
      </c>
    </row>
    <row r="3126" customFormat="false" ht="12.75" hidden="false" customHeight="false" outlineLevel="0" collapsed="false">
      <c r="A3126" s="1" t="n">
        <v>148</v>
      </c>
      <c r="B3126" s="1" t="n">
        <v>93</v>
      </c>
      <c r="C3126" s="1" t="n">
        <v>241</v>
      </c>
      <c r="D3126" s="1" t="s">
        <v>1062</v>
      </c>
      <c r="E3126" s="1" t="n">
        <v>54260.175</v>
      </c>
      <c r="F3126" s="1" t="n">
        <v>70.719</v>
      </c>
      <c r="G3126" s="1" t="n">
        <f aca="false">IF(ISNUMBER(E3126),E3126,VALUE(SUBSTITUTE(E3126,"#",".01")))</f>
        <v>54260.175</v>
      </c>
    </row>
    <row r="3127" customFormat="false" ht="12.75" hidden="false" customHeight="false" outlineLevel="0" collapsed="false">
      <c r="A3127" s="1" t="n">
        <v>147</v>
      </c>
      <c r="B3127" s="1" t="n">
        <v>94</v>
      </c>
      <c r="C3127" s="1" t="n">
        <v>241</v>
      </c>
      <c r="D3127" s="1" t="s">
        <v>1089</v>
      </c>
      <c r="E3127" s="1" t="n">
        <v>52955.175</v>
      </c>
      <c r="F3127" s="1" t="n">
        <v>1.106</v>
      </c>
      <c r="G3127" s="1" t="n">
        <f aca="false">IF(ISNUMBER(E3127),E3127,VALUE(SUBSTITUTE(E3127,"#",".01")))</f>
        <v>52955.175</v>
      </c>
    </row>
    <row r="3128" customFormat="false" ht="12.75" hidden="false" customHeight="false" outlineLevel="0" collapsed="false">
      <c r="A3128" s="1" t="n">
        <v>146</v>
      </c>
      <c r="B3128" s="1" t="n">
        <v>95</v>
      </c>
      <c r="C3128" s="1" t="n">
        <v>241</v>
      </c>
      <c r="D3128" s="1" t="s">
        <v>1093</v>
      </c>
      <c r="E3128" s="1" t="n">
        <v>52934.395</v>
      </c>
      <c r="F3128" s="1" t="n">
        <v>1.114</v>
      </c>
      <c r="G3128" s="1" t="n">
        <f aca="false">IF(ISNUMBER(E3128),E3128,VALUE(SUBSTITUTE(E3128,"#",".01")))</f>
        <v>52934.395</v>
      </c>
    </row>
    <row r="3129" customFormat="false" ht="12.75" hidden="false" customHeight="false" outlineLevel="0" collapsed="false">
      <c r="A3129" s="1" t="n">
        <v>145</v>
      </c>
      <c r="B3129" s="1" t="n">
        <v>96</v>
      </c>
      <c r="C3129" s="1" t="n">
        <v>241</v>
      </c>
      <c r="D3129" s="1" t="s">
        <v>1099</v>
      </c>
      <c r="E3129" s="1" t="n">
        <v>53701.83</v>
      </c>
      <c r="F3129" s="1" t="n">
        <v>1.608</v>
      </c>
      <c r="G3129" s="1" t="n">
        <f aca="false">IF(ISNUMBER(E3129),E3129,VALUE(SUBSTITUTE(E3129,"#",".01")))</f>
        <v>53701.83</v>
      </c>
    </row>
    <row r="3130" customFormat="false" ht="12.75" hidden="false" customHeight="false" outlineLevel="0" collapsed="false">
      <c r="A3130" s="1" t="n">
        <v>144</v>
      </c>
      <c r="B3130" s="1" t="n">
        <v>97</v>
      </c>
      <c r="C3130" s="1" t="n">
        <v>241</v>
      </c>
      <c r="D3130" s="1" t="s">
        <v>1105</v>
      </c>
      <c r="E3130" s="1" t="s">
        <v>1143</v>
      </c>
      <c r="F3130" s="1" t="s">
        <v>349</v>
      </c>
      <c r="G3130" s="1" t="n">
        <f aca="false">IF(ISNUMBER(E3130),E3130,VALUE(SUBSTITUTE(E3130,"#",".01")))</f>
        <v>56032.01</v>
      </c>
    </row>
    <row r="3131" customFormat="false" ht="12.75" hidden="false" customHeight="false" outlineLevel="0" collapsed="false">
      <c r="A3131" s="1" t="n">
        <v>143</v>
      </c>
      <c r="B3131" s="1" t="n">
        <v>98</v>
      </c>
      <c r="C3131" s="1" t="n">
        <v>241</v>
      </c>
      <c r="D3131" s="1" t="s">
        <v>1123</v>
      </c>
      <c r="E3131" s="1" t="s">
        <v>1144</v>
      </c>
      <c r="F3131" s="1" t="s">
        <v>1145</v>
      </c>
      <c r="G3131" s="1" t="n">
        <f aca="false">IF(ISNUMBER(E3131),E3131,VALUE(SUBSTITUTE(E3131,"#",".01")))</f>
        <v>59327.01</v>
      </c>
    </row>
    <row r="3132" customFormat="false" ht="12.75" hidden="false" customHeight="false" outlineLevel="0" collapsed="false">
      <c r="A3132" s="1" t="n">
        <v>142</v>
      </c>
      <c r="B3132" s="1" t="n">
        <v>99</v>
      </c>
      <c r="C3132" s="1" t="n">
        <v>241</v>
      </c>
      <c r="D3132" s="1" t="s">
        <v>1135</v>
      </c>
      <c r="E3132" s="1" t="s">
        <v>1146</v>
      </c>
      <c r="F3132" s="1" t="s">
        <v>1147</v>
      </c>
      <c r="G3132" s="1" t="n">
        <f aca="false">IF(ISNUMBER(E3132),E3132,VALUE(SUBSTITUTE(E3132,"#",".01")))</f>
        <v>63863.01</v>
      </c>
    </row>
    <row r="3133" customFormat="false" ht="12.75" hidden="false" customHeight="false" outlineLevel="0" collapsed="false">
      <c r="A3133" s="1" t="n">
        <v>141</v>
      </c>
      <c r="B3133" s="1" t="n">
        <v>100</v>
      </c>
      <c r="C3133" s="1" t="n">
        <v>241</v>
      </c>
      <c r="D3133" s="1" t="s">
        <v>1148</v>
      </c>
      <c r="E3133" s="1" t="s">
        <v>1149</v>
      </c>
      <c r="F3133" s="1" t="s">
        <v>360</v>
      </c>
      <c r="G3133" s="1" t="n">
        <f aca="false">IF(ISNUMBER(E3133),E3133,VALUE(SUBSTITUTE(E3133,"#",".01")))</f>
        <v>69126.01</v>
      </c>
    </row>
    <row r="3134" customFormat="false" ht="12.75" hidden="false" customHeight="false" outlineLevel="0" collapsed="false">
      <c r="A3134" s="1" t="n">
        <v>150</v>
      </c>
      <c r="B3134" s="1" t="n">
        <v>92</v>
      </c>
      <c r="C3134" s="1" t="n">
        <v>242</v>
      </c>
      <c r="D3134" s="1" t="s">
        <v>1050</v>
      </c>
      <c r="E3134" s="1" t="s">
        <v>1150</v>
      </c>
      <c r="F3134" s="1" t="s">
        <v>1114</v>
      </c>
      <c r="G3134" s="1" t="n">
        <f aca="false">IF(ISNUMBER(E3134),E3134,VALUE(SUBSTITUTE(E3134,"#",".01")))</f>
        <v>58620.01</v>
      </c>
    </row>
    <row r="3135" customFormat="false" ht="12.75" hidden="false" customHeight="false" outlineLevel="0" collapsed="false">
      <c r="A3135" s="1" t="n">
        <v>149</v>
      </c>
      <c r="B3135" s="1" t="n">
        <v>93</v>
      </c>
      <c r="C3135" s="1" t="n">
        <v>242</v>
      </c>
      <c r="D3135" s="1" t="s">
        <v>1062</v>
      </c>
      <c r="E3135" s="1" t="n">
        <v>57416.932</v>
      </c>
      <c r="F3135" s="1" t="n">
        <v>200.004</v>
      </c>
      <c r="G3135" s="1" t="n">
        <f aca="false">IF(ISNUMBER(E3135),E3135,VALUE(SUBSTITUTE(E3135,"#",".01")))</f>
        <v>57416.932</v>
      </c>
    </row>
    <row r="3136" customFormat="false" ht="12.75" hidden="false" customHeight="false" outlineLevel="0" collapsed="false">
      <c r="A3136" s="1" t="n">
        <v>148</v>
      </c>
      <c r="B3136" s="1" t="n">
        <v>94</v>
      </c>
      <c r="C3136" s="1" t="n">
        <v>242</v>
      </c>
      <c r="D3136" s="1" t="s">
        <v>1089</v>
      </c>
      <c r="E3136" s="1" t="n">
        <v>54716.932</v>
      </c>
      <c r="F3136" s="1" t="n">
        <v>1.245</v>
      </c>
      <c r="G3136" s="1" t="n">
        <f aca="false">IF(ISNUMBER(E3136),E3136,VALUE(SUBSTITUTE(E3136,"#",".01")))</f>
        <v>54716.932</v>
      </c>
    </row>
    <row r="3137" customFormat="false" ht="12.75" hidden="false" customHeight="false" outlineLevel="0" collapsed="false">
      <c r="A3137" s="1" t="n">
        <v>147</v>
      </c>
      <c r="B3137" s="1" t="n">
        <v>95</v>
      </c>
      <c r="C3137" s="1" t="n">
        <v>242</v>
      </c>
      <c r="D3137" s="1" t="s">
        <v>1093</v>
      </c>
      <c r="E3137" s="1" t="n">
        <v>55468.072</v>
      </c>
      <c r="F3137" s="1" t="n">
        <v>1.119</v>
      </c>
      <c r="G3137" s="1" t="n">
        <f aca="false">IF(ISNUMBER(E3137),E3137,VALUE(SUBSTITUTE(E3137,"#",".01")))</f>
        <v>55468.072</v>
      </c>
    </row>
    <row r="3138" customFormat="false" ht="12.75" hidden="false" customHeight="false" outlineLevel="0" collapsed="false">
      <c r="A3138" s="1" t="n">
        <v>146</v>
      </c>
      <c r="B3138" s="1" t="n">
        <v>96</v>
      </c>
      <c r="C3138" s="1" t="n">
        <v>242</v>
      </c>
      <c r="D3138" s="1" t="s">
        <v>1099</v>
      </c>
      <c r="E3138" s="1" t="n">
        <v>54803.764</v>
      </c>
      <c r="F3138" s="1" t="n">
        <v>1.142</v>
      </c>
      <c r="G3138" s="1" t="n">
        <f aca="false">IF(ISNUMBER(E3138),E3138,VALUE(SUBSTITUTE(E3138,"#",".01")))</f>
        <v>54803.764</v>
      </c>
    </row>
    <row r="3139" customFormat="false" ht="12.75" hidden="false" customHeight="false" outlineLevel="0" collapsed="false">
      <c r="A3139" s="1" t="n">
        <v>145</v>
      </c>
      <c r="B3139" s="1" t="n">
        <v>97</v>
      </c>
      <c r="C3139" s="1" t="n">
        <v>242</v>
      </c>
      <c r="D3139" s="1" t="s">
        <v>1105</v>
      </c>
      <c r="E3139" s="1" t="s">
        <v>1151</v>
      </c>
      <c r="F3139" s="1" t="s">
        <v>349</v>
      </c>
      <c r="G3139" s="1" t="n">
        <f aca="false">IF(ISNUMBER(E3139),E3139,VALUE(SUBSTITUTE(E3139,"#",".01")))</f>
        <v>57734.01</v>
      </c>
    </row>
    <row r="3140" customFormat="false" ht="12.75" hidden="false" customHeight="false" outlineLevel="0" collapsed="false">
      <c r="A3140" s="1" t="n">
        <v>144</v>
      </c>
      <c r="B3140" s="1" t="n">
        <v>98</v>
      </c>
      <c r="C3140" s="1" t="n">
        <v>242</v>
      </c>
      <c r="D3140" s="1" t="s">
        <v>1123</v>
      </c>
      <c r="E3140" s="1" t="n">
        <v>59386.966</v>
      </c>
      <c r="F3140" s="1" t="n">
        <v>12.892</v>
      </c>
      <c r="G3140" s="1" t="n">
        <f aca="false">IF(ISNUMBER(E3140),E3140,VALUE(SUBSTITUTE(E3140,"#",".01")))</f>
        <v>59386.966</v>
      </c>
    </row>
    <row r="3141" customFormat="false" ht="12.75" hidden="false" customHeight="false" outlineLevel="0" collapsed="false">
      <c r="A3141" s="1" t="n">
        <v>143</v>
      </c>
      <c r="B3141" s="1" t="n">
        <v>99</v>
      </c>
      <c r="C3141" s="1" t="n">
        <v>242</v>
      </c>
      <c r="D3141" s="1" t="s">
        <v>1135</v>
      </c>
      <c r="E3141" s="1" t="s">
        <v>1152</v>
      </c>
      <c r="F3141" s="1" t="s">
        <v>1153</v>
      </c>
      <c r="G3141" s="1" t="n">
        <f aca="false">IF(ISNUMBER(E3141),E3141,VALUE(SUBSTITUTE(E3141,"#",".01")))</f>
        <v>64801.01</v>
      </c>
    </row>
    <row r="3142" customFormat="false" ht="12.75" hidden="false" customHeight="false" outlineLevel="0" collapsed="false">
      <c r="A3142" s="1" t="n">
        <v>142</v>
      </c>
      <c r="B3142" s="1" t="n">
        <v>100</v>
      </c>
      <c r="C3142" s="1" t="n">
        <v>242</v>
      </c>
      <c r="D3142" s="1" t="s">
        <v>1148</v>
      </c>
      <c r="E3142" s="1" t="s">
        <v>1154</v>
      </c>
      <c r="F3142" s="1" t="s">
        <v>320</v>
      </c>
      <c r="G3142" s="1" t="n">
        <f aca="false">IF(ISNUMBER(E3142),E3142,VALUE(SUBSTITUTE(E3142,"#",".01")))</f>
        <v>68400.01</v>
      </c>
    </row>
    <row r="3143" customFormat="false" ht="12.75" hidden="false" customHeight="false" outlineLevel="0" collapsed="false">
      <c r="A3143" s="1" t="n">
        <v>151</v>
      </c>
      <c r="B3143" s="1" t="n">
        <v>92</v>
      </c>
      <c r="C3143" s="1" t="n">
        <v>243</v>
      </c>
      <c r="D3143" s="1" t="s">
        <v>1050</v>
      </c>
      <c r="E3143" s="1" t="s">
        <v>1155</v>
      </c>
      <c r="F3143" s="1" t="s">
        <v>371</v>
      </c>
      <c r="G3143" s="1" t="n">
        <f aca="false">IF(ISNUMBER(E3143),E3143,VALUE(SUBSTITUTE(E3143,"#",".01")))</f>
        <v>62360.01</v>
      </c>
    </row>
    <row r="3144" customFormat="false" ht="12.75" hidden="false" customHeight="false" outlineLevel="0" collapsed="false">
      <c r="A3144" s="1" t="n">
        <v>150</v>
      </c>
      <c r="B3144" s="1" t="n">
        <v>93</v>
      </c>
      <c r="C3144" s="1" t="n">
        <v>243</v>
      </c>
      <c r="D3144" s="1" t="s">
        <v>1062</v>
      </c>
      <c r="E3144" s="1" t="s">
        <v>1156</v>
      </c>
      <c r="F3144" s="1" t="s">
        <v>1157</v>
      </c>
      <c r="G3144" s="1" t="n">
        <f aca="false">IF(ISNUMBER(E3144),E3144,VALUE(SUBSTITUTE(E3144,"#",".01")))</f>
        <v>59876.01</v>
      </c>
    </row>
    <row r="3145" customFormat="false" ht="12.75" hidden="false" customHeight="false" outlineLevel="0" collapsed="false">
      <c r="A3145" s="1" t="n">
        <v>149</v>
      </c>
      <c r="B3145" s="1" t="n">
        <v>94</v>
      </c>
      <c r="C3145" s="1" t="n">
        <v>243</v>
      </c>
      <c r="D3145" s="1" t="s">
        <v>1089</v>
      </c>
      <c r="E3145" s="1" t="n">
        <v>57754.602</v>
      </c>
      <c r="F3145" s="1" t="n">
        <v>2.542</v>
      </c>
      <c r="G3145" s="1" t="n">
        <f aca="false">IF(ISNUMBER(E3145),E3145,VALUE(SUBSTITUTE(E3145,"#",".01")))</f>
        <v>57754.602</v>
      </c>
    </row>
    <row r="3146" customFormat="false" ht="12.75" hidden="false" customHeight="false" outlineLevel="0" collapsed="false">
      <c r="A3146" s="1" t="n">
        <v>148</v>
      </c>
      <c r="B3146" s="1" t="n">
        <v>95</v>
      </c>
      <c r="C3146" s="1" t="n">
        <v>243</v>
      </c>
      <c r="D3146" s="1" t="s">
        <v>1093</v>
      </c>
      <c r="E3146" s="1" t="n">
        <v>57175.046</v>
      </c>
      <c r="F3146" s="1" t="n">
        <v>1.388</v>
      </c>
      <c r="G3146" s="1" t="n">
        <f aca="false">IF(ISNUMBER(E3146),E3146,VALUE(SUBSTITUTE(E3146,"#",".01")))</f>
        <v>57175.046</v>
      </c>
    </row>
    <row r="3147" customFormat="false" ht="12.75" hidden="false" customHeight="false" outlineLevel="0" collapsed="false">
      <c r="A3147" s="1" t="n">
        <v>147</v>
      </c>
      <c r="B3147" s="1" t="n">
        <v>96</v>
      </c>
      <c r="C3147" s="1" t="n">
        <v>243</v>
      </c>
      <c r="D3147" s="1" t="s">
        <v>1099</v>
      </c>
      <c r="E3147" s="1" t="n">
        <v>57181.998</v>
      </c>
      <c r="F3147" s="1" t="n">
        <v>1.496</v>
      </c>
      <c r="G3147" s="1" t="n">
        <f aca="false">IF(ISNUMBER(E3147),E3147,VALUE(SUBSTITUTE(E3147,"#",".01")))</f>
        <v>57181.998</v>
      </c>
    </row>
    <row r="3148" customFormat="false" ht="12.75" hidden="false" customHeight="false" outlineLevel="0" collapsed="false">
      <c r="A3148" s="1" t="n">
        <v>146</v>
      </c>
      <c r="B3148" s="1" t="n">
        <v>97</v>
      </c>
      <c r="C3148" s="1" t="n">
        <v>243</v>
      </c>
      <c r="D3148" s="1" t="s">
        <v>1105</v>
      </c>
      <c r="E3148" s="1" t="n">
        <v>58689.693</v>
      </c>
      <c r="F3148" s="1" t="n">
        <v>4.524</v>
      </c>
      <c r="G3148" s="1" t="n">
        <f aca="false">IF(ISNUMBER(E3148),E3148,VALUE(SUBSTITUTE(E3148,"#",".01")))</f>
        <v>58689.693</v>
      </c>
    </row>
    <row r="3149" customFormat="false" ht="12.75" hidden="false" customHeight="false" outlineLevel="0" collapsed="false">
      <c r="A3149" s="1" t="n">
        <v>145</v>
      </c>
      <c r="B3149" s="1" t="n">
        <v>98</v>
      </c>
      <c r="C3149" s="1" t="n">
        <v>243</v>
      </c>
      <c r="D3149" s="1" t="s">
        <v>1123</v>
      </c>
      <c r="E3149" s="1" t="s">
        <v>1158</v>
      </c>
      <c r="F3149" s="1" t="s">
        <v>898</v>
      </c>
      <c r="G3149" s="1" t="n">
        <f aca="false">IF(ISNUMBER(E3149),E3149,VALUE(SUBSTITUTE(E3149,"#",".01")))</f>
        <v>60990.01</v>
      </c>
    </row>
    <row r="3150" customFormat="false" ht="12.75" hidden="false" customHeight="false" outlineLevel="0" collapsed="false">
      <c r="A3150" s="1" t="n">
        <v>144</v>
      </c>
      <c r="B3150" s="1" t="n">
        <v>99</v>
      </c>
      <c r="C3150" s="1" t="n">
        <v>243</v>
      </c>
      <c r="D3150" s="1" t="s">
        <v>1135</v>
      </c>
      <c r="E3150" s="1" t="s">
        <v>1159</v>
      </c>
      <c r="F3150" s="1" t="s">
        <v>1132</v>
      </c>
      <c r="G3150" s="1" t="n">
        <f aca="false">IF(ISNUMBER(E3150),E3150,VALUE(SUBSTITUTE(E3150,"#",".01")))</f>
        <v>64747.01</v>
      </c>
    </row>
    <row r="3151" customFormat="false" ht="12.75" hidden="false" customHeight="false" outlineLevel="0" collapsed="false">
      <c r="A3151" s="1" t="n">
        <v>143</v>
      </c>
      <c r="B3151" s="1" t="n">
        <v>100</v>
      </c>
      <c r="C3151" s="1" t="n">
        <v>243</v>
      </c>
      <c r="D3151" s="1" t="s">
        <v>1148</v>
      </c>
      <c r="E3151" s="1" t="s">
        <v>1160</v>
      </c>
      <c r="F3151" s="1" t="s">
        <v>1161</v>
      </c>
      <c r="G3151" s="1" t="n">
        <f aca="false">IF(ISNUMBER(E3151),E3151,VALUE(SUBSTITUTE(E3151,"#",".01")))</f>
        <v>69387.01</v>
      </c>
    </row>
    <row r="3152" customFormat="false" ht="12.75" hidden="false" customHeight="false" outlineLevel="0" collapsed="false">
      <c r="A3152" s="1" t="n">
        <v>151</v>
      </c>
      <c r="B3152" s="1" t="n">
        <v>93</v>
      </c>
      <c r="C3152" s="1" t="n">
        <v>244</v>
      </c>
      <c r="D3152" s="1" t="s">
        <v>1062</v>
      </c>
      <c r="E3152" s="1" t="s">
        <v>1162</v>
      </c>
      <c r="F3152" s="1" t="s">
        <v>360</v>
      </c>
      <c r="G3152" s="1" t="n">
        <f aca="false">IF(ISNUMBER(E3152),E3152,VALUE(SUBSTITUTE(E3152,"#",".01")))</f>
        <v>63202.01</v>
      </c>
    </row>
    <row r="3153" customFormat="false" ht="12.75" hidden="false" customHeight="false" outlineLevel="0" collapsed="false">
      <c r="A3153" s="1" t="n">
        <v>150</v>
      </c>
      <c r="B3153" s="1" t="n">
        <v>94</v>
      </c>
      <c r="C3153" s="1" t="n">
        <v>244</v>
      </c>
      <c r="D3153" s="1" t="s">
        <v>1089</v>
      </c>
      <c r="E3153" s="1" t="n">
        <v>59806.028</v>
      </c>
      <c r="F3153" s="1" t="n">
        <v>2.346</v>
      </c>
      <c r="G3153" s="1" t="n">
        <f aca="false">IF(ISNUMBER(E3153),E3153,VALUE(SUBSTITUTE(E3153,"#",".01")))</f>
        <v>59806.028</v>
      </c>
    </row>
    <row r="3154" customFormat="false" ht="12.75" hidden="false" customHeight="false" outlineLevel="0" collapsed="false">
      <c r="A3154" s="1" t="n">
        <v>149</v>
      </c>
      <c r="B3154" s="1" t="n">
        <v>95</v>
      </c>
      <c r="C3154" s="1" t="n">
        <v>244</v>
      </c>
      <c r="D3154" s="1" t="s">
        <v>1093</v>
      </c>
      <c r="E3154" s="1" t="n">
        <v>59879.196</v>
      </c>
      <c r="F3154" s="1" t="n">
        <v>1.492</v>
      </c>
      <c r="G3154" s="1" t="n">
        <f aca="false">IF(ISNUMBER(E3154),E3154,VALUE(SUBSTITUTE(E3154,"#",".01")))</f>
        <v>59879.196</v>
      </c>
    </row>
    <row r="3155" customFormat="false" ht="12.75" hidden="false" customHeight="false" outlineLevel="0" collapsed="false">
      <c r="A3155" s="1" t="n">
        <v>148</v>
      </c>
      <c r="B3155" s="1" t="n">
        <v>96</v>
      </c>
      <c r="C3155" s="1" t="n">
        <v>244</v>
      </c>
      <c r="D3155" s="1" t="s">
        <v>1099</v>
      </c>
      <c r="E3155" s="1" t="n">
        <v>58451.896</v>
      </c>
      <c r="F3155" s="1" t="n">
        <v>1.107</v>
      </c>
      <c r="G3155" s="1" t="n">
        <f aca="false">IF(ISNUMBER(E3155),E3155,VALUE(SUBSTITUTE(E3155,"#",".01")))</f>
        <v>58451.896</v>
      </c>
    </row>
    <row r="3156" customFormat="false" ht="12.75" hidden="false" customHeight="false" outlineLevel="0" collapsed="false">
      <c r="A3156" s="1" t="n">
        <v>147</v>
      </c>
      <c r="B3156" s="1" t="n">
        <v>97</v>
      </c>
      <c r="C3156" s="1" t="n">
        <v>244</v>
      </c>
      <c r="D3156" s="1" t="s">
        <v>1105</v>
      </c>
      <c r="E3156" s="1" t="n">
        <v>60713.885</v>
      </c>
      <c r="F3156" s="1" t="n">
        <v>14.399</v>
      </c>
      <c r="G3156" s="1" t="n">
        <f aca="false">IF(ISNUMBER(E3156),E3156,VALUE(SUBSTITUTE(E3156,"#",".01")))</f>
        <v>60713.885</v>
      </c>
    </row>
    <row r="3157" customFormat="false" ht="12.75" hidden="false" customHeight="false" outlineLevel="0" collapsed="false">
      <c r="A3157" s="1" t="n">
        <v>146</v>
      </c>
      <c r="B3157" s="1" t="n">
        <v>98</v>
      </c>
      <c r="C3157" s="1" t="n">
        <v>244</v>
      </c>
      <c r="D3157" s="1" t="s">
        <v>1123</v>
      </c>
      <c r="E3157" s="1" t="n">
        <v>61478.179</v>
      </c>
      <c r="F3157" s="1" t="n">
        <v>2.618</v>
      </c>
      <c r="G3157" s="1" t="n">
        <f aca="false">IF(ISNUMBER(E3157),E3157,VALUE(SUBSTITUTE(E3157,"#",".01")))</f>
        <v>61478.179</v>
      </c>
    </row>
    <row r="3158" customFormat="false" ht="12.75" hidden="false" customHeight="false" outlineLevel="0" collapsed="false">
      <c r="A3158" s="1" t="n">
        <v>145</v>
      </c>
      <c r="B3158" s="1" t="n">
        <v>99</v>
      </c>
      <c r="C3158" s="1" t="n">
        <v>244</v>
      </c>
      <c r="D3158" s="1" t="s">
        <v>1135</v>
      </c>
      <c r="E3158" s="1" t="s">
        <v>1163</v>
      </c>
      <c r="F3158" s="1" t="s">
        <v>1164</v>
      </c>
      <c r="G3158" s="1" t="n">
        <f aca="false">IF(ISNUMBER(E3158),E3158,VALUE(SUBSTITUTE(E3158,"#",".01")))</f>
        <v>66026.01</v>
      </c>
    </row>
    <row r="3159" customFormat="false" ht="12.75" hidden="false" customHeight="false" outlineLevel="0" collapsed="false">
      <c r="A3159" s="1" t="n">
        <v>144</v>
      </c>
      <c r="B3159" s="1" t="n">
        <v>100</v>
      </c>
      <c r="C3159" s="1" t="n">
        <v>244</v>
      </c>
      <c r="D3159" s="1" t="s">
        <v>1148</v>
      </c>
      <c r="E3159" s="1" t="s">
        <v>1165</v>
      </c>
      <c r="F3159" s="1" t="s">
        <v>1114</v>
      </c>
      <c r="G3159" s="1" t="n">
        <f aca="false">IF(ISNUMBER(E3159),E3159,VALUE(SUBSTITUTE(E3159,"#",".01")))</f>
        <v>68966.01</v>
      </c>
    </row>
    <row r="3160" customFormat="false" ht="12.75" hidden="false" customHeight="false" outlineLevel="0" collapsed="false">
      <c r="A3160" s="1" t="n">
        <v>152</v>
      </c>
      <c r="B3160" s="1" t="n">
        <v>93</v>
      </c>
      <c r="C3160" s="1" t="n">
        <v>245</v>
      </c>
      <c r="D3160" s="1" t="s">
        <v>1062</v>
      </c>
      <c r="E3160" s="1" t="s">
        <v>1166</v>
      </c>
      <c r="F3160" s="1" t="s">
        <v>371</v>
      </c>
      <c r="G3160" s="1" t="n">
        <f aca="false">IF(ISNUMBER(E3160),E3160,VALUE(SUBSTITUTE(E3160,"#",".01")))</f>
        <v>65890.01</v>
      </c>
    </row>
    <row r="3161" customFormat="false" ht="12.75" hidden="false" customHeight="false" outlineLevel="0" collapsed="false">
      <c r="A3161" s="1" t="n">
        <v>151</v>
      </c>
      <c r="B3161" s="1" t="n">
        <v>94</v>
      </c>
      <c r="C3161" s="1" t="n">
        <v>245</v>
      </c>
      <c r="D3161" s="1" t="s">
        <v>1089</v>
      </c>
      <c r="E3161" s="1" t="n">
        <v>63178.179</v>
      </c>
      <c r="F3161" s="1" t="n">
        <v>13.62</v>
      </c>
      <c r="G3161" s="1" t="n">
        <f aca="false">IF(ISNUMBER(E3161),E3161,VALUE(SUBSTITUTE(E3161,"#",".01")))</f>
        <v>63178.179</v>
      </c>
    </row>
    <row r="3162" customFormat="false" ht="12.75" hidden="false" customHeight="false" outlineLevel="0" collapsed="false">
      <c r="A3162" s="1" t="n">
        <v>150</v>
      </c>
      <c r="B3162" s="1" t="n">
        <v>95</v>
      </c>
      <c r="C3162" s="1" t="n">
        <v>245</v>
      </c>
      <c r="D3162" s="1" t="s">
        <v>1093</v>
      </c>
      <c r="E3162" s="1" t="n">
        <v>61900.469</v>
      </c>
      <c r="F3162" s="1" t="n">
        <v>1.887</v>
      </c>
      <c r="G3162" s="1" t="n">
        <f aca="false">IF(ISNUMBER(E3162),E3162,VALUE(SUBSTITUTE(E3162,"#",".01")))</f>
        <v>61900.469</v>
      </c>
    </row>
    <row r="3163" customFormat="false" ht="12.75" hidden="false" customHeight="false" outlineLevel="0" collapsed="false">
      <c r="A3163" s="1" t="n">
        <v>149</v>
      </c>
      <c r="B3163" s="1" t="n">
        <v>96</v>
      </c>
      <c r="C3163" s="1" t="n">
        <v>245</v>
      </c>
      <c r="D3163" s="1" t="s">
        <v>1099</v>
      </c>
      <c r="E3163" s="1" t="n">
        <v>61004.58</v>
      </c>
      <c r="F3163" s="1" t="n">
        <v>1.15</v>
      </c>
      <c r="G3163" s="1" t="n">
        <f aca="false">IF(ISNUMBER(E3163),E3163,VALUE(SUBSTITUTE(E3163,"#",".01")))</f>
        <v>61004.58</v>
      </c>
    </row>
    <row r="3164" customFormat="false" ht="12.75" hidden="false" customHeight="false" outlineLevel="0" collapsed="false">
      <c r="A3164" s="1" t="n">
        <v>148</v>
      </c>
      <c r="B3164" s="1" t="n">
        <v>97</v>
      </c>
      <c r="C3164" s="1" t="n">
        <v>245</v>
      </c>
      <c r="D3164" s="1" t="s">
        <v>1105</v>
      </c>
      <c r="E3164" s="1" t="n">
        <v>61813.836</v>
      </c>
      <c r="F3164" s="1" t="n">
        <v>1.793</v>
      </c>
      <c r="G3164" s="1" t="n">
        <f aca="false">IF(ISNUMBER(E3164),E3164,VALUE(SUBSTITUTE(E3164,"#",".01")))</f>
        <v>61813.836</v>
      </c>
    </row>
    <row r="3165" customFormat="false" ht="12.75" hidden="false" customHeight="false" outlineLevel="0" collapsed="false">
      <c r="A3165" s="1" t="n">
        <v>147</v>
      </c>
      <c r="B3165" s="1" t="n">
        <v>98</v>
      </c>
      <c r="C3165" s="1" t="n">
        <v>245</v>
      </c>
      <c r="D3165" s="1" t="s">
        <v>1123</v>
      </c>
      <c r="E3165" s="1" t="n">
        <v>63385.21</v>
      </c>
      <c r="F3165" s="1" t="n">
        <v>2.428</v>
      </c>
      <c r="G3165" s="1" t="n">
        <f aca="false">IF(ISNUMBER(E3165),E3165,VALUE(SUBSTITUTE(E3165,"#",".01")))</f>
        <v>63385.21</v>
      </c>
    </row>
    <row r="3166" customFormat="false" ht="12.75" hidden="false" customHeight="false" outlineLevel="0" collapsed="false">
      <c r="A3166" s="1" t="n">
        <v>146</v>
      </c>
      <c r="B3166" s="1" t="n">
        <v>99</v>
      </c>
      <c r="C3166" s="1" t="n">
        <v>245</v>
      </c>
      <c r="D3166" s="1" t="s">
        <v>1135</v>
      </c>
      <c r="E3166" s="1" t="s">
        <v>1167</v>
      </c>
      <c r="F3166" s="1" t="s">
        <v>349</v>
      </c>
      <c r="G3166" s="1" t="n">
        <f aca="false">IF(ISNUMBER(E3166),E3166,VALUE(SUBSTITUTE(E3166,"#",".01")))</f>
        <v>66366.01</v>
      </c>
    </row>
    <row r="3167" customFormat="false" ht="12.75" hidden="false" customHeight="false" outlineLevel="0" collapsed="false">
      <c r="A3167" s="1" t="n">
        <v>145</v>
      </c>
      <c r="B3167" s="1" t="n">
        <v>100</v>
      </c>
      <c r="C3167" s="1" t="n">
        <v>245</v>
      </c>
      <c r="D3167" s="1" t="s">
        <v>1148</v>
      </c>
      <c r="E3167" s="1" t="s">
        <v>1168</v>
      </c>
      <c r="F3167" s="1" t="s">
        <v>1169</v>
      </c>
      <c r="G3167" s="1" t="n">
        <f aca="false">IF(ISNUMBER(E3167),E3167,VALUE(SUBSTITUTE(E3167,"#",".01")))</f>
        <v>70187.01</v>
      </c>
    </row>
    <row r="3168" customFormat="false" ht="12.75" hidden="false" customHeight="false" outlineLevel="0" collapsed="false">
      <c r="A3168" s="1" t="n">
        <v>144</v>
      </c>
      <c r="B3168" s="1" t="n">
        <v>101</v>
      </c>
      <c r="C3168" s="1" t="n">
        <v>245</v>
      </c>
      <c r="D3168" s="1" t="s">
        <v>1170</v>
      </c>
      <c r="E3168" s="1" t="s">
        <v>1171</v>
      </c>
      <c r="F3168" s="1" t="s">
        <v>879</v>
      </c>
      <c r="G3168" s="1" t="n">
        <f aca="false">IF(ISNUMBER(E3168),E3168,VALUE(SUBSTITUTE(E3168,"#",".01")))</f>
        <v>75272.01</v>
      </c>
    </row>
    <row r="3169" customFormat="false" ht="12.75" hidden="false" customHeight="false" outlineLevel="0" collapsed="false">
      <c r="A3169" s="1" t="n">
        <v>152</v>
      </c>
      <c r="B3169" s="1" t="n">
        <v>94</v>
      </c>
      <c r="C3169" s="1" t="n">
        <v>246</v>
      </c>
      <c r="D3169" s="1" t="s">
        <v>1089</v>
      </c>
      <c r="E3169" s="1" t="n">
        <v>65394.801</v>
      </c>
      <c r="F3169" s="1" t="n">
        <v>14.985</v>
      </c>
      <c r="G3169" s="1" t="n">
        <f aca="false">IF(ISNUMBER(E3169),E3169,VALUE(SUBSTITUTE(E3169,"#",".01")))</f>
        <v>65394.801</v>
      </c>
    </row>
    <row r="3170" customFormat="false" ht="12.75" hidden="false" customHeight="false" outlineLevel="0" collapsed="false">
      <c r="A3170" s="1" t="n">
        <v>151</v>
      </c>
      <c r="B3170" s="1" t="n">
        <v>95</v>
      </c>
      <c r="C3170" s="1" t="n">
        <v>246</v>
      </c>
      <c r="D3170" s="1" t="s">
        <v>1093</v>
      </c>
      <c r="E3170" s="1" t="s">
        <v>1172</v>
      </c>
      <c r="F3170" s="1" t="s">
        <v>1173</v>
      </c>
      <c r="G3170" s="1" t="n">
        <f aca="false">IF(ISNUMBER(E3170),E3170,VALUE(SUBSTITUTE(E3170,"#",".01")))</f>
        <v>64994.01</v>
      </c>
    </row>
    <row r="3171" customFormat="false" ht="12.75" hidden="false" customHeight="false" outlineLevel="0" collapsed="false">
      <c r="A3171" s="1" t="n">
        <v>150</v>
      </c>
      <c r="B3171" s="1" t="n">
        <v>96</v>
      </c>
      <c r="C3171" s="1" t="n">
        <v>246</v>
      </c>
      <c r="D3171" s="1" t="s">
        <v>1099</v>
      </c>
      <c r="E3171" s="1" t="n">
        <v>62616.967</v>
      </c>
      <c r="F3171" s="1" t="n">
        <v>1.526</v>
      </c>
      <c r="G3171" s="1" t="n">
        <f aca="false">IF(ISNUMBER(E3171),E3171,VALUE(SUBSTITUTE(E3171,"#",".01")))</f>
        <v>62616.967</v>
      </c>
    </row>
    <row r="3172" customFormat="false" ht="12.75" hidden="false" customHeight="false" outlineLevel="0" collapsed="false">
      <c r="A3172" s="1" t="n">
        <v>149</v>
      </c>
      <c r="B3172" s="1" t="n">
        <v>97</v>
      </c>
      <c r="C3172" s="1" t="n">
        <v>246</v>
      </c>
      <c r="D3172" s="1" t="s">
        <v>1105</v>
      </c>
      <c r="E3172" s="1" t="n">
        <v>63966.967</v>
      </c>
      <c r="F3172" s="1" t="n">
        <v>60.019</v>
      </c>
      <c r="G3172" s="1" t="n">
        <f aca="false">IF(ISNUMBER(E3172),E3172,VALUE(SUBSTITUTE(E3172,"#",".01")))</f>
        <v>63966.967</v>
      </c>
    </row>
    <row r="3173" customFormat="false" ht="12.75" hidden="false" customHeight="false" outlineLevel="0" collapsed="false">
      <c r="A3173" s="1" t="n">
        <v>148</v>
      </c>
      <c r="B3173" s="1" t="n">
        <v>98</v>
      </c>
      <c r="C3173" s="1" t="n">
        <v>246</v>
      </c>
      <c r="D3173" s="1" t="s">
        <v>1123</v>
      </c>
      <c r="E3173" s="1" t="n">
        <v>64090.292</v>
      </c>
      <c r="F3173" s="1" t="n">
        <v>1.515</v>
      </c>
      <c r="G3173" s="1" t="n">
        <f aca="false">IF(ISNUMBER(E3173),E3173,VALUE(SUBSTITUTE(E3173,"#",".01")))</f>
        <v>64090.292</v>
      </c>
    </row>
    <row r="3174" customFormat="false" ht="12.75" hidden="false" customHeight="false" outlineLevel="0" collapsed="false">
      <c r="A3174" s="1" t="n">
        <v>147</v>
      </c>
      <c r="B3174" s="1" t="n">
        <v>99</v>
      </c>
      <c r="C3174" s="1" t="n">
        <v>246</v>
      </c>
      <c r="D3174" s="1" t="s">
        <v>1135</v>
      </c>
      <c r="E3174" s="1" t="s">
        <v>1174</v>
      </c>
      <c r="F3174" s="1" t="s">
        <v>1107</v>
      </c>
      <c r="G3174" s="1" t="n">
        <f aca="false">IF(ISNUMBER(E3174),E3174,VALUE(SUBSTITUTE(E3174,"#",".01")))</f>
        <v>67901.01</v>
      </c>
    </row>
    <row r="3175" customFormat="false" ht="12.75" hidden="false" customHeight="false" outlineLevel="0" collapsed="false">
      <c r="A3175" s="1" t="n">
        <v>146</v>
      </c>
      <c r="B3175" s="1" t="n">
        <v>100</v>
      </c>
      <c r="C3175" s="1" t="n">
        <v>246</v>
      </c>
      <c r="D3175" s="1" t="s">
        <v>1148</v>
      </c>
      <c r="E3175" s="1" t="n">
        <v>70188.833</v>
      </c>
      <c r="F3175" s="1" t="n">
        <v>15.333</v>
      </c>
      <c r="G3175" s="1" t="n">
        <f aca="false">IF(ISNUMBER(E3175),E3175,VALUE(SUBSTITUTE(E3175,"#",".01")))</f>
        <v>70188.833</v>
      </c>
    </row>
    <row r="3176" customFormat="false" ht="12.75" hidden="false" customHeight="false" outlineLevel="0" collapsed="false">
      <c r="A3176" s="1" t="n">
        <v>145</v>
      </c>
      <c r="B3176" s="1" t="n">
        <v>101</v>
      </c>
      <c r="C3176" s="1" t="n">
        <v>246</v>
      </c>
      <c r="D3176" s="1" t="s">
        <v>1170</v>
      </c>
      <c r="E3176" s="1" t="s">
        <v>1175</v>
      </c>
      <c r="F3176" s="1" t="s">
        <v>505</v>
      </c>
      <c r="G3176" s="1" t="n">
        <f aca="false">IF(ISNUMBER(E3176),E3176,VALUE(SUBSTITUTE(E3176,"#",".01")))</f>
        <v>76115.01</v>
      </c>
    </row>
    <row r="3177" customFormat="false" ht="12.75" hidden="false" customHeight="false" outlineLevel="0" collapsed="false">
      <c r="A3177" s="1" t="n">
        <v>153</v>
      </c>
      <c r="B3177" s="1" t="n">
        <v>94</v>
      </c>
      <c r="C3177" s="1" t="n">
        <v>247</v>
      </c>
      <c r="D3177" s="1" t="s">
        <v>1089</v>
      </c>
      <c r="E3177" s="1" t="s">
        <v>1176</v>
      </c>
      <c r="F3177" s="1" t="s">
        <v>333</v>
      </c>
      <c r="G3177" s="1" t="n">
        <f aca="false">IF(ISNUMBER(E3177),E3177,VALUE(SUBSTITUTE(E3177,"#",".01")))</f>
        <v>69108.01</v>
      </c>
    </row>
    <row r="3178" customFormat="false" ht="12.75" hidden="false" customHeight="false" outlineLevel="0" collapsed="false">
      <c r="A3178" s="1" t="n">
        <v>152</v>
      </c>
      <c r="B3178" s="1" t="n">
        <v>95</v>
      </c>
      <c r="C3178" s="1" t="n">
        <v>247</v>
      </c>
      <c r="D3178" s="1" t="s">
        <v>1093</v>
      </c>
      <c r="E3178" s="1" t="s">
        <v>1177</v>
      </c>
      <c r="F3178" s="1" t="s">
        <v>533</v>
      </c>
      <c r="G3178" s="1" t="n">
        <f aca="false">IF(ISNUMBER(E3178),E3178,VALUE(SUBSTITUTE(E3178,"#",".01")))</f>
        <v>67153.01</v>
      </c>
    </row>
    <row r="3179" customFormat="false" ht="12.75" hidden="false" customHeight="false" outlineLevel="0" collapsed="false">
      <c r="A3179" s="1" t="n">
        <v>151</v>
      </c>
      <c r="B3179" s="1" t="n">
        <v>96</v>
      </c>
      <c r="C3179" s="1" t="n">
        <v>247</v>
      </c>
      <c r="D3179" s="1" t="s">
        <v>1099</v>
      </c>
      <c r="E3179" s="1" t="n">
        <v>65533.143</v>
      </c>
      <c r="F3179" s="1" t="n">
        <v>3.797</v>
      </c>
      <c r="G3179" s="1" t="n">
        <f aca="false">IF(ISNUMBER(E3179),E3179,VALUE(SUBSTITUTE(E3179,"#",".01")))</f>
        <v>65533.143</v>
      </c>
    </row>
    <row r="3180" customFormat="false" ht="12.75" hidden="false" customHeight="false" outlineLevel="0" collapsed="false">
      <c r="A3180" s="1" t="n">
        <v>150</v>
      </c>
      <c r="B3180" s="1" t="n">
        <v>97</v>
      </c>
      <c r="C3180" s="1" t="n">
        <v>247</v>
      </c>
      <c r="D3180" s="1" t="s">
        <v>1105</v>
      </c>
      <c r="E3180" s="1" t="n">
        <v>65489.562</v>
      </c>
      <c r="F3180" s="1" t="n">
        <v>5.189</v>
      </c>
      <c r="G3180" s="1" t="n">
        <f aca="false">IF(ISNUMBER(E3180),E3180,VALUE(SUBSTITUTE(E3180,"#",".01")))</f>
        <v>65489.562</v>
      </c>
    </row>
    <row r="3181" customFormat="false" ht="12.75" hidden="false" customHeight="false" outlineLevel="0" collapsed="false">
      <c r="A3181" s="1" t="n">
        <v>149</v>
      </c>
      <c r="B3181" s="1" t="n">
        <v>98</v>
      </c>
      <c r="C3181" s="1" t="n">
        <v>247</v>
      </c>
      <c r="D3181" s="1" t="s">
        <v>1123</v>
      </c>
      <c r="E3181" s="1" t="n">
        <v>66103.903</v>
      </c>
      <c r="F3181" s="1" t="n">
        <v>15.334</v>
      </c>
      <c r="G3181" s="1" t="n">
        <f aca="false">IF(ISNUMBER(E3181),E3181,VALUE(SUBSTITUTE(E3181,"#",".01")))</f>
        <v>66103.903</v>
      </c>
    </row>
    <row r="3182" customFormat="false" ht="12.75" hidden="false" customHeight="false" outlineLevel="0" collapsed="false">
      <c r="A3182" s="1" t="n">
        <v>148</v>
      </c>
      <c r="B3182" s="1" t="n">
        <v>99</v>
      </c>
      <c r="C3182" s="1" t="n">
        <v>247</v>
      </c>
      <c r="D3182" s="1" t="s">
        <v>1135</v>
      </c>
      <c r="E3182" s="1" t="n">
        <v>68578.388</v>
      </c>
      <c r="F3182" s="1" t="n">
        <v>19.441</v>
      </c>
      <c r="G3182" s="1" t="n">
        <f aca="false">IF(ISNUMBER(E3182),E3182,VALUE(SUBSTITUTE(E3182,"#",".01")))</f>
        <v>68578.388</v>
      </c>
    </row>
    <row r="3183" customFormat="false" ht="12.75" hidden="false" customHeight="false" outlineLevel="0" collapsed="false">
      <c r="A3183" s="1" t="n">
        <v>147</v>
      </c>
      <c r="B3183" s="1" t="n">
        <v>100</v>
      </c>
      <c r="C3183" s="1" t="n">
        <v>247</v>
      </c>
      <c r="D3183" s="1" t="s">
        <v>1148</v>
      </c>
      <c r="E3183" s="1" t="s">
        <v>1178</v>
      </c>
      <c r="F3183" s="1" t="s">
        <v>1179</v>
      </c>
      <c r="G3183" s="1" t="n">
        <f aca="false">IF(ISNUMBER(E3183),E3183,VALUE(SUBSTITUTE(E3183,"#",".01")))</f>
        <v>71673.01</v>
      </c>
    </row>
    <row r="3184" customFormat="false" ht="12.75" hidden="false" customHeight="false" outlineLevel="0" collapsed="false">
      <c r="A3184" s="1" t="n">
        <v>146</v>
      </c>
      <c r="B3184" s="1" t="n">
        <v>101</v>
      </c>
      <c r="C3184" s="1" t="n">
        <v>247</v>
      </c>
      <c r="D3184" s="1" t="s">
        <v>1170</v>
      </c>
      <c r="E3184" s="1" t="s">
        <v>1180</v>
      </c>
      <c r="F3184" s="1" t="s">
        <v>1132</v>
      </c>
      <c r="G3184" s="1" t="n">
        <f aca="false">IF(ISNUMBER(E3184),E3184,VALUE(SUBSTITUTE(E3184,"#",".01")))</f>
        <v>75937.01</v>
      </c>
    </row>
    <row r="3185" customFormat="false" ht="12.75" hidden="false" customHeight="false" outlineLevel="0" collapsed="false">
      <c r="A3185" s="1" t="n">
        <v>153</v>
      </c>
      <c r="B3185" s="1" t="n">
        <v>95</v>
      </c>
      <c r="C3185" s="1" t="n">
        <v>248</v>
      </c>
      <c r="D3185" s="1" t="s">
        <v>1093</v>
      </c>
      <c r="E3185" s="1" t="s">
        <v>1181</v>
      </c>
      <c r="F3185" s="1" t="s">
        <v>349</v>
      </c>
      <c r="G3185" s="1" t="n">
        <f aca="false">IF(ISNUMBER(E3185),E3185,VALUE(SUBSTITUTE(E3185,"#",".01")))</f>
        <v>70563.01</v>
      </c>
    </row>
    <row r="3186" customFormat="false" ht="12.75" hidden="false" customHeight="false" outlineLevel="0" collapsed="false">
      <c r="A3186" s="1" t="n">
        <v>152</v>
      </c>
      <c r="B3186" s="1" t="n">
        <v>96</v>
      </c>
      <c r="C3186" s="1" t="n">
        <v>248</v>
      </c>
      <c r="D3186" s="1" t="s">
        <v>1099</v>
      </c>
      <c r="E3186" s="1" t="n">
        <v>67392.755</v>
      </c>
      <c r="F3186" s="1" t="n">
        <v>2.358</v>
      </c>
      <c r="G3186" s="1" t="n">
        <f aca="false">IF(ISNUMBER(E3186),E3186,VALUE(SUBSTITUTE(E3186,"#",".01")))</f>
        <v>67392.755</v>
      </c>
    </row>
    <row r="3187" customFormat="false" ht="12.75" hidden="false" customHeight="false" outlineLevel="0" collapsed="false">
      <c r="A3187" s="1" t="n">
        <v>151</v>
      </c>
      <c r="B3187" s="1" t="n">
        <v>97</v>
      </c>
      <c r="C3187" s="1" t="n">
        <v>248</v>
      </c>
      <c r="D3187" s="1" t="s">
        <v>1105</v>
      </c>
      <c r="E3187" s="1" t="s">
        <v>1182</v>
      </c>
      <c r="F3187" s="1" t="s">
        <v>1057</v>
      </c>
      <c r="G3187" s="1" t="n">
        <f aca="false">IF(ISNUMBER(E3187),E3187,VALUE(SUBSTITUTE(E3187,"#",".01")))</f>
        <v>68080.01</v>
      </c>
    </row>
    <row r="3188" customFormat="false" ht="12.75" hidden="false" customHeight="false" outlineLevel="0" collapsed="false">
      <c r="A3188" s="1" t="n">
        <v>150</v>
      </c>
      <c r="B3188" s="1" t="n">
        <v>98</v>
      </c>
      <c r="C3188" s="1" t="n">
        <v>248</v>
      </c>
      <c r="D3188" s="1" t="s">
        <v>1123</v>
      </c>
      <c r="E3188" s="1" t="n">
        <v>67238.012</v>
      </c>
      <c r="F3188" s="1" t="n">
        <v>5.121</v>
      </c>
      <c r="G3188" s="1" t="n">
        <f aca="false">IF(ISNUMBER(E3188),E3188,VALUE(SUBSTITUTE(E3188,"#",".01")))</f>
        <v>67238.012</v>
      </c>
    </row>
    <row r="3189" customFormat="false" ht="12.75" hidden="false" customHeight="false" outlineLevel="0" collapsed="false">
      <c r="A3189" s="1" t="n">
        <v>149</v>
      </c>
      <c r="B3189" s="1" t="n">
        <v>99</v>
      </c>
      <c r="C3189" s="1" t="n">
        <v>248</v>
      </c>
      <c r="D3189" s="1" t="s">
        <v>1135</v>
      </c>
      <c r="E3189" s="1" t="s">
        <v>1183</v>
      </c>
      <c r="F3189" s="1" t="s">
        <v>961</v>
      </c>
      <c r="G3189" s="1" t="n">
        <f aca="false">IF(ISNUMBER(E3189),E3189,VALUE(SUBSTITUTE(E3189,"#",".01")))</f>
        <v>70299.01</v>
      </c>
    </row>
    <row r="3190" customFormat="false" ht="12.75" hidden="false" customHeight="false" outlineLevel="0" collapsed="false">
      <c r="A3190" s="1" t="n">
        <v>148</v>
      </c>
      <c r="B3190" s="1" t="n">
        <v>100</v>
      </c>
      <c r="C3190" s="1" t="n">
        <v>248</v>
      </c>
      <c r="D3190" s="1" t="s">
        <v>1148</v>
      </c>
      <c r="E3190" s="1" t="n">
        <v>71897.857</v>
      </c>
      <c r="F3190" s="1" t="n">
        <v>8.497</v>
      </c>
      <c r="G3190" s="1" t="n">
        <f aca="false">IF(ISNUMBER(E3190),E3190,VALUE(SUBSTITUTE(E3190,"#",".01")))</f>
        <v>71897.857</v>
      </c>
    </row>
    <row r="3191" customFormat="false" ht="12.75" hidden="false" customHeight="false" outlineLevel="0" collapsed="false">
      <c r="A3191" s="1" t="n">
        <v>147</v>
      </c>
      <c r="B3191" s="1" t="n">
        <v>101</v>
      </c>
      <c r="C3191" s="1" t="n">
        <v>248</v>
      </c>
      <c r="D3191" s="1" t="s">
        <v>1170</v>
      </c>
      <c r="E3191" s="1" t="s">
        <v>1184</v>
      </c>
      <c r="F3191" s="1" t="s">
        <v>1185</v>
      </c>
      <c r="G3191" s="1" t="n">
        <f aca="false">IF(ISNUMBER(E3191),E3191,VALUE(SUBSTITUTE(E3191,"#",".01")))</f>
        <v>77148.01</v>
      </c>
    </row>
    <row r="3192" customFormat="false" ht="12.75" hidden="false" customHeight="false" outlineLevel="0" collapsed="false">
      <c r="A3192" s="1" t="n">
        <v>146</v>
      </c>
      <c r="B3192" s="1" t="n">
        <v>102</v>
      </c>
      <c r="C3192" s="1" t="n">
        <v>248</v>
      </c>
      <c r="D3192" s="1" t="s">
        <v>1186</v>
      </c>
      <c r="E3192" s="1" t="s">
        <v>1187</v>
      </c>
      <c r="F3192" s="1" t="s">
        <v>1107</v>
      </c>
      <c r="G3192" s="1" t="n">
        <f aca="false">IF(ISNUMBER(E3192),E3192,VALUE(SUBSTITUTE(E3192,"#",".01")))</f>
        <v>80621.01</v>
      </c>
    </row>
    <row r="3193" customFormat="false" ht="12.75" hidden="false" customHeight="false" outlineLevel="0" collapsed="false">
      <c r="A3193" s="1" t="n">
        <v>154</v>
      </c>
      <c r="B3193" s="1" t="n">
        <v>95</v>
      </c>
      <c r="C3193" s="1" t="n">
        <v>249</v>
      </c>
      <c r="D3193" s="1" t="s">
        <v>1093</v>
      </c>
      <c r="E3193" s="1" t="s">
        <v>1188</v>
      </c>
      <c r="F3193" s="1" t="s">
        <v>360</v>
      </c>
      <c r="G3193" s="1" t="n">
        <f aca="false">IF(ISNUMBER(E3193),E3193,VALUE(SUBSTITUTE(E3193,"#",".01")))</f>
        <v>73104.01</v>
      </c>
    </row>
    <row r="3194" customFormat="false" ht="12.75" hidden="false" customHeight="false" outlineLevel="0" collapsed="false">
      <c r="A3194" s="1" t="n">
        <v>153</v>
      </c>
      <c r="B3194" s="1" t="n">
        <v>96</v>
      </c>
      <c r="C3194" s="1" t="n">
        <v>249</v>
      </c>
      <c r="D3194" s="1" t="s">
        <v>1099</v>
      </c>
      <c r="E3194" s="1" t="n">
        <v>70750.702</v>
      </c>
      <c r="F3194" s="1" t="n">
        <v>2.371</v>
      </c>
      <c r="G3194" s="1" t="n">
        <f aca="false">IF(ISNUMBER(E3194),E3194,VALUE(SUBSTITUTE(E3194,"#",".01")))</f>
        <v>70750.702</v>
      </c>
    </row>
    <row r="3195" customFormat="false" ht="12.75" hidden="false" customHeight="false" outlineLevel="0" collapsed="false">
      <c r="A3195" s="1" t="n">
        <v>152</v>
      </c>
      <c r="B3195" s="1" t="n">
        <v>97</v>
      </c>
      <c r="C3195" s="1" t="n">
        <v>249</v>
      </c>
      <c r="D3195" s="1" t="s">
        <v>1105</v>
      </c>
      <c r="E3195" s="1" t="n">
        <v>69846.384</v>
      </c>
      <c r="F3195" s="1" t="n">
        <v>1.249</v>
      </c>
      <c r="G3195" s="1" t="n">
        <f aca="false">IF(ISNUMBER(E3195),E3195,VALUE(SUBSTITUTE(E3195,"#",".01")))</f>
        <v>69846.384</v>
      </c>
    </row>
    <row r="3196" customFormat="false" ht="12.75" hidden="false" customHeight="false" outlineLevel="0" collapsed="false">
      <c r="A3196" s="1" t="n">
        <v>151</v>
      </c>
      <c r="B3196" s="1" t="n">
        <v>98</v>
      </c>
      <c r="C3196" s="1" t="n">
        <v>249</v>
      </c>
      <c r="D3196" s="1" t="s">
        <v>1123</v>
      </c>
      <c r="E3196" s="1" t="n">
        <v>69722.784</v>
      </c>
      <c r="F3196" s="1" t="n">
        <v>1.183</v>
      </c>
      <c r="G3196" s="1" t="n">
        <f aca="false">IF(ISNUMBER(E3196),E3196,VALUE(SUBSTITUTE(E3196,"#",".01")))</f>
        <v>69722.784</v>
      </c>
    </row>
    <row r="3197" customFormat="false" ht="12.75" hidden="false" customHeight="false" outlineLevel="0" collapsed="false">
      <c r="A3197" s="1" t="n">
        <v>150</v>
      </c>
      <c r="B3197" s="1" t="n">
        <v>99</v>
      </c>
      <c r="C3197" s="1" t="n">
        <v>249</v>
      </c>
      <c r="D3197" s="1" t="s">
        <v>1135</v>
      </c>
      <c r="E3197" s="1" t="s">
        <v>1189</v>
      </c>
      <c r="F3197" s="1" t="s">
        <v>1190</v>
      </c>
      <c r="G3197" s="1" t="n">
        <f aca="false">IF(ISNUMBER(E3197),E3197,VALUE(SUBSTITUTE(E3197,"#",".01")))</f>
        <v>71175.01</v>
      </c>
    </row>
    <row r="3198" customFormat="false" ht="12.75" hidden="false" customHeight="false" outlineLevel="0" collapsed="false">
      <c r="A3198" s="1" t="n">
        <v>149</v>
      </c>
      <c r="B3198" s="1" t="n">
        <v>100</v>
      </c>
      <c r="C3198" s="1" t="n">
        <v>249</v>
      </c>
      <c r="D3198" s="1" t="s">
        <v>1148</v>
      </c>
      <c r="E3198" s="1" t="n">
        <v>73519.188</v>
      </c>
      <c r="F3198" s="1" t="n">
        <v>6.212</v>
      </c>
      <c r="G3198" s="1" t="n">
        <f aca="false">IF(ISNUMBER(E3198),E3198,VALUE(SUBSTITUTE(E3198,"#",".01")))</f>
        <v>73519.188</v>
      </c>
    </row>
    <row r="3199" customFormat="false" ht="12.75" hidden="false" customHeight="false" outlineLevel="0" collapsed="false">
      <c r="A3199" s="1" t="n">
        <v>148</v>
      </c>
      <c r="B3199" s="1" t="n">
        <v>101</v>
      </c>
      <c r="C3199" s="1" t="n">
        <v>249</v>
      </c>
      <c r="D3199" s="1" t="s">
        <v>1170</v>
      </c>
      <c r="E3199" s="1" t="s">
        <v>1191</v>
      </c>
      <c r="F3199" s="1" t="s">
        <v>1114</v>
      </c>
      <c r="G3199" s="1" t="n">
        <f aca="false">IF(ISNUMBER(E3199),E3199,VALUE(SUBSTITUTE(E3199,"#",".01")))</f>
        <v>77232.01</v>
      </c>
    </row>
    <row r="3200" customFormat="false" ht="12.75" hidden="false" customHeight="false" outlineLevel="0" collapsed="false">
      <c r="A3200" s="1" t="n">
        <v>147</v>
      </c>
      <c r="B3200" s="1" t="n">
        <v>102</v>
      </c>
      <c r="C3200" s="1" t="n">
        <v>249</v>
      </c>
      <c r="D3200" s="1" t="s">
        <v>1186</v>
      </c>
      <c r="E3200" s="1" t="s">
        <v>1192</v>
      </c>
      <c r="F3200" s="1" t="s">
        <v>1193</v>
      </c>
      <c r="G3200" s="1" t="n">
        <f aca="false">IF(ISNUMBER(E3200),E3200,VALUE(SUBSTITUTE(E3200,"#",".01")))</f>
        <v>81782.01</v>
      </c>
    </row>
    <row r="3201" customFormat="false" ht="12.75" hidden="false" customHeight="false" outlineLevel="0" collapsed="false">
      <c r="A3201" s="1" t="n">
        <v>154</v>
      </c>
      <c r="B3201" s="1" t="n">
        <v>96</v>
      </c>
      <c r="C3201" s="1" t="n">
        <v>250</v>
      </c>
      <c r="D3201" s="1" t="s">
        <v>1099</v>
      </c>
      <c r="E3201" s="1" t="n">
        <v>72989.594</v>
      </c>
      <c r="F3201" s="1" t="n">
        <v>10.274</v>
      </c>
      <c r="G3201" s="1" t="n">
        <f aca="false">IF(ISNUMBER(E3201),E3201,VALUE(SUBSTITUTE(E3201,"#",".01")))</f>
        <v>72989.594</v>
      </c>
    </row>
    <row r="3202" customFormat="false" ht="12.75" hidden="false" customHeight="false" outlineLevel="0" collapsed="false">
      <c r="A3202" s="1" t="n">
        <v>153</v>
      </c>
      <c r="B3202" s="1" t="n">
        <v>97</v>
      </c>
      <c r="C3202" s="1" t="n">
        <v>250</v>
      </c>
      <c r="D3202" s="1" t="s">
        <v>1105</v>
      </c>
      <c r="E3202" s="1" t="n">
        <v>72949.978</v>
      </c>
      <c r="F3202" s="1" t="n">
        <v>3.719</v>
      </c>
      <c r="G3202" s="1" t="n">
        <f aca="false">IF(ISNUMBER(E3202),E3202,VALUE(SUBSTITUTE(E3202,"#",".01")))</f>
        <v>72949.978</v>
      </c>
    </row>
    <row r="3203" customFormat="false" ht="12.75" hidden="false" customHeight="false" outlineLevel="0" collapsed="false">
      <c r="A3203" s="1" t="n">
        <v>152</v>
      </c>
      <c r="B3203" s="1" t="n">
        <v>98</v>
      </c>
      <c r="C3203" s="1" t="n">
        <v>250</v>
      </c>
      <c r="D3203" s="1" t="s">
        <v>1123</v>
      </c>
      <c r="E3203" s="1" t="n">
        <v>71170.391</v>
      </c>
      <c r="F3203" s="1" t="n">
        <v>1.538</v>
      </c>
      <c r="G3203" s="1" t="n">
        <f aca="false">IF(ISNUMBER(E3203),E3203,VALUE(SUBSTITUTE(E3203,"#",".01")))</f>
        <v>71170.391</v>
      </c>
    </row>
    <row r="3204" customFormat="false" ht="12.75" hidden="false" customHeight="false" outlineLevel="0" collapsed="false">
      <c r="A3204" s="1" t="n">
        <v>151</v>
      </c>
      <c r="B3204" s="1" t="n">
        <v>99</v>
      </c>
      <c r="C3204" s="1" t="n">
        <v>250</v>
      </c>
      <c r="D3204" s="1" t="s">
        <v>1135</v>
      </c>
      <c r="E3204" s="1" t="s">
        <v>1194</v>
      </c>
      <c r="F3204" s="1" t="s">
        <v>533</v>
      </c>
      <c r="G3204" s="1" t="n">
        <f aca="false">IF(ISNUMBER(E3204),E3204,VALUE(SUBSTITUTE(E3204,"#",".01")))</f>
        <v>73225.01</v>
      </c>
    </row>
    <row r="3205" customFormat="false" ht="12.75" hidden="false" customHeight="false" outlineLevel="0" collapsed="false">
      <c r="A3205" s="1" t="n">
        <v>150</v>
      </c>
      <c r="B3205" s="1" t="n">
        <v>100</v>
      </c>
      <c r="C3205" s="1" t="n">
        <v>250</v>
      </c>
      <c r="D3205" s="1" t="s">
        <v>1148</v>
      </c>
      <c r="E3205" s="1" t="n">
        <v>74072.243</v>
      </c>
      <c r="F3205" s="1" t="n">
        <v>7.888</v>
      </c>
      <c r="G3205" s="1" t="n">
        <f aca="false">IF(ISNUMBER(E3205),E3205,VALUE(SUBSTITUTE(E3205,"#",".01")))</f>
        <v>74072.243</v>
      </c>
    </row>
    <row r="3206" customFormat="false" ht="12.75" hidden="false" customHeight="false" outlineLevel="0" collapsed="false">
      <c r="A3206" s="1" t="n">
        <v>149</v>
      </c>
      <c r="B3206" s="1" t="n">
        <v>101</v>
      </c>
      <c r="C3206" s="1" t="n">
        <v>250</v>
      </c>
      <c r="D3206" s="1" t="s">
        <v>1170</v>
      </c>
      <c r="E3206" s="1" t="s">
        <v>1195</v>
      </c>
      <c r="F3206" s="1" t="s">
        <v>1196</v>
      </c>
      <c r="G3206" s="1" t="n">
        <f aca="false">IF(ISNUMBER(E3206),E3206,VALUE(SUBSTITUTE(E3206,"#",".01")))</f>
        <v>78630.01</v>
      </c>
    </row>
    <row r="3207" customFormat="false" ht="12.75" hidden="false" customHeight="false" outlineLevel="0" collapsed="false">
      <c r="A3207" s="1" t="n">
        <v>148</v>
      </c>
      <c r="B3207" s="1" t="n">
        <v>102</v>
      </c>
      <c r="C3207" s="1" t="n">
        <v>250</v>
      </c>
      <c r="D3207" s="1" t="s">
        <v>1186</v>
      </c>
      <c r="E3207" s="1" t="s">
        <v>1197</v>
      </c>
      <c r="F3207" s="1" t="s">
        <v>1114</v>
      </c>
      <c r="G3207" s="1" t="n">
        <f aca="false">IF(ISNUMBER(E3207),E3207,VALUE(SUBSTITUTE(E3207,"#",".01")))</f>
        <v>81564.01</v>
      </c>
    </row>
    <row r="3208" customFormat="false" ht="12.75" hidden="false" customHeight="false" outlineLevel="0" collapsed="false">
      <c r="A3208" s="1" t="n">
        <v>155</v>
      </c>
      <c r="B3208" s="1" t="n">
        <v>96</v>
      </c>
      <c r="C3208" s="1" t="n">
        <v>251</v>
      </c>
      <c r="D3208" s="1" t="s">
        <v>1099</v>
      </c>
      <c r="E3208" s="1" t="n">
        <v>76648.018</v>
      </c>
      <c r="F3208" s="1" t="n">
        <v>22.698</v>
      </c>
      <c r="G3208" s="1" t="n">
        <f aca="false">IF(ISNUMBER(E3208),E3208,VALUE(SUBSTITUTE(E3208,"#",".01")))</f>
        <v>76648.018</v>
      </c>
    </row>
    <row r="3209" customFormat="false" ht="12.75" hidden="false" customHeight="false" outlineLevel="0" collapsed="false">
      <c r="A3209" s="1" t="n">
        <v>154</v>
      </c>
      <c r="B3209" s="1" t="n">
        <v>97</v>
      </c>
      <c r="C3209" s="1" t="n">
        <v>251</v>
      </c>
      <c r="D3209" s="1" t="s">
        <v>1105</v>
      </c>
      <c r="E3209" s="1" t="n">
        <v>75228.018</v>
      </c>
      <c r="F3209" s="1" t="n">
        <v>10.734</v>
      </c>
      <c r="G3209" s="1" t="n">
        <f aca="false">IF(ISNUMBER(E3209),E3209,VALUE(SUBSTITUTE(E3209,"#",".01")))</f>
        <v>75228.018</v>
      </c>
    </row>
    <row r="3210" customFormat="false" ht="12.75" hidden="false" customHeight="false" outlineLevel="0" collapsed="false">
      <c r="A3210" s="1" t="n">
        <v>153</v>
      </c>
      <c r="B3210" s="1" t="n">
        <v>98</v>
      </c>
      <c r="C3210" s="1" t="n">
        <v>251</v>
      </c>
      <c r="D3210" s="1" t="s">
        <v>1123</v>
      </c>
      <c r="E3210" s="1" t="n">
        <v>74135.018</v>
      </c>
      <c r="F3210" s="1" t="n">
        <v>3.901</v>
      </c>
      <c r="G3210" s="1" t="n">
        <f aca="false">IF(ISNUMBER(E3210),E3210,VALUE(SUBSTITUTE(E3210,"#",".01")))</f>
        <v>74135.018</v>
      </c>
    </row>
    <row r="3211" customFormat="false" ht="12.75" hidden="false" customHeight="false" outlineLevel="0" collapsed="false">
      <c r="A3211" s="1" t="n">
        <v>152</v>
      </c>
      <c r="B3211" s="1" t="n">
        <v>99</v>
      </c>
      <c r="C3211" s="1" t="n">
        <v>251</v>
      </c>
      <c r="D3211" s="1" t="s">
        <v>1135</v>
      </c>
      <c r="E3211" s="1" t="n">
        <v>74512.277</v>
      </c>
      <c r="F3211" s="1" t="n">
        <v>5.994</v>
      </c>
      <c r="G3211" s="1" t="n">
        <f aca="false">IF(ISNUMBER(E3211),E3211,VALUE(SUBSTITUTE(E3211,"#",".01")))</f>
        <v>74512.277</v>
      </c>
    </row>
    <row r="3212" customFormat="false" ht="12.75" hidden="false" customHeight="false" outlineLevel="0" collapsed="false">
      <c r="A3212" s="1" t="n">
        <v>151</v>
      </c>
      <c r="B3212" s="1" t="n">
        <v>100</v>
      </c>
      <c r="C3212" s="1" t="n">
        <v>251</v>
      </c>
      <c r="D3212" s="1" t="s">
        <v>1148</v>
      </c>
      <c r="E3212" s="1" t="n">
        <v>75953.919</v>
      </c>
      <c r="F3212" s="1" t="n">
        <v>15.203</v>
      </c>
      <c r="G3212" s="1" t="n">
        <f aca="false">IF(ISNUMBER(E3212),E3212,VALUE(SUBSTITUTE(E3212,"#",".01")))</f>
        <v>75953.919</v>
      </c>
    </row>
    <row r="3213" customFormat="false" ht="12.75" hidden="false" customHeight="false" outlineLevel="0" collapsed="false">
      <c r="A3213" s="1" t="n">
        <v>150</v>
      </c>
      <c r="B3213" s="1" t="n">
        <v>101</v>
      </c>
      <c r="C3213" s="1" t="n">
        <v>251</v>
      </c>
      <c r="D3213" s="1" t="s">
        <v>1170</v>
      </c>
      <c r="E3213" s="1" t="n">
        <v>78966.744</v>
      </c>
      <c r="F3213" s="1" t="n">
        <v>18.919</v>
      </c>
      <c r="G3213" s="1" t="n">
        <f aca="false">IF(ISNUMBER(E3213),E3213,VALUE(SUBSTITUTE(E3213,"#",".01")))</f>
        <v>78966.744</v>
      </c>
    </row>
    <row r="3214" customFormat="false" ht="12.75" hidden="false" customHeight="false" outlineLevel="0" collapsed="false">
      <c r="A3214" s="1" t="n">
        <v>149</v>
      </c>
      <c r="B3214" s="1" t="n">
        <v>102</v>
      </c>
      <c r="C3214" s="1" t="n">
        <v>251</v>
      </c>
      <c r="D3214" s="1" t="s">
        <v>1186</v>
      </c>
      <c r="E3214" s="1" t="s">
        <v>1198</v>
      </c>
      <c r="F3214" s="1" t="s">
        <v>898</v>
      </c>
      <c r="G3214" s="1" t="n">
        <f aca="false">IF(ISNUMBER(E3214),E3214,VALUE(SUBSTITUTE(E3214,"#",".01")))</f>
        <v>82849.01</v>
      </c>
    </row>
    <row r="3215" customFormat="false" ht="12.75" hidden="false" customHeight="false" outlineLevel="0" collapsed="false">
      <c r="A3215" s="1" t="n">
        <v>148</v>
      </c>
      <c r="B3215" s="1" t="n">
        <v>103</v>
      </c>
      <c r="C3215" s="1" t="n">
        <v>251</v>
      </c>
      <c r="D3215" s="1" t="s">
        <v>1199</v>
      </c>
      <c r="E3215" s="1" t="s">
        <v>1200</v>
      </c>
      <c r="F3215" s="1" t="s">
        <v>360</v>
      </c>
      <c r="G3215" s="1" t="n">
        <f aca="false">IF(ISNUMBER(E3215),E3215,VALUE(SUBSTITUTE(E3215,"#",".01")))</f>
        <v>87728.01</v>
      </c>
    </row>
    <row r="3216" customFormat="false" ht="12.75" hidden="false" customHeight="false" outlineLevel="0" collapsed="false">
      <c r="A3216" s="1" t="n">
        <v>156</v>
      </c>
      <c r="B3216" s="1" t="n">
        <v>96</v>
      </c>
      <c r="C3216" s="1" t="n">
        <v>252</v>
      </c>
      <c r="D3216" s="1" t="s">
        <v>1099</v>
      </c>
      <c r="E3216" s="1" t="s">
        <v>1201</v>
      </c>
      <c r="F3216" s="1" t="s">
        <v>360</v>
      </c>
      <c r="G3216" s="1" t="n">
        <f aca="false">IF(ISNUMBER(E3216),E3216,VALUE(SUBSTITUTE(E3216,"#",".01")))</f>
        <v>79056.01</v>
      </c>
    </row>
    <row r="3217" customFormat="false" ht="12.75" hidden="false" customHeight="false" outlineLevel="0" collapsed="false">
      <c r="A3217" s="1" t="n">
        <v>155</v>
      </c>
      <c r="B3217" s="1" t="n">
        <v>97</v>
      </c>
      <c r="C3217" s="1" t="n">
        <v>252</v>
      </c>
      <c r="D3217" s="1" t="s">
        <v>1105</v>
      </c>
      <c r="E3217" s="1" t="s">
        <v>1202</v>
      </c>
      <c r="F3217" s="1" t="s">
        <v>349</v>
      </c>
      <c r="G3217" s="1" t="n">
        <f aca="false">IF(ISNUMBER(E3217),E3217,VALUE(SUBSTITUTE(E3217,"#",".01")))</f>
        <v>78535.01</v>
      </c>
    </row>
    <row r="3218" customFormat="false" ht="12.75" hidden="false" customHeight="false" outlineLevel="0" collapsed="false">
      <c r="A3218" s="1" t="n">
        <v>154</v>
      </c>
      <c r="B3218" s="1" t="n">
        <v>98</v>
      </c>
      <c r="C3218" s="1" t="n">
        <v>252</v>
      </c>
      <c r="D3218" s="1" t="s">
        <v>1123</v>
      </c>
      <c r="E3218" s="1" t="n">
        <v>76034.617</v>
      </c>
      <c r="F3218" s="1" t="n">
        <v>2.358</v>
      </c>
      <c r="G3218" s="1" t="n">
        <f aca="false">IF(ISNUMBER(E3218),E3218,VALUE(SUBSTITUTE(E3218,"#",".01")))</f>
        <v>76034.617</v>
      </c>
    </row>
    <row r="3219" customFormat="false" ht="12.75" hidden="false" customHeight="false" outlineLevel="0" collapsed="false">
      <c r="A3219" s="1" t="n">
        <v>153</v>
      </c>
      <c r="B3219" s="1" t="n">
        <v>99</v>
      </c>
      <c r="C3219" s="1" t="n">
        <v>252</v>
      </c>
      <c r="D3219" s="1" t="s">
        <v>1135</v>
      </c>
      <c r="E3219" s="1" t="n">
        <v>77294.617</v>
      </c>
      <c r="F3219" s="1" t="n">
        <v>50.056</v>
      </c>
      <c r="G3219" s="1" t="n">
        <f aca="false">IF(ISNUMBER(E3219),E3219,VALUE(SUBSTITUTE(E3219,"#",".01")))</f>
        <v>77294.617</v>
      </c>
    </row>
    <row r="3220" customFormat="false" ht="12.75" hidden="false" customHeight="false" outlineLevel="0" collapsed="false">
      <c r="A3220" s="1" t="n">
        <v>152</v>
      </c>
      <c r="B3220" s="1" t="n">
        <v>100</v>
      </c>
      <c r="C3220" s="1" t="n">
        <v>252</v>
      </c>
      <c r="D3220" s="1" t="s">
        <v>1148</v>
      </c>
      <c r="E3220" s="1" t="n">
        <v>76815.627</v>
      </c>
      <c r="F3220" s="1" t="n">
        <v>5.498</v>
      </c>
      <c r="G3220" s="1" t="n">
        <f aca="false">IF(ISNUMBER(E3220),E3220,VALUE(SUBSTITUTE(E3220,"#",".01")))</f>
        <v>76815.627</v>
      </c>
    </row>
    <row r="3221" customFormat="false" ht="12.75" hidden="false" customHeight="false" outlineLevel="0" collapsed="false">
      <c r="A3221" s="1" t="n">
        <v>151</v>
      </c>
      <c r="B3221" s="1" t="n">
        <v>101</v>
      </c>
      <c r="C3221" s="1" t="n">
        <v>252</v>
      </c>
      <c r="D3221" s="1" t="s">
        <v>1170</v>
      </c>
      <c r="E3221" s="1" t="s">
        <v>1203</v>
      </c>
      <c r="F3221" s="1" t="s">
        <v>1204</v>
      </c>
      <c r="G3221" s="1" t="n">
        <f aca="false">IF(ISNUMBER(E3221),E3221,VALUE(SUBSTITUTE(E3221,"#",".01")))</f>
        <v>80510.01</v>
      </c>
    </row>
    <row r="3222" customFormat="false" ht="12.75" hidden="false" customHeight="false" outlineLevel="0" collapsed="false">
      <c r="A3222" s="1" t="n">
        <v>150</v>
      </c>
      <c r="B3222" s="1" t="n">
        <v>102</v>
      </c>
      <c r="C3222" s="1" t="n">
        <v>252</v>
      </c>
      <c r="D3222" s="1" t="s">
        <v>1186</v>
      </c>
      <c r="E3222" s="1" t="n">
        <v>82871.427</v>
      </c>
      <c r="F3222" s="1" t="n">
        <v>9.292</v>
      </c>
      <c r="G3222" s="1" t="n">
        <f aca="false">IF(ISNUMBER(E3222),E3222,VALUE(SUBSTITUTE(E3222,"#",".01")))</f>
        <v>82871.427</v>
      </c>
    </row>
    <row r="3223" customFormat="false" ht="12.75" hidden="false" customHeight="false" outlineLevel="0" collapsed="false">
      <c r="A3223" s="1" t="n">
        <v>149</v>
      </c>
      <c r="B3223" s="1" t="n">
        <v>103</v>
      </c>
      <c r="C3223" s="1" t="n">
        <v>252</v>
      </c>
      <c r="D3223" s="1" t="s">
        <v>1199</v>
      </c>
      <c r="E3223" s="1" t="s">
        <v>1205</v>
      </c>
      <c r="F3223" s="1" t="s">
        <v>1206</v>
      </c>
      <c r="G3223" s="1" t="n">
        <f aca="false">IF(ISNUMBER(E3223),E3223,VALUE(SUBSTITUTE(E3223,"#",".01")))</f>
        <v>88737.01</v>
      </c>
    </row>
    <row r="3224" customFormat="false" ht="12.75" hidden="false" customHeight="false" outlineLevel="0" collapsed="false">
      <c r="A3224" s="1" t="n">
        <v>156</v>
      </c>
      <c r="B3224" s="1" t="n">
        <v>97</v>
      </c>
      <c r="C3224" s="1" t="n">
        <v>253</v>
      </c>
      <c r="D3224" s="1" t="s">
        <v>1105</v>
      </c>
      <c r="E3224" s="1" t="s">
        <v>1207</v>
      </c>
      <c r="F3224" s="1" t="s">
        <v>1208</v>
      </c>
      <c r="G3224" s="1" t="n">
        <f aca="false">IF(ISNUMBER(E3224),E3224,VALUE(SUBSTITUTE(E3224,"#",".01")))</f>
        <v>80929.01</v>
      </c>
    </row>
    <row r="3225" customFormat="false" ht="12.75" hidden="false" customHeight="false" outlineLevel="0" collapsed="false">
      <c r="A3225" s="1" t="n">
        <v>155</v>
      </c>
      <c r="B3225" s="1" t="n">
        <v>98</v>
      </c>
      <c r="C3225" s="1" t="n">
        <v>253</v>
      </c>
      <c r="D3225" s="1" t="s">
        <v>1123</v>
      </c>
      <c r="E3225" s="1" t="n">
        <v>79301.567</v>
      </c>
      <c r="F3225" s="1" t="n">
        <v>4.257</v>
      </c>
      <c r="G3225" s="1" t="n">
        <f aca="false">IF(ISNUMBER(E3225),E3225,VALUE(SUBSTITUTE(E3225,"#",".01")))</f>
        <v>79301.567</v>
      </c>
    </row>
    <row r="3226" customFormat="false" ht="12.75" hidden="false" customHeight="false" outlineLevel="0" collapsed="false">
      <c r="A3226" s="1" t="n">
        <v>154</v>
      </c>
      <c r="B3226" s="1" t="n">
        <v>99</v>
      </c>
      <c r="C3226" s="1" t="n">
        <v>253</v>
      </c>
      <c r="D3226" s="1" t="s">
        <v>1135</v>
      </c>
      <c r="E3226" s="1" t="n">
        <v>79010.538</v>
      </c>
      <c r="F3226" s="1" t="n">
        <v>1.25</v>
      </c>
      <c r="G3226" s="1" t="n">
        <f aca="false">IF(ISNUMBER(E3226),E3226,VALUE(SUBSTITUTE(E3226,"#",".01")))</f>
        <v>79010.538</v>
      </c>
    </row>
    <row r="3227" customFormat="false" ht="12.75" hidden="false" customHeight="false" outlineLevel="0" collapsed="false">
      <c r="A3227" s="1" t="n">
        <v>153</v>
      </c>
      <c r="B3227" s="1" t="n">
        <v>100</v>
      </c>
      <c r="C3227" s="1" t="n">
        <v>253</v>
      </c>
      <c r="D3227" s="1" t="s">
        <v>1148</v>
      </c>
      <c r="E3227" s="1" t="n">
        <v>79345.74</v>
      </c>
      <c r="F3227" s="1" t="n">
        <v>2.932</v>
      </c>
      <c r="G3227" s="1" t="n">
        <f aca="false">IF(ISNUMBER(E3227),E3227,VALUE(SUBSTITUTE(E3227,"#",".01")))</f>
        <v>79345.74</v>
      </c>
    </row>
    <row r="3228" customFormat="false" ht="12.75" hidden="false" customHeight="false" outlineLevel="0" collapsed="false">
      <c r="A3228" s="1" t="n">
        <v>152</v>
      </c>
      <c r="B3228" s="1" t="n">
        <v>101</v>
      </c>
      <c r="C3228" s="1" t="n">
        <v>253</v>
      </c>
      <c r="D3228" s="1" t="s">
        <v>1170</v>
      </c>
      <c r="E3228" s="1" t="s">
        <v>1209</v>
      </c>
      <c r="F3228" s="1" t="s">
        <v>1210</v>
      </c>
      <c r="G3228" s="1" t="n">
        <f aca="false">IF(ISNUMBER(E3228),E3228,VALUE(SUBSTITUTE(E3228,"#",".01")))</f>
        <v>81173.01</v>
      </c>
    </row>
    <row r="3229" customFormat="false" ht="12.75" hidden="false" customHeight="false" outlineLevel="0" collapsed="false">
      <c r="A3229" s="1" t="n">
        <v>151</v>
      </c>
      <c r="B3229" s="1" t="n">
        <v>102</v>
      </c>
      <c r="C3229" s="1" t="n">
        <v>253</v>
      </c>
      <c r="D3229" s="1" t="s">
        <v>1186</v>
      </c>
      <c r="E3229" s="1" t="n">
        <v>84358.735</v>
      </c>
      <c r="F3229" s="1" t="n">
        <v>6.912</v>
      </c>
      <c r="G3229" s="1" t="n">
        <f aca="false">IF(ISNUMBER(E3229),E3229,VALUE(SUBSTITUTE(E3229,"#",".01")))</f>
        <v>84358.735</v>
      </c>
    </row>
    <row r="3230" customFormat="false" ht="12.75" hidden="false" customHeight="false" outlineLevel="0" collapsed="false">
      <c r="A3230" s="1" t="n">
        <v>150</v>
      </c>
      <c r="B3230" s="1" t="n">
        <v>103</v>
      </c>
      <c r="C3230" s="1" t="n">
        <v>253</v>
      </c>
      <c r="D3230" s="1" t="s">
        <v>1199</v>
      </c>
      <c r="E3230" s="1" t="s">
        <v>1211</v>
      </c>
      <c r="F3230" s="1" t="s">
        <v>752</v>
      </c>
      <c r="G3230" s="1" t="n">
        <f aca="false">IF(ISNUMBER(E3230),E3230,VALUE(SUBSTITUTE(E3230,"#",".01")))</f>
        <v>88575.01</v>
      </c>
    </row>
    <row r="3231" customFormat="false" ht="12.75" hidden="false" customHeight="false" outlineLevel="0" collapsed="false">
      <c r="A3231" s="1" t="n">
        <v>149</v>
      </c>
      <c r="B3231" s="1" t="n">
        <v>104</v>
      </c>
      <c r="C3231" s="1" t="n">
        <v>253</v>
      </c>
      <c r="D3231" s="1" t="s">
        <v>1212</v>
      </c>
      <c r="E3231" s="1" t="s">
        <v>1213</v>
      </c>
      <c r="F3231" s="1" t="s">
        <v>1214</v>
      </c>
      <c r="G3231" s="1" t="n">
        <f aca="false">IF(ISNUMBER(E3231),E3231,VALUE(SUBSTITUTE(E3231,"#",".01")))</f>
        <v>93557.01</v>
      </c>
    </row>
    <row r="3232" customFormat="false" ht="12.75" hidden="false" customHeight="false" outlineLevel="0" collapsed="false">
      <c r="A3232" s="1" t="n">
        <v>157</v>
      </c>
      <c r="B3232" s="1" t="n">
        <v>97</v>
      </c>
      <c r="C3232" s="1" t="n">
        <v>254</v>
      </c>
      <c r="D3232" s="1" t="s">
        <v>1105</v>
      </c>
      <c r="E3232" s="1" t="s">
        <v>1215</v>
      </c>
      <c r="F3232" s="1" t="s">
        <v>360</v>
      </c>
      <c r="G3232" s="1" t="n">
        <f aca="false">IF(ISNUMBER(E3232),E3232,VALUE(SUBSTITUTE(E3232,"#",".01")))</f>
        <v>84393.01</v>
      </c>
    </row>
    <row r="3233" customFormat="false" ht="12.75" hidden="false" customHeight="false" outlineLevel="0" collapsed="false">
      <c r="A3233" s="1" t="n">
        <v>156</v>
      </c>
      <c r="B3233" s="1" t="n">
        <v>98</v>
      </c>
      <c r="C3233" s="1" t="n">
        <v>254</v>
      </c>
      <c r="D3233" s="1" t="s">
        <v>1123</v>
      </c>
      <c r="E3233" s="1" t="n">
        <v>81341.401</v>
      </c>
      <c r="F3233" s="1" t="n">
        <v>11.462</v>
      </c>
      <c r="G3233" s="1" t="n">
        <f aca="false">IF(ISNUMBER(E3233),E3233,VALUE(SUBSTITUTE(E3233,"#",".01")))</f>
        <v>81341.401</v>
      </c>
    </row>
    <row r="3234" customFormat="false" ht="12.75" hidden="false" customHeight="false" outlineLevel="0" collapsed="false">
      <c r="A3234" s="1" t="n">
        <v>155</v>
      </c>
      <c r="B3234" s="1" t="n">
        <v>99</v>
      </c>
      <c r="C3234" s="1" t="n">
        <v>254</v>
      </c>
      <c r="D3234" s="1" t="s">
        <v>1135</v>
      </c>
      <c r="E3234" s="1" t="n">
        <v>81990.594</v>
      </c>
      <c r="F3234" s="1" t="n">
        <v>4.01</v>
      </c>
      <c r="G3234" s="1" t="n">
        <f aca="false">IF(ISNUMBER(E3234),E3234,VALUE(SUBSTITUTE(E3234,"#",".01")))</f>
        <v>81990.594</v>
      </c>
    </row>
    <row r="3235" customFormat="false" ht="12.75" hidden="false" customHeight="false" outlineLevel="0" collapsed="false">
      <c r="A3235" s="1" t="n">
        <v>154</v>
      </c>
      <c r="B3235" s="1" t="n">
        <v>100</v>
      </c>
      <c r="C3235" s="1" t="n">
        <v>254</v>
      </c>
      <c r="D3235" s="1" t="s">
        <v>1148</v>
      </c>
      <c r="E3235" s="1" t="n">
        <v>80902.794</v>
      </c>
      <c r="F3235" s="1" t="n">
        <v>2.414</v>
      </c>
      <c r="G3235" s="1" t="n">
        <f aca="false">IF(ISNUMBER(E3235),E3235,VALUE(SUBSTITUTE(E3235,"#",".01")))</f>
        <v>80902.794</v>
      </c>
    </row>
    <row r="3236" customFormat="false" ht="12.75" hidden="false" customHeight="false" outlineLevel="0" collapsed="false">
      <c r="A3236" s="1" t="n">
        <v>153</v>
      </c>
      <c r="B3236" s="1" t="n">
        <v>101</v>
      </c>
      <c r="C3236" s="1" t="n">
        <v>254</v>
      </c>
      <c r="D3236" s="1" t="s">
        <v>1170</v>
      </c>
      <c r="E3236" s="1" t="s">
        <v>1216</v>
      </c>
      <c r="F3236" s="1" t="s">
        <v>533</v>
      </c>
      <c r="G3236" s="1" t="n">
        <f aca="false">IF(ISNUMBER(E3236),E3236,VALUE(SUBSTITUTE(E3236,"#",".01")))</f>
        <v>83453.01</v>
      </c>
    </row>
    <row r="3237" customFormat="false" ht="12.75" hidden="false" customHeight="false" outlineLevel="0" collapsed="false">
      <c r="A3237" s="1" t="n">
        <v>152</v>
      </c>
      <c r="B3237" s="1" t="n">
        <v>102</v>
      </c>
      <c r="C3237" s="1" t="n">
        <v>254</v>
      </c>
      <c r="D3237" s="1" t="s">
        <v>1186</v>
      </c>
      <c r="E3237" s="1" t="n">
        <v>84723.347</v>
      </c>
      <c r="F3237" s="1" t="n">
        <v>9.658</v>
      </c>
      <c r="G3237" s="1" t="n">
        <f aca="false">IF(ISNUMBER(E3237),E3237,VALUE(SUBSTITUTE(E3237,"#",".01")))</f>
        <v>84723.347</v>
      </c>
    </row>
    <row r="3238" customFormat="false" ht="12.75" hidden="false" customHeight="false" outlineLevel="0" collapsed="false">
      <c r="A3238" s="1" t="n">
        <v>151</v>
      </c>
      <c r="B3238" s="1" t="n">
        <v>103</v>
      </c>
      <c r="C3238" s="1" t="n">
        <v>254</v>
      </c>
      <c r="D3238" s="1" t="s">
        <v>1199</v>
      </c>
      <c r="E3238" s="1" t="s">
        <v>1217</v>
      </c>
      <c r="F3238" s="1" t="s">
        <v>1196</v>
      </c>
      <c r="G3238" s="1" t="n">
        <f aca="false">IF(ISNUMBER(E3238),E3238,VALUE(SUBSTITUTE(E3238,"#",".01")))</f>
        <v>89871.01</v>
      </c>
    </row>
    <row r="3239" customFormat="false" ht="12.75" hidden="false" customHeight="false" outlineLevel="0" collapsed="false">
      <c r="A3239" s="1" t="n">
        <v>150</v>
      </c>
      <c r="B3239" s="1" t="n">
        <v>104</v>
      </c>
      <c r="C3239" s="1" t="n">
        <v>254</v>
      </c>
      <c r="D3239" s="1" t="s">
        <v>1212</v>
      </c>
      <c r="E3239" s="1" t="s">
        <v>1218</v>
      </c>
      <c r="F3239" s="1" t="s">
        <v>1125</v>
      </c>
      <c r="G3239" s="1" t="n">
        <f aca="false">IF(ISNUMBER(E3239),E3239,VALUE(SUBSTITUTE(E3239,"#",".01")))</f>
        <v>93199.01</v>
      </c>
    </row>
    <row r="3240" customFormat="false" ht="12.75" hidden="false" customHeight="false" outlineLevel="0" collapsed="false">
      <c r="A3240" s="1" t="n">
        <v>157</v>
      </c>
      <c r="B3240" s="1" t="n">
        <v>98</v>
      </c>
      <c r="C3240" s="1" t="n">
        <v>255</v>
      </c>
      <c r="D3240" s="1" t="s">
        <v>1123</v>
      </c>
      <c r="E3240" s="1" t="s">
        <v>1219</v>
      </c>
      <c r="F3240" s="1" t="s">
        <v>349</v>
      </c>
      <c r="G3240" s="1" t="n">
        <f aca="false">IF(ISNUMBER(E3240),E3240,VALUE(SUBSTITUTE(E3240,"#",".01")))</f>
        <v>84809.01</v>
      </c>
    </row>
    <row r="3241" customFormat="false" ht="12.75" hidden="false" customHeight="false" outlineLevel="0" collapsed="false">
      <c r="A3241" s="1" t="n">
        <v>156</v>
      </c>
      <c r="B3241" s="1" t="n">
        <v>99</v>
      </c>
      <c r="C3241" s="1" t="n">
        <v>255</v>
      </c>
      <c r="D3241" s="1" t="s">
        <v>1135</v>
      </c>
      <c r="E3241" s="1" t="n">
        <v>84089.274</v>
      </c>
      <c r="F3241" s="1" t="n">
        <v>10.817</v>
      </c>
      <c r="G3241" s="1" t="n">
        <f aca="false">IF(ISNUMBER(E3241),E3241,VALUE(SUBSTITUTE(E3241,"#",".01")))</f>
        <v>84089.274</v>
      </c>
    </row>
    <row r="3242" customFormat="false" ht="12.75" hidden="false" customHeight="false" outlineLevel="0" collapsed="false">
      <c r="A3242" s="1" t="n">
        <v>155</v>
      </c>
      <c r="B3242" s="1" t="n">
        <v>100</v>
      </c>
      <c r="C3242" s="1" t="n">
        <v>255</v>
      </c>
      <c r="D3242" s="1" t="s">
        <v>1148</v>
      </c>
      <c r="E3242" s="1" t="n">
        <v>83799.654</v>
      </c>
      <c r="F3242" s="1" t="n">
        <v>4.291</v>
      </c>
      <c r="G3242" s="1" t="n">
        <f aca="false">IF(ISNUMBER(E3242),E3242,VALUE(SUBSTITUTE(E3242,"#",".01")))</f>
        <v>83799.654</v>
      </c>
    </row>
    <row r="3243" customFormat="false" ht="12.75" hidden="false" customHeight="false" outlineLevel="0" collapsed="false">
      <c r="A3243" s="1" t="n">
        <v>154</v>
      </c>
      <c r="B3243" s="1" t="n">
        <v>101</v>
      </c>
      <c r="C3243" s="1" t="n">
        <v>255</v>
      </c>
      <c r="D3243" s="1" t="s">
        <v>1170</v>
      </c>
      <c r="E3243" s="1" t="n">
        <v>84843.07</v>
      </c>
      <c r="F3243" s="1" t="n">
        <v>6.553</v>
      </c>
      <c r="G3243" s="1" t="n">
        <f aca="false">IF(ISNUMBER(E3243),E3243,VALUE(SUBSTITUTE(E3243,"#",".01")))</f>
        <v>84843.07</v>
      </c>
    </row>
    <row r="3244" customFormat="false" ht="12.75" hidden="false" customHeight="false" outlineLevel="0" collapsed="false">
      <c r="A3244" s="1" t="n">
        <v>153</v>
      </c>
      <c r="B3244" s="1" t="n">
        <v>102</v>
      </c>
      <c r="C3244" s="1" t="n">
        <v>255</v>
      </c>
      <c r="D3244" s="1" t="s">
        <v>1186</v>
      </c>
      <c r="E3244" s="1" t="n">
        <v>86807.234</v>
      </c>
      <c r="F3244" s="1" t="n">
        <v>14.904</v>
      </c>
      <c r="G3244" s="1" t="n">
        <f aca="false">IF(ISNUMBER(E3244),E3244,VALUE(SUBSTITUTE(E3244,"#",".01")))</f>
        <v>86807.234</v>
      </c>
    </row>
    <row r="3245" customFormat="false" ht="12.75" hidden="false" customHeight="false" outlineLevel="0" collapsed="false">
      <c r="A3245" s="1" t="n">
        <v>152</v>
      </c>
      <c r="B3245" s="1" t="n">
        <v>103</v>
      </c>
      <c r="C3245" s="1" t="n">
        <v>255</v>
      </c>
      <c r="D3245" s="1" t="s">
        <v>1199</v>
      </c>
      <c r="E3245" s="1" t="n">
        <v>89947.3</v>
      </c>
      <c r="F3245" s="1" t="n">
        <v>17.698</v>
      </c>
      <c r="G3245" s="1" t="n">
        <f aca="false">IF(ISNUMBER(E3245),E3245,VALUE(SUBSTITUTE(E3245,"#",".01")))</f>
        <v>89947.3</v>
      </c>
    </row>
    <row r="3246" customFormat="false" ht="12.75" hidden="false" customHeight="false" outlineLevel="0" collapsed="false">
      <c r="A3246" s="1" t="n">
        <v>151</v>
      </c>
      <c r="B3246" s="1" t="n">
        <v>104</v>
      </c>
      <c r="C3246" s="1" t="n">
        <v>255</v>
      </c>
      <c r="D3246" s="1" t="s">
        <v>1212</v>
      </c>
      <c r="E3246" s="1" t="s">
        <v>1220</v>
      </c>
      <c r="F3246" s="1" t="s">
        <v>1179</v>
      </c>
      <c r="G3246" s="1" t="n">
        <f aca="false">IF(ISNUMBER(E3246),E3246,VALUE(SUBSTITUTE(E3246,"#",".01")))</f>
        <v>94330.01</v>
      </c>
    </row>
    <row r="3247" customFormat="false" ht="12.75" hidden="false" customHeight="false" outlineLevel="0" collapsed="false">
      <c r="A3247" s="1" t="n">
        <v>150</v>
      </c>
      <c r="B3247" s="1" t="n">
        <v>105</v>
      </c>
      <c r="C3247" s="1" t="n">
        <v>255</v>
      </c>
      <c r="D3247" s="1" t="s">
        <v>1221</v>
      </c>
      <c r="E3247" s="1" t="s">
        <v>1222</v>
      </c>
      <c r="F3247" s="1" t="s">
        <v>1208</v>
      </c>
      <c r="G3247" s="1" t="n">
        <f aca="false">IF(ISNUMBER(E3247),E3247,VALUE(SUBSTITUTE(E3247,"#",".01")))</f>
        <v>99593.01</v>
      </c>
    </row>
    <row r="3248" customFormat="false" ht="12.75" hidden="false" customHeight="false" outlineLevel="0" collapsed="false">
      <c r="A3248" s="1" t="n">
        <v>158</v>
      </c>
      <c r="B3248" s="1" t="n">
        <v>98</v>
      </c>
      <c r="C3248" s="1" t="n">
        <v>256</v>
      </c>
      <c r="D3248" s="1" t="s">
        <v>1123</v>
      </c>
      <c r="E3248" s="1" t="s">
        <v>1223</v>
      </c>
      <c r="F3248" s="1" t="s">
        <v>902</v>
      </c>
      <c r="G3248" s="1" t="n">
        <f aca="false">IF(ISNUMBER(E3248),E3248,VALUE(SUBSTITUTE(E3248,"#",".01")))</f>
        <v>87041.01</v>
      </c>
    </row>
    <row r="3249" customFormat="false" ht="12.75" hidden="false" customHeight="false" outlineLevel="0" collapsed="false">
      <c r="A3249" s="1" t="n">
        <v>157</v>
      </c>
      <c r="B3249" s="1" t="n">
        <v>99</v>
      </c>
      <c r="C3249" s="1" t="n">
        <v>256</v>
      </c>
      <c r="D3249" s="1" t="s">
        <v>1135</v>
      </c>
      <c r="E3249" s="1" t="s">
        <v>1224</v>
      </c>
      <c r="F3249" s="1" t="s">
        <v>533</v>
      </c>
      <c r="G3249" s="1" t="n">
        <f aca="false">IF(ISNUMBER(E3249),E3249,VALUE(SUBSTITUTE(E3249,"#",".01")))</f>
        <v>87187.01</v>
      </c>
    </row>
    <row r="3250" customFormat="false" ht="12.75" hidden="false" customHeight="false" outlineLevel="0" collapsed="false">
      <c r="A3250" s="1" t="n">
        <v>156</v>
      </c>
      <c r="B3250" s="1" t="n">
        <v>100</v>
      </c>
      <c r="C3250" s="1" t="n">
        <v>256</v>
      </c>
      <c r="D3250" s="1" t="s">
        <v>1148</v>
      </c>
      <c r="E3250" s="1" t="n">
        <v>85486.817</v>
      </c>
      <c r="F3250" s="1" t="n">
        <v>5.6</v>
      </c>
      <c r="G3250" s="1" t="n">
        <f aca="false">IF(ISNUMBER(E3250),E3250,VALUE(SUBSTITUTE(E3250,"#",".01")))</f>
        <v>85486.817</v>
      </c>
    </row>
    <row r="3251" customFormat="false" ht="12.75" hidden="false" customHeight="false" outlineLevel="0" collapsed="false">
      <c r="A3251" s="1" t="n">
        <v>155</v>
      </c>
      <c r="B3251" s="1" t="n">
        <v>101</v>
      </c>
      <c r="C3251" s="1" t="n">
        <v>256</v>
      </c>
      <c r="D3251" s="1" t="s">
        <v>1170</v>
      </c>
      <c r="E3251" s="1" t="s">
        <v>1225</v>
      </c>
      <c r="F3251" s="1" t="s">
        <v>1226</v>
      </c>
      <c r="G3251" s="1" t="n">
        <f aca="false">IF(ISNUMBER(E3251),E3251,VALUE(SUBSTITUTE(E3251,"#",".01")))</f>
        <v>87456.01</v>
      </c>
    </row>
    <row r="3252" customFormat="false" ht="12.75" hidden="false" customHeight="false" outlineLevel="0" collapsed="false">
      <c r="A3252" s="1" t="n">
        <v>154</v>
      </c>
      <c r="B3252" s="1" t="n">
        <v>102</v>
      </c>
      <c r="C3252" s="1" t="n">
        <v>256</v>
      </c>
      <c r="D3252" s="1" t="s">
        <v>1186</v>
      </c>
      <c r="E3252" s="1" t="n">
        <v>87822.062</v>
      </c>
      <c r="F3252" s="1" t="n">
        <v>7.743</v>
      </c>
      <c r="G3252" s="1" t="n">
        <f aca="false">IF(ISNUMBER(E3252),E3252,VALUE(SUBSTITUTE(E3252,"#",".01")))</f>
        <v>87822.062</v>
      </c>
    </row>
    <row r="3253" customFormat="false" ht="12.75" hidden="false" customHeight="false" outlineLevel="0" collapsed="false">
      <c r="A3253" s="1" t="n">
        <v>153</v>
      </c>
      <c r="B3253" s="1" t="n">
        <v>103</v>
      </c>
      <c r="C3253" s="1" t="n">
        <v>256</v>
      </c>
      <c r="D3253" s="1" t="s">
        <v>1199</v>
      </c>
      <c r="E3253" s="1" t="n">
        <v>91746.598</v>
      </c>
      <c r="F3253" s="1" t="n">
        <v>82.903</v>
      </c>
      <c r="G3253" s="1" t="n">
        <f aca="false">IF(ISNUMBER(E3253),E3253,VALUE(SUBSTITUTE(E3253,"#",".01")))</f>
        <v>91746.598</v>
      </c>
    </row>
    <row r="3254" customFormat="false" ht="12.75" hidden="false" customHeight="false" outlineLevel="0" collapsed="false">
      <c r="A3254" s="1" t="n">
        <v>152</v>
      </c>
      <c r="B3254" s="1" t="n">
        <v>104</v>
      </c>
      <c r="C3254" s="1" t="n">
        <v>256</v>
      </c>
      <c r="D3254" s="1" t="s">
        <v>1212</v>
      </c>
      <c r="E3254" s="1" t="n">
        <v>94222.049</v>
      </c>
      <c r="F3254" s="1" t="n">
        <v>17.848</v>
      </c>
      <c r="G3254" s="1" t="n">
        <f aca="false">IF(ISNUMBER(E3254),E3254,VALUE(SUBSTITUTE(E3254,"#",".01")))</f>
        <v>94222.049</v>
      </c>
    </row>
    <row r="3255" customFormat="false" ht="12.75" hidden="false" customHeight="false" outlineLevel="0" collapsed="false">
      <c r="A3255" s="1" t="n">
        <v>151</v>
      </c>
      <c r="B3255" s="1" t="n">
        <v>105</v>
      </c>
      <c r="C3255" s="1" t="n">
        <v>256</v>
      </c>
      <c r="D3255" s="1" t="s">
        <v>1221</v>
      </c>
      <c r="E3255" s="1" t="s">
        <v>1227</v>
      </c>
      <c r="F3255" s="1" t="s">
        <v>1228</v>
      </c>
      <c r="G3255" s="1" t="n">
        <f aca="false">IF(ISNUMBER(E3255),E3255,VALUE(SUBSTITUTE(E3255,"#",".01")))</f>
        <v>100498.01</v>
      </c>
    </row>
    <row r="3256" customFormat="false" ht="12.75" hidden="false" customHeight="false" outlineLevel="0" collapsed="false">
      <c r="A3256" s="1" t="n">
        <v>158</v>
      </c>
      <c r="B3256" s="1" t="n">
        <v>99</v>
      </c>
      <c r="C3256" s="1" t="n">
        <v>257</v>
      </c>
      <c r="D3256" s="1" t="s">
        <v>1135</v>
      </c>
      <c r="E3256" s="1" t="s">
        <v>1229</v>
      </c>
      <c r="F3256" s="1" t="s">
        <v>1230</v>
      </c>
      <c r="G3256" s="1" t="n">
        <f aca="false">IF(ISNUMBER(E3256),E3256,VALUE(SUBSTITUTE(E3256,"#",".01")))</f>
        <v>89403.01</v>
      </c>
    </row>
    <row r="3257" customFormat="false" ht="12.75" hidden="false" customHeight="false" outlineLevel="0" collapsed="false">
      <c r="A3257" s="1" t="n">
        <v>157</v>
      </c>
      <c r="B3257" s="1" t="n">
        <v>100</v>
      </c>
      <c r="C3257" s="1" t="n">
        <v>257</v>
      </c>
      <c r="D3257" s="1" t="s">
        <v>1148</v>
      </c>
      <c r="E3257" s="1" t="n">
        <v>88590.033</v>
      </c>
      <c r="F3257" s="1" t="n">
        <v>4.486</v>
      </c>
      <c r="G3257" s="1" t="n">
        <f aca="false">IF(ISNUMBER(E3257),E3257,VALUE(SUBSTITUTE(E3257,"#",".01")))</f>
        <v>88590.033</v>
      </c>
    </row>
    <row r="3258" customFormat="false" ht="12.75" hidden="false" customHeight="false" outlineLevel="0" collapsed="false">
      <c r="A3258" s="1" t="n">
        <v>156</v>
      </c>
      <c r="B3258" s="1" t="n">
        <v>101</v>
      </c>
      <c r="C3258" s="1" t="n">
        <v>257</v>
      </c>
      <c r="D3258" s="1" t="s">
        <v>1170</v>
      </c>
      <c r="E3258" s="1" t="n">
        <v>88993.053</v>
      </c>
      <c r="F3258" s="1" t="n">
        <v>1.601</v>
      </c>
      <c r="G3258" s="1" t="n">
        <f aca="false">IF(ISNUMBER(E3258),E3258,VALUE(SUBSTITUTE(E3258,"#",".01")))</f>
        <v>88993.053</v>
      </c>
    </row>
    <row r="3259" customFormat="false" ht="12.75" hidden="false" customHeight="false" outlineLevel="0" collapsed="false">
      <c r="A3259" s="1" t="n">
        <v>155</v>
      </c>
      <c r="B3259" s="1" t="n">
        <v>102</v>
      </c>
      <c r="C3259" s="1" t="n">
        <v>257</v>
      </c>
      <c r="D3259" s="1" t="s">
        <v>1186</v>
      </c>
      <c r="E3259" s="1" t="n">
        <v>90247.256</v>
      </c>
      <c r="F3259" s="1" t="n">
        <v>6.678</v>
      </c>
      <c r="G3259" s="1" t="n">
        <f aca="false">IF(ISNUMBER(E3259),E3259,VALUE(SUBSTITUTE(E3259,"#",".01")))</f>
        <v>90247.256</v>
      </c>
    </row>
    <row r="3260" customFormat="false" ht="12.75" hidden="false" customHeight="false" outlineLevel="0" collapsed="false">
      <c r="A3260" s="1" t="n">
        <v>154</v>
      </c>
      <c r="B3260" s="1" t="n">
        <v>103</v>
      </c>
      <c r="C3260" s="1" t="n">
        <v>257</v>
      </c>
      <c r="D3260" s="1" t="s">
        <v>1199</v>
      </c>
      <c r="E3260" s="1" t="s">
        <v>1231</v>
      </c>
      <c r="F3260" s="1" t="s">
        <v>1232</v>
      </c>
      <c r="G3260" s="1" t="n">
        <f aca="false">IF(ISNUMBER(E3260),E3260,VALUE(SUBSTITUTE(E3260,"#",".01")))</f>
        <v>92665.01</v>
      </c>
    </row>
    <row r="3261" customFormat="false" ht="12.75" hidden="false" customHeight="false" outlineLevel="0" collapsed="false">
      <c r="A3261" s="1" t="n">
        <v>153</v>
      </c>
      <c r="B3261" s="1" t="n">
        <v>104</v>
      </c>
      <c r="C3261" s="1" t="n">
        <v>257</v>
      </c>
      <c r="D3261" s="1" t="s">
        <v>1212</v>
      </c>
      <c r="E3261" s="1" t="n">
        <v>95866.427</v>
      </c>
      <c r="F3261" s="1" t="n">
        <v>10.817</v>
      </c>
      <c r="G3261" s="1" t="n">
        <f aca="false">IF(ISNUMBER(E3261),E3261,VALUE(SUBSTITUTE(E3261,"#",".01")))</f>
        <v>95866.427</v>
      </c>
    </row>
    <row r="3262" customFormat="false" ht="12.75" hidden="false" customHeight="false" outlineLevel="0" collapsed="false">
      <c r="A3262" s="1" t="n">
        <v>152</v>
      </c>
      <c r="B3262" s="1" t="n">
        <v>105</v>
      </c>
      <c r="C3262" s="1" t="n">
        <v>257</v>
      </c>
      <c r="D3262" s="1" t="s">
        <v>1221</v>
      </c>
      <c r="E3262" s="1" t="s">
        <v>1233</v>
      </c>
      <c r="F3262" s="1" t="s">
        <v>488</v>
      </c>
      <c r="G3262" s="1" t="n">
        <f aca="false">IF(ISNUMBER(E3262),E3262,VALUE(SUBSTITUTE(E3262,"#",".01")))</f>
        <v>100207.01</v>
      </c>
    </row>
    <row r="3263" customFormat="false" ht="12.75" hidden="false" customHeight="false" outlineLevel="0" collapsed="false">
      <c r="A3263" s="1" t="n">
        <v>159</v>
      </c>
      <c r="B3263" s="1" t="n">
        <v>99</v>
      </c>
      <c r="C3263" s="1" t="n">
        <v>258</v>
      </c>
      <c r="D3263" s="1" t="s">
        <v>1135</v>
      </c>
      <c r="E3263" s="1" t="s">
        <v>1234</v>
      </c>
      <c r="F3263" s="1" t="s">
        <v>320</v>
      </c>
      <c r="G3263" s="1" t="n">
        <f aca="false">IF(ISNUMBER(E3263),E3263,VALUE(SUBSTITUTE(E3263,"#",".01")))</f>
        <v>92702.01</v>
      </c>
    </row>
    <row r="3264" customFormat="false" ht="12.75" hidden="false" customHeight="false" outlineLevel="0" collapsed="false">
      <c r="A3264" s="1" t="n">
        <v>158</v>
      </c>
      <c r="B3264" s="1" t="n">
        <v>100</v>
      </c>
      <c r="C3264" s="1" t="n">
        <v>258</v>
      </c>
      <c r="D3264" s="1" t="s">
        <v>1148</v>
      </c>
      <c r="E3264" s="1" t="s">
        <v>1235</v>
      </c>
      <c r="F3264" s="1" t="s">
        <v>349</v>
      </c>
      <c r="G3264" s="1" t="n">
        <f aca="false">IF(ISNUMBER(E3264),E3264,VALUE(SUBSTITUTE(E3264,"#",".01")))</f>
        <v>90426.01</v>
      </c>
    </row>
    <row r="3265" customFormat="false" ht="12.75" hidden="false" customHeight="false" outlineLevel="0" collapsed="false">
      <c r="A3265" s="1" t="n">
        <v>157</v>
      </c>
      <c r="B3265" s="1" t="n">
        <v>101</v>
      </c>
      <c r="C3265" s="1" t="n">
        <v>258</v>
      </c>
      <c r="D3265" s="1" t="s">
        <v>1170</v>
      </c>
      <c r="E3265" s="1" t="n">
        <v>91686.792</v>
      </c>
      <c r="F3265" s="1" t="n">
        <v>4.419</v>
      </c>
      <c r="G3265" s="1" t="n">
        <f aca="false">IF(ISNUMBER(E3265),E3265,VALUE(SUBSTITUTE(E3265,"#",".01")))</f>
        <v>91686.792</v>
      </c>
    </row>
    <row r="3266" customFormat="false" ht="12.75" hidden="false" customHeight="false" outlineLevel="0" collapsed="false">
      <c r="A3266" s="1" t="n">
        <v>156</v>
      </c>
      <c r="B3266" s="1" t="n">
        <v>102</v>
      </c>
      <c r="C3266" s="1" t="n">
        <v>258</v>
      </c>
      <c r="D3266" s="1" t="s">
        <v>1186</v>
      </c>
      <c r="E3266" s="1" t="s">
        <v>1236</v>
      </c>
      <c r="F3266" s="1" t="s">
        <v>533</v>
      </c>
      <c r="G3266" s="1" t="n">
        <f aca="false">IF(ISNUMBER(E3266),E3266,VALUE(SUBSTITUTE(E3266,"#",".01")))</f>
        <v>91478.01</v>
      </c>
    </row>
    <row r="3267" customFormat="false" ht="12.75" hidden="false" customHeight="false" outlineLevel="0" collapsed="false">
      <c r="A3267" s="1" t="n">
        <v>155</v>
      </c>
      <c r="B3267" s="1" t="n">
        <v>103</v>
      </c>
      <c r="C3267" s="1" t="n">
        <v>258</v>
      </c>
      <c r="D3267" s="1" t="s">
        <v>1199</v>
      </c>
      <c r="E3267" s="1" t="s">
        <v>1237</v>
      </c>
      <c r="F3267" s="1" t="s">
        <v>677</v>
      </c>
      <c r="G3267" s="1" t="n">
        <f aca="false">IF(ISNUMBER(E3267),E3267,VALUE(SUBSTITUTE(E3267,"#",".01")))</f>
        <v>94782.01</v>
      </c>
    </row>
    <row r="3268" customFormat="false" ht="12.75" hidden="false" customHeight="false" outlineLevel="0" collapsed="false">
      <c r="A3268" s="1" t="n">
        <v>154</v>
      </c>
      <c r="B3268" s="1" t="n">
        <v>104</v>
      </c>
      <c r="C3268" s="1" t="n">
        <v>258</v>
      </c>
      <c r="D3268" s="1" t="s">
        <v>1212</v>
      </c>
      <c r="E3268" s="1" t="n">
        <v>96341.036</v>
      </c>
      <c r="F3268" s="1" t="n">
        <v>31.967</v>
      </c>
      <c r="G3268" s="1" t="n">
        <f aca="false">IF(ISNUMBER(E3268),E3268,VALUE(SUBSTITUTE(E3268,"#",".01")))</f>
        <v>96341.036</v>
      </c>
    </row>
    <row r="3269" customFormat="false" ht="12.75" hidden="false" customHeight="false" outlineLevel="0" collapsed="false">
      <c r="A3269" s="1" t="n">
        <v>153</v>
      </c>
      <c r="B3269" s="1" t="n">
        <v>105</v>
      </c>
      <c r="C3269" s="1" t="n">
        <v>258</v>
      </c>
      <c r="D3269" s="1" t="s">
        <v>1221</v>
      </c>
      <c r="E3269" s="1" t="s">
        <v>1238</v>
      </c>
      <c r="F3269" s="1" t="s">
        <v>879</v>
      </c>
      <c r="G3269" s="1" t="n">
        <f aca="false">IF(ISNUMBER(E3269),E3269,VALUE(SUBSTITUTE(E3269,"#",".01")))</f>
        <v>101797.01</v>
      </c>
    </row>
    <row r="3270" customFormat="false" ht="12.75" hidden="false" customHeight="false" outlineLevel="0" collapsed="false">
      <c r="A3270" s="1" t="n">
        <v>152</v>
      </c>
      <c r="B3270" s="1" t="n">
        <v>106</v>
      </c>
      <c r="C3270" s="1" t="n">
        <v>258</v>
      </c>
      <c r="D3270" s="1" t="s">
        <v>1239</v>
      </c>
      <c r="E3270" s="1" t="s">
        <v>1240</v>
      </c>
      <c r="F3270" s="1" t="s">
        <v>1241</v>
      </c>
      <c r="G3270" s="1" t="n">
        <f aca="false">IF(ISNUMBER(E3270),E3270,VALUE(SUBSTITUTE(E3270,"#",".01")))</f>
        <v>105244.01</v>
      </c>
    </row>
    <row r="3271" customFormat="false" ht="12.75" hidden="false" customHeight="false" outlineLevel="0" collapsed="false">
      <c r="A3271" s="1" t="n">
        <v>159</v>
      </c>
      <c r="B3271" s="1" t="n">
        <v>100</v>
      </c>
      <c r="C3271" s="1" t="n">
        <v>259</v>
      </c>
      <c r="D3271" s="1" t="s">
        <v>1148</v>
      </c>
      <c r="E3271" s="1" t="s">
        <v>1242</v>
      </c>
      <c r="F3271" s="1" t="s">
        <v>1125</v>
      </c>
      <c r="G3271" s="1" t="n">
        <f aca="false">IF(ISNUMBER(E3271),E3271,VALUE(SUBSTITUTE(E3271,"#",".01")))</f>
        <v>93704.01</v>
      </c>
    </row>
    <row r="3272" customFormat="false" ht="12.75" hidden="false" customHeight="false" outlineLevel="0" collapsed="false">
      <c r="A3272" s="1" t="n">
        <v>158</v>
      </c>
      <c r="B3272" s="1" t="n">
        <v>101</v>
      </c>
      <c r="C3272" s="1" t="n">
        <v>259</v>
      </c>
      <c r="D3272" s="1" t="s">
        <v>1170</v>
      </c>
      <c r="E3272" s="1" t="s">
        <v>1243</v>
      </c>
      <c r="F3272" s="1" t="s">
        <v>349</v>
      </c>
      <c r="G3272" s="1" t="n">
        <f aca="false">IF(ISNUMBER(E3272),E3272,VALUE(SUBSTITUTE(E3272,"#",".01")))</f>
        <v>93624.01</v>
      </c>
    </row>
    <row r="3273" customFormat="false" ht="12.75" hidden="false" customHeight="false" outlineLevel="0" collapsed="false">
      <c r="A3273" s="1" t="n">
        <v>157</v>
      </c>
      <c r="B3273" s="1" t="n">
        <v>102</v>
      </c>
      <c r="C3273" s="1" t="n">
        <v>259</v>
      </c>
      <c r="D3273" s="1" t="s">
        <v>1186</v>
      </c>
      <c r="E3273" s="1" t="n">
        <v>94078.569</v>
      </c>
      <c r="F3273" s="1" t="n">
        <v>6.589</v>
      </c>
      <c r="G3273" s="1" t="n">
        <f aca="false">IF(ISNUMBER(E3273),E3273,VALUE(SUBSTITUTE(E3273,"#",".01")))</f>
        <v>94078.569</v>
      </c>
    </row>
    <row r="3274" customFormat="false" ht="12.75" hidden="false" customHeight="false" outlineLevel="0" collapsed="false">
      <c r="A3274" s="1" t="n">
        <v>156</v>
      </c>
      <c r="B3274" s="1" t="n">
        <v>103</v>
      </c>
      <c r="C3274" s="1" t="n">
        <v>259</v>
      </c>
      <c r="D3274" s="1" t="s">
        <v>1199</v>
      </c>
      <c r="E3274" s="1" t="s">
        <v>1244</v>
      </c>
      <c r="F3274" s="1" t="s">
        <v>1057</v>
      </c>
      <c r="G3274" s="1" t="n">
        <f aca="false">IF(ISNUMBER(E3274),E3274,VALUE(SUBSTITUTE(E3274,"#",".01")))</f>
        <v>95852.01</v>
      </c>
    </row>
    <row r="3275" customFormat="false" ht="12.75" hidden="false" customHeight="false" outlineLevel="0" collapsed="false">
      <c r="A3275" s="1" t="n">
        <v>155</v>
      </c>
      <c r="B3275" s="1" t="n">
        <v>104</v>
      </c>
      <c r="C3275" s="1" t="n">
        <v>259</v>
      </c>
      <c r="D3275" s="1" t="s">
        <v>1212</v>
      </c>
      <c r="E3275" s="1" t="s">
        <v>1245</v>
      </c>
      <c r="F3275" s="1" t="s">
        <v>1074</v>
      </c>
      <c r="G3275" s="1" t="n">
        <f aca="false">IF(ISNUMBER(E3275),E3275,VALUE(SUBSTITUTE(E3275,"#",".01")))</f>
        <v>98362.01</v>
      </c>
    </row>
    <row r="3276" customFormat="false" ht="12.75" hidden="false" customHeight="false" outlineLevel="0" collapsed="false">
      <c r="A3276" s="1" t="n">
        <v>154</v>
      </c>
      <c r="B3276" s="1" t="n">
        <v>105</v>
      </c>
      <c r="C3276" s="1" t="n">
        <v>259</v>
      </c>
      <c r="D3276" s="1" t="s">
        <v>1221</v>
      </c>
      <c r="E3276" s="1" t="n">
        <v>101991.016</v>
      </c>
      <c r="F3276" s="1" t="n">
        <v>53.04</v>
      </c>
      <c r="G3276" s="1" t="n">
        <f aca="false">IF(ISNUMBER(E3276),E3276,VALUE(SUBSTITUTE(E3276,"#",".01")))</f>
        <v>101991.016</v>
      </c>
    </row>
    <row r="3277" customFormat="false" ht="12.75" hidden="false" customHeight="false" outlineLevel="0" collapsed="false">
      <c r="A3277" s="1" t="n">
        <v>153</v>
      </c>
      <c r="B3277" s="1" t="n">
        <v>106</v>
      </c>
      <c r="C3277" s="1" t="n">
        <v>259</v>
      </c>
      <c r="D3277" s="1" t="s">
        <v>1239</v>
      </c>
      <c r="E3277" s="1" t="s">
        <v>1246</v>
      </c>
      <c r="F3277" s="1" t="s">
        <v>1179</v>
      </c>
      <c r="G3277" s="1" t="n">
        <f aca="false">IF(ISNUMBER(E3277),E3277,VALUE(SUBSTITUTE(E3277,"#",".01")))</f>
        <v>106520.01</v>
      </c>
    </row>
    <row r="3278" customFormat="false" ht="12.75" hidden="false" customHeight="false" outlineLevel="0" collapsed="false">
      <c r="A3278" s="1" t="n">
        <v>160</v>
      </c>
      <c r="B3278" s="1" t="n">
        <v>100</v>
      </c>
      <c r="C3278" s="1" t="n">
        <v>260</v>
      </c>
      <c r="D3278" s="1" t="s">
        <v>1148</v>
      </c>
      <c r="E3278" s="1" t="s">
        <v>1247</v>
      </c>
      <c r="F3278" s="1" t="s">
        <v>1248</v>
      </c>
      <c r="G3278" s="1" t="n">
        <f aca="false">IF(ISNUMBER(E3278),E3278,VALUE(SUBSTITUTE(E3278,"#",".01")))</f>
        <v>95766.01</v>
      </c>
    </row>
    <row r="3279" customFormat="false" ht="12.75" hidden="false" customHeight="false" outlineLevel="0" collapsed="false">
      <c r="A3279" s="1" t="n">
        <v>159</v>
      </c>
      <c r="B3279" s="1" t="n">
        <v>101</v>
      </c>
      <c r="C3279" s="1" t="n">
        <v>260</v>
      </c>
      <c r="D3279" s="1" t="s">
        <v>1170</v>
      </c>
      <c r="E3279" s="1" t="s">
        <v>1249</v>
      </c>
      <c r="F3279" s="1" t="s">
        <v>1250</v>
      </c>
      <c r="G3279" s="1" t="n">
        <f aca="false">IF(ISNUMBER(E3279),E3279,VALUE(SUBSTITUTE(E3279,"#",".01")))</f>
        <v>96552.01</v>
      </c>
    </row>
    <row r="3280" customFormat="false" ht="12.75" hidden="false" customHeight="false" outlineLevel="0" collapsed="false">
      <c r="A3280" s="1" t="n">
        <v>158</v>
      </c>
      <c r="B3280" s="1" t="n">
        <v>102</v>
      </c>
      <c r="C3280" s="1" t="n">
        <v>260</v>
      </c>
      <c r="D3280" s="1" t="s">
        <v>1186</v>
      </c>
      <c r="E3280" s="1" t="s">
        <v>1251</v>
      </c>
      <c r="F3280" s="1" t="s">
        <v>349</v>
      </c>
      <c r="G3280" s="1" t="n">
        <f aca="false">IF(ISNUMBER(E3280),E3280,VALUE(SUBSTITUTE(E3280,"#",".01")))</f>
        <v>95612.01</v>
      </c>
    </row>
    <row r="3281" customFormat="false" ht="12.75" hidden="false" customHeight="false" outlineLevel="0" collapsed="false">
      <c r="A3281" s="1" t="n">
        <v>157</v>
      </c>
      <c r="B3281" s="1" t="n">
        <v>103</v>
      </c>
      <c r="C3281" s="1" t="n">
        <v>260</v>
      </c>
      <c r="D3281" s="1" t="s">
        <v>1199</v>
      </c>
      <c r="E3281" s="1" t="s">
        <v>1252</v>
      </c>
      <c r="F3281" s="1" t="s">
        <v>1253</v>
      </c>
      <c r="G3281" s="1" t="n">
        <f aca="false">IF(ISNUMBER(E3281),E3281,VALUE(SUBSTITUTE(E3281,"#",".01")))</f>
        <v>98277.01</v>
      </c>
    </row>
    <row r="3282" customFormat="false" ht="12.75" hidden="false" customHeight="false" outlineLevel="0" collapsed="false">
      <c r="A3282" s="1" t="n">
        <v>156</v>
      </c>
      <c r="B3282" s="1" t="n">
        <v>104</v>
      </c>
      <c r="C3282" s="1" t="n">
        <v>260</v>
      </c>
      <c r="D3282" s="1" t="s">
        <v>1212</v>
      </c>
      <c r="E3282" s="1" t="s">
        <v>1254</v>
      </c>
      <c r="F3282" s="1" t="s">
        <v>349</v>
      </c>
      <c r="G3282" s="1" t="n">
        <f aca="false">IF(ISNUMBER(E3282),E3282,VALUE(SUBSTITUTE(E3282,"#",".01")))</f>
        <v>99147.01</v>
      </c>
    </row>
    <row r="3283" customFormat="false" ht="12.75" hidden="false" customHeight="false" outlineLevel="0" collapsed="false">
      <c r="A3283" s="1" t="n">
        <v>155</v>
      </c>
      <c r="B3283" s="1" t="n">
        <v>105</v>
      </c>
      <c r="C3283" s="1" t="n">
        <v>260</v>
      </c>
      <c r="D3283" s="1" t="s">
        <v>1221</v>
      </c>
      <c r="E3283" s="1" t="s">
        <v>1255</v>
      </c>
      <c r="F3283" s="1" t="s">
        <v>1256</v>
      </c>
      <c r="G3283" s="1" t="n">
        <f aca="false">IF(ISNUMBER(E3283),E3283,VALUE(SUBSTITUTE(E3283,"#",".01")))</f>
        <v>103673.01</v>
      </c>
    </row>
    <row r="3284" customFormat="false" ht="12.75" hidden="false" customHeight="false" outlineLevel="0" collapsed="false">
      <c r="A3284" s="1" t="n">
        <v>154</v>
      </c>
      <c r="B3284" s="1" t="n">
        <v>106</v>
      </c>
      <c r="C3284" s="1" t="n">
        <v>260</v>
      </c>
      <c r="D3284" s="1" t="s">
        <v>1239</v>
      </c>
      <c r="E3284" s="1" t="n">
        <v>106547.552</v>
      </c>
      <c r="F3284" s="1" t="n">
        <v>20.536</v>
      </c>
      <c r="G3284" s="1" t="n">
        <f aca="false">IF(ISNUMBER(E3284),E3284,VALUE(SUBSTITUTE(E3284,"#",".01")))</f>
        <v>106547.552</v>
      </c>
    </row>
    <row r="3285" customFormat="false" ht="12.75" hidden="false" customHeight="false" outlineLevel="0" collapsed="false">
      <c r="A3285" s="1" t="n">
        <v>153</v>
      </c>
      <c r="B3285" s="1" t="n">
        <v>107</v>
      </c>
      <c r="C3285" s="1" t="n">
        <v>260</v>
      </c>
      <c r="D3285" s="1" t="s">
        <v>1257</v>
      </c>
      <c r="E3285" s="1" t="s">
        <v>1258</v>
      </c>
      <c r="F3285" s="1" t="s">
        <v>1259</v>
      </c>
      <c r="G3285" s="1" t="n">
        <f aca="false">IF(ISNUMBER(E3285),E3285,VALUE(SUBSTITUTE(E3285,"#",".01")))</f>
        <v>113323.01</v>
      </c>
    </row>
    <row r="3286" customFormat="false" ht="12.75" hidden="false" customHeight="false" outlineLevel="0" collapsed="false">
      <c r="A3286" s="1" t="n">
        <v>160</v>
      </c>
      <c r="B3286" s="1" t="n">
        <v>101</v>
      </c>
      <c r="C3286" s="1" t="n">
        <v>261</v>
      </c>
      <c r="D3286" s="1" t="s">
        <v>1170</v>
      </c>
      <c r="E3286" s="1" t="s">
        <v>1260</v>
      </c>
      <c r="F3286" s="1" t="s">
        <v>1261</v>
      </c>
      <c r="G3286" s="1" t="n">
        <f aca="false">IF(ISNUMBER(E3286),E3286,VALUE(SUBSTITUTE(E3286,"#",".01")))</f>
        <v>98578.01</v>
      </c>
    </row>
    <row r="3287" customFormat="false" ht="12.75" hidden="false" customHeight="false" outlineLevel="0" collapsed="false">
      <c r="A3287" s="1" t="n">
        <v>159</v>
      </c>
      <c r="B3287" s="1" t="n">
        <v>102</v>
      </c>
      <c r="C3287" s="1" t="n">
        <v>261</v>
      </c>
      <c r="D3287" s="1" t="s">
        <v>1186</v>
      </c>
      <c r="E3287" s="1" t="s">
        <v>1262</v>
      </c>
      <c r="F3287" s="1" t="s">
        <v>349</v>
      </c>
      <c r="G3287" s="1" t="n">
        <f aca="false">IF(ISNUMBER(E3287),E3287,VALUE(SUBSTITUTE(E3287,"#",".01")))</f>
        <v>98455.01</v>
      </c>
    </row>
    <row r="3288" customFormat="false" ht="12.75" hidden="false" customHeight="false" outlineLevel="0" collapsed="false">
      <c r="A3288" s="1" t="n">
        <v>158</v>
      </c>
      <c r="B3288" s="1" t="n">
        <v>103</v>
      </c>
      <c r="C3288" s="1" t="n">
        <v>261</v>
      </c>
      <c r="D3288" s="1" t="s">
        <v>1199</v>
      </c>
      <c r="E3288" s="1" t="s">
        <v>1263</v>
      </c>
      <c r="F3288" s="1" t="s">
        <v>349</v>
      </c>
      <c r="G3288" s="1" t="n">
        <f aca="false">IF(ISNUMBER(E3288),E3288,VALUE(SUBSTITUTE(E3288,"#",".01")))</f>
        <v>99558.01</v>
      </c>
    </row>
    <row r="3289" customFormat="false" ht="12.75" hidden="false" customHeight="false" outlineLevel="0" collapsed="false">
      <c r="A3289" s="1" t="n">
        <v>157</v>
      </c>
      <c r="B3289" s="1" t="n">
        <v>104</v>
      </c>
      <c r="C3289" s="1" t="n">
        <v>261</v>
      </c>
      <c r="D3289" s="1" t="s">
        <v>1212</v>
      </c>
      <c r="E3289" s="1" t="n">
        <v>101318.594</v>
      </c>
      <c r="F3289" s="1" t="n">
        <v>50.444</v>
      </c>
      <c r="G3289" s="1" t="n">
        <f aca="false">IF(ISNUMBER(E3289),E3289,VALUE(SUBSTITUTE(E3289,"#",".01")))</f>
        <v>101318.594</v>
      </c>
    </row>
    <row r="3290" customFormat="false" ht="12.75" hidden="false" customHeight="false" outlineLevel="0" collapsed="false">
      <c r="A3290" s="1" t="n">
        <v>156</v>
      </c>
      <c r="B3290" s="1" t="n">
        <v>105</v>
      </c>
      <c r="C3290" s="1" t="n">
        <v>261</v>
      </c>
      <c r="D3290" s="1" t="s">
        <v>1221</v>
      </c>
      <c r="E3290" s="1" t="s">
        <v>1264</v>
      </c>
      <c r="F3290" s="1" t="s">
        <v>1265</v>
      </c>
      <c r="G3290" s="1" t="n">
        <f aca="false">IF(ISNUMBER(E3290),E3290,VALUE(SUBSTITUTE(E3290,"#",".01")))</f>
        <v>104308.01</v>
      </c>
    </row>
    <row r="3291" customFormat="false" ht="12.75" hidden="false" customHeight="false" outlineLevel="0" collapsed="false">
      <c r="A3291" s="1" t="n">
        <v>155</v>
      </c>
      <c r="B3291" s="1" t="n">
        <v>106</v>
      </c>
      <c r="C3291" s="1" t="n">
        <v>261</v>
      </c>
      <c r="D3291" s="1" t="s">
        <v>1239</v>
      </c>
      <c r="E3291" s="1" t="n">
        <v>108005.043</v>
      </c>
      <c r="F3291" s="1" t="n">
        <v>18.494</v>
      </c>
      <c r="G3291" s="1" t="n">
        <f aca="false">IF(ISNUMBER(E3291),E3291,VALUE(SUBSTITUTE(E3291,"#",".01")))</f>
        <v>108005.043</v>
      </c>
    </row>
    <row r="3292" customFormat="false" ht="12.75" hidden="false" customHeight="false" outlineLevel="0" collapsed="false">
      <c r="A3292" s="1" t="n">
        <v>154</v>
      </c>
      <c r="B3292" s="1" t="n">
        <v>107</v>
      </c>
      <c r="C3292" s="1" t="n">
        <v>261</v>
      </c>
      <c r="D3292" s="1" t="s">
        <v>1257</v>
      </c>
      <c r="E3292" s="1" t="s">
        <v>1266</v>
      </c>
      <c r="F3292" s="1" t="s">
        <v>1134</v>
      </c>
      <c r="G3292" s="1" t="n">
        <f aca="false">IF(ISNUMBER(E3292),E3292,VALUE(SUBSTITUTE(E3292,"#",".01")))</f>
        <v>113133.01</v>
      </c>
    </row>
    <row r="3293" customFormat="false" ht="12.75" hidden="false" customHeight="false" outlineLevel="0" collapsed="false">
      <c r="A3293" s="1" t="n">
        <v>161</v>
      </c>
      <c r="B3293" s="1" t="n">
        <v>101</v>
      </c>
      <c r="C3293" s="1" t="n">
        <v>262</v>
      </c>
      <c r="D3293" s="1" t="s">
        <v>1170</v>
      </c>
      <c r="E3293" s="1" t="s">
        <v>1267</v>
      </c>
      <c r="F3293" s="1" t="s">
        <v>337</v>
      </c>
      <c r="G3293" s="1" t="n">
        <f aca="false">IF(ISNUMBER(E3293),E3293,VALUE(SUBSTITUTE(E3293,"#",".01")))</f>
        <v>101627.01</v>
      </c>
    </row>
    <row r="3294" customFormat="false" ht="12.75" hidden="false" customHeight="false" outlineLevel="0" collapsed="false">
      <c r="A3294" s="1" t="n">
        <v>160</v>
      </c>
      <c r="B3294" s="1" t="n">
        <v>102</v>
      </c>
      <c r="C3294" s="1" t="n">
        <v>262</v>
      </c>
      <c r="D3294" s="1" t="s">
        <v>1186</v>
      </c>
      <c r="E3294" s="1" t="s">
        <v>1268</v>
      </c>
      <c r="F3294" s="1" t="s">
        <v>595</v>
      </c>
      <c r="G3294" s="1" t="n">
        <f aca="false">IF(ISNUMBER(E3294),E3294,VALUE(SUBSTITUTE(E3294,"#",".01")))</f>
        <v>100101.01</v>
      </c>
    </row>
    <row r="3295" customFormat="false" ht="12.75" hidden="false" customHeight="false" outlineLevel="0" collapsed="false">
      <c r="A3295" s="1" t="n">
        <v>159</v>
      </c>
      <c r="B3295" s="1" t="n">
        <v>103</v>
      </c>
      <c r="C3295" s="1" t="n">
        <v>262</v>
      </c>
      <c r="D3295" s="1" t="s">
        <v>1199</v>
      </c>
      <c r="E3295" s="1" t="s">
        <v>1269</v>
      </c>
      <c r="F3295" s="1" t="s">
        <v>349</v>
      </c>
      <c r="G3295" s="1" t="n">
        <f aca="false">IF(ISNUMBER(E3295),E3295,VALUE(SUBSTITUTE(E3295,"#",".01")))</f>
        <v>102102.01</v>
      </c>
    </row>
    <row r="3296" customFormat="false" ht="12.75" hidden="false" customHeight="false" outlineLevel="0" collapsed="false">
      <c r="A3296" s="1" t="n">
        <v>158</v>
      </c>
      <c r="B3296" s="1" t="n">
        <v>104</v>
      </c>
      <c r="C3296" s="1" t="n">
        <v>262</v>
      </c>
      <c r="D3296" s="1" t="s">
        <v>1212</v>
      </c>
      <c r="E3296" s="1" t="s">
        <v>1270</v>
      </c>
      <c r="F3296" s="1" t="s">
        <v>1107</v>
      </c>
      <c r="G3296" s="1" t="n">
        <f aca="false">IF(ISNUMBER(E3296),E3296,VALUE(SUBSTITUTE(E3296,"#",".01")))</f>
        <v>102393.01</v>
      </c>
    </row>
    <row r="3297" customFormat="false" ht="12.75" hidden="false" customHeight="false" outlineLevel="0" collapsed="false">
      <c r="A3297" s="1" t="n">
        <v>157</v>
      </c>
      <c r="B3297" s="1" t="n">
        <v>105</v>
      </c>
      <c r="C3297" s="1" t="n">
        <v>262</v>
      </c>
      <c r="D3297" s="1" t="s">
        <v>1221</v>
      </c>
      <c r="E3297" s="1" t="s">
        <v>1271</v>
      </c>
      <c r="F3297" s="1" t="s">
        <v>1272</v>
      </c>
      <c r="G3297" s="1" t="n">
        <f aca="false">IF(ISNUMBER(E3297),E3297,VALUE(SUBSTITUTE(E3297,"#",".01")))</f>
        <v>106253.01</v>
      </c>
    </row>
    <row r="3298" customFormat="false" ht="12.75" hidden="false" customHeight="false" outlineLevel="0" collapsed="false">
      <c r="A3298" s="1" t="n">
        <v>156</v>
      </c>
      <c r="B3298" s="1" t="n">
        <v>106</v>
      </c>
      <c r="C3298" s="1" t="n">
        <v>262</v>
      </c>
      <c r="D3298" s="1" t="s">
        <v>1239</v>
      </c>
      <c r="E3298" s="1" t="n">
        <v>108365.771</v>
      </c>
      <c r="F3298" s="1" t="n">
        <v>35.411</v>
      </c>
      <c r="G3298" s="1" t="n">
        <f aca="false">IF(ISNUMBER(E3298),E3298,VALUE(SUBSTITUTE(E3298,"#",".01")))</f>
        <v>108365.771</v>
      </c>
    </row>
    <row r="3299" customFormat="false" ht="12.75" hidden="false" customHeight="false" outlineLevel="0" collapsed="false">
      <c r="A3299" s="1" t="n">
        <v>155</v>
      </c>
      <c r="B3299" s="1" t="n">
        <v>107</v>
      </c>
      <c r="C3299" s="1" t="n">
        <v>262</v>
      </c>
      <c r="D3299" s="1" t="s">
        <v>1257</v>
      </c>
      <c r="E3299" s="1" t="s">
        <v>1273</v>
      </c>
      <c r="F3299" s="1" t="s">
        <v>1274</v>
      </c>
      <c r="G3299" s="1" t="n">
        <f aca="false">IF(ISNUMBER(E3299),E3299,VALUE(SUBSTITUTE(E3299,"#",".01")))</f>
        <v>114541.01</v>
      </c>
    </row>
    <row r="3300" customFormat="false" ht="12.75" hidden="false" customHeight="false" outlineLevel="0" collapsed="false">
      <c r="A3300" s="1" t="n">
        <v>161</v>
      </c>
      <c r="B3300" s="1" t="n">
        <v>102</v>
      </c>
      <c r="C3300" s="1" t="n">
        <v>263</v>
      </c>
      <c r="D3300" s="1" t="s">
        <v>1186</v>
      </c>
      <c r="E3300" s="1" t="s">
        <v>1275</v>
      </c>
      <c r="F3300" s="1" t="s">
        <v>1276</v>
      </c>
      <c r="G3300" s="1" t="n">
        <f aca="false">IF(ISNUMBER(E3300),E3300,VALUE(SUBSTITUTE(E3300,"#",".01")))</f>
        <v>103129.01</v>
      </c>
    </row>
    <row r="3301" customFormat="false" ht="12.75" hidden="false" customHeight="false" outlineLevel="0" collapsed="false">
      <c r="A3301" s="1" t="n">
        <v>160</v>
      </c>
      <c r="B3301" s="1" t="n">
        <v>103</v>
      </c>
      <c r="C3301" s="1" t="n">
        <v>263</v>
      </c>
      <c r="D3301" s="1" t="s">
        <v>1199</v>
      </c>
      <c r="E3301" s="1" t="s">
        <v>1277</v>
      </c>
      <c r="F3301" s="1" t="s">
        <v>1125</v>
      </c>
      <c r="G3301" s="1" t="n">
        <f aca="false">IF(ISNUMBER(E3301),E3301,VALUE(SUBSTITUTE(E3301,"#",".01")))</f>
        <v>103729.01</v>
      </c>
    </row>
    <row r="3302" customFormat="false" ht="12.75" hidden="false" customHeight="false" outlineLevel="0" collapsed="false">
      <c r="A3302" s="1" t="n">
        <v>159</v>
      </c>
      <c r="B3302" s="1" t="n">
        <v>104</v>
      </c>
      <c r="C3302" s="1" t="n">
        <v>263</v>
      </c>
      <c r="D3302" s="1" t="s">
        <v>1212</v>
      </c>
      <c r="E3302" s="1" t="s">
        <v>1278</v>
      </c>
      <c r="F3302" s="1" t="s">
        <v>1279</v>
      </c>
      <c r="G3302" s="1" t="n">
        <f aca="false">IF(ISNUMBER(E3302),E3302,VALUE(SUBSTITUTE(E3302,"#",".01")))</f>
        <v>104756.01</v>
      </c>
    </row>
    <row r="3303" customFormat="false" ht="12.75" hidden="false" customHeight="false" outlineLevel="0" collapsed="false">
      <c r="A3303" s="1" t="n">
        <v>158</v>
      </c>
      <c r="B3303" s="1" t="n">
        <v>105</v>
      </c>
      <c r="C3303" s="1" t="n">
        <v>263</v>
      </c>
      <c r="D3303" s="1" t="s">
        <v>1221</v>
      </c>
      <c r="E3303" s="1" t="s">
        <v>1280</v>
      </c>
      <c r="F3303" s="1" t="s">
        <v>1281</v>
      </c>
      <c r="G3303" s="1" t="n">
        <f aca="false">IF(ISNUMBER(E3303),E3303,VALUE(SUBSTITUTE(E3303,"#",".01")))</f>
        <v>107111.01</v>
      </c>
    </row>
    <row r="3304" customFormat="false" ht="12.75" hidden="false" customHeight="false" outlineLevel="0" collapsed="false">
      <c r="A3304" s="1" t="n">
        <v>157</v>
      </c>
      <c r="B3304" s="1" t="n">
        <v>106</v>
      </c>
      <c r="C3304" s="1" t="n">
        <v>263</v>
      </c>
      <c r="D3304" s="1" t="s">
        <v>1239</v>
      </c>
      <c r="E3304" s="1" t="s">
        <v>1282</v>
      </c>
      <c r="F3304" s="1" t="s">
        <v>1283</v>
      </c>
      <c r="G3304" s="1" t="n">
        <f aca="false">IF(ISNUMBER(E3304),E3304,VALUE(SUBSTITUTE(E3304,"#",".01")))</f>
        <v>110190.01</v>
      </c>
    </row>
    <row r="3305" customFormat="false" ht="12.75" hidden="false" customHeight="false" outlineLevel="0" collapsed="false">
      <c r="A3305" s="1" t="n">
        <v>156</v>
      </c>
      <c r="B3305" s="1" t="n">
        <v>107</v>
      </c>
      <c r="C3305" s="1" t="n">
        <v>263</v>
      </c>
      <c r="D3305" s="1" t="s">
        <v>1257</v>
      </c>
      <c r="E3305" s="1" t="s">
        <v>1284</v>
      </c>
      <c r="F3305" s="1" t="s">
        <v>879</v>
      </c>
      <c r="G3305" s="1" t="n">
        <f aca="false">IF(ISNUMBER(E3305),E3305,VALUE(SUBSTITUTE(E3305,"#",".01")))</f>
        <v>114496.01</v>
      </c>
    </row>
    <row r="3306" customFormat="false" ht="12.75" hidden="false" customHeight="false" outlineLevel="0" collapsed="false">
      <c r="A3306" s="1" t="n">
        <v>155</v>
      </c>
      <c r="B3306" s="1" t="n">
        <v>108</v>
      </c>
      <c r="C3306" s="1" t="n">
        <v>263</v>
      </c>
      <c r="D3306" s="1" t="s">
        <v>1285</v>
      </c>
      <c r="E3306" s="1" t="s">
        <v>1286</v>
      </c>
      <c r="F3306" s="1" t="s">
        <v>1287</v>
      </c>
      <c r="G3306" s="1" t="n">
        <f aca="false">IF(ISNUMBER(E3306),E3306,VALUE(SUBSTITUTE(E3306,"#",".01")))</f>
        <v>119678.01</v>
      </c>
    </row>
    <row r="3307" customFormat="false" ht="12.75" hidden="false" customHeight="false" outlineLevel="0" collapsed="false">
      <c r="A3307" s="1" t="n">
        <v>162</v>
      </c>
      <c r="B3307" s="1" t="n">
        <v>102</v>
      </c>
      <c r="C3307" s="1" t="n">
        <v>264</v>
      </c>
      <c r="D3307" s="1" t="s">
        <v>1186</v>
      </c>
      <c r="E3307" s="1" t="s">
        <v>1288</v>
      </c>
      <c r="F3307" s="1" t="s">
        <v>1289</v>
      </c>
      <c r="G3307" s="1" t="n">
        <f aca="false">IF(ISNUMBER(E3307),E3307,VALUE(SUBSTITUTE(E3307,"#",".01")))</f>
        <v>105011.01</v>
      </c>
    </row>
    <row r="3308" customFormat="false" ht="12.75" hidden="false" customHeight="false" outlineLevel="0" collapsed="false">
      <c r="A3308" s="1" t="n">
        <v>161</v>
      </c>
      <c r="B3308" s="1" t="n">
        <v>103</v>
      </c>
      <c r="C3308" s="1" t="n">
        <v>264</v>
      </c>
      <c r="D3308" s="1" t="s">
        <v>1199</v>
      </c>
      <c r="E3308" s="1" t="s">
        <v>1290</v>
      </c>
      <c r="F3308" s="1" t="s">
        <v>1291</v>
      </c>
      <c r="G3308" s="1" t="n">
        <f aca="false">IF(ISNUMBER(E3308),E3308,VALUE(SUBSTITUTE(E3308,"#",".01")))</f>
        <v>106377.01</v>
      </c>
    </row>
    <row r="3309" customFormat="false" ht="12.75" hidden="false" customHeight="false" outlineLevel="0" collapsed="false">
      <c r="A3309" s="1" t="n">
        <v>160</v>
      </c>
      <c r="B3309" s="1" t="n">
        <v>104</v>
      </c>
      <c r="C3309" s="1" t="n">
        <v>264</v>
      </c>
      <c r="D3309" s="1" t="s">
        <v>1212</v>
      </c>
      <c r="E3309" s="1" t="s">
        <v>1292</v>
      </c>
      <c r="F3309" s="1" t="s">
        <v>595</v>
      </c>
      <c r="G3309" s="1" t="n">
        <f aca="false">IF(ISNUMBER(E3309),E3309,VALUE(SUBSTITUTE(E3309,"#",".01")))</f>
        <v>106077.01</v>
      </c>
    </row>
    <row r="3310" customFormat="false" ht="12.75" hidden="false" customHeight="false" outlineLevel="0" collapsed="false">
      <c r="A3310" s="1" t="n">
        <v>159</v>
      </c>
      <c r="B3310" s="1" t="n">
        <v>105</v>
      </c>
      <c r="C3310" s="1" t="n">
        <v>264</v>
      </c>
      <c r="D3310" s="1" t="s">
        <v>1221</v>
      </c>
      <c r="E3310" s="1" t="s">
        <v>1293</v>
      </c>
      <c r="F3310" s="1" t="s">
        <v>1294</v>
      </c>
      <c r="G3310" s="1" t="n">
        <f aca="false">IF(ISNUMBER(E3310),E3310,VALUE(SUBSTITUTE(E3310,"#",".01")))</f>
        <v>109362.01</v>
      </c>
    </row>
    <row r="3311" customFormat="false" ht="12.75" hidden="false" customHeight="false" outlineLevel="0" collapsed="false">
      <c r="A3311" s="1" t="n">
        <v>158</v>
      </c>
      <c r="B3311" s="1" t="n">
        <v>106</v>
      </c>
      <c r="C3311" s="1" t="n">
        <v>264</v>
      </c>
      <c r="D3311" s="1" t="s">
        <v>1239</v>
      </c>
      <c r="E3311" s="1" t="s">
        <v>1295</v>
      </c>
      <c r="F3311" s="1" t="s">
        <v>1125</v>
      </c>
      <c r="G3311" s="1" t="n">
        <f aca="false">IF(ISNUMBER(E3311),E3311,VALUE(SUBSTITUTE(E3311,"#",".01")))</f>
        <v>110782.01</v>
      </c>
    </row>
    <row r="3312" customFormat="false" ht="12.75" hidden="false" customHeight="false" outlineLevel="0" collapsed="false">
      <c r="A3312" s="1" t="n">
        <v>157</v>
      </c>
      <c r="B3312" s="1" t="n">
        <v>107</v>
      </c>
      <c r="C3312" s="1" t="n">
        <v>264</v>
      </c>
      <c r="D3312" s="1" t="s">
        <v>1257</v>
      </c>
      <c r="E3312" s="1" t="s">
        <v>1296</v>
      </c>
      <c r="F3312" s="1" t="s">
        <v>1297</v>
      </c>
      <c r="G3312" s="1" t="n">
        <f aca="false">IF(ISNUMBER(E3312),E3312,VALUE(SUBSTITUTE(E3312,"#",".01")))</f>
        <v>116058.01</v>
      </c>
    </row>
    <row r="3313" customFormat="false" ht="12.75" hidden="false" customHeight="false" outlineLevel="0" collapsed="false">
      <c r="A3313" s="1" t="n">
        <v>156</v>
      </c>
      <c r="B3313" s="1" t="n">
        <v>108</v>
      </c>
      <c r="C3313" s="1" t="n">
        <v>264</v>
      </c>
      <c r="D3313" s="1" t="s">
        <v>1285</v>
      </c>
      <c r="E3313" s="1" t="n">
        <v>119563.222</v>
      </c>
      <c r="F3313" s="1" t="n">
        <v>28.881</v>
      </c>
      <c r="G3313" s="1" t="n">
        <f aca="false">IF(ISNUMBER(E3313),E3313,VALUE(SUBSTITUTE(E3313,"#",".01")))</f>
        <v>119563.222</v>
      </c>
    </row>
    <row r="3314" customFormat="false" ht="12.75" hidden="false" customHeight="false" outlineLevel="0" collapsed="false">
      <c r="A3314" s="1" t="n">
        <v>162</v>
      </c>
      <c r="B3314" s="1" t="n">
        <v>103</v>
      </c>
      <c r="C3314" s="1" t="n">
        <v>265</v>
      </c>
      <c r="D3314" s="1" t="s">
        <v>1199</v>
      </c>
      <c r="E3314" s="1" t="s">
        <v>1298</v>
      </c>
      <c r="F3314" s="1" t="s">
        <v>1299</v>
      </c>
      <c r="G3314" s="1" t="n">
        <f aca="false">IF(ISNUMBER(E3314),E3314,VALUE(SUBSTITUTE(E3314,"#",".01")))</f>
        <v>108233.01</v>
      </c>
    </row>
    <row r="3315" customFormat="false" ht="12.75" hidden="false" customHeight="false" outlineLevel="0" collapsed="false">
      <c r="A3315" s="1" t="n">
        <v>161</v>
      </c>
      <c r="B3315" s="1" t="n">
        <v>104</v>
      </c>
      <c r="C3315" s="1" t="n">
        <v>265</v>
      </c>
      <c r="D3315" s="1" t="s">
        <v>1212</v>
      </c>
      <c r="E3315" s="1" t="s">
        <v>1300</v>
      </c>
      <c r="F3315" s="1" t="s">
        <v>595</v>
      </c>
      <c r="G3315" s="1" t="n">
        <f aca="false">IF(ISNUMBER(E3315),E3315,VALUE(SUBSTITUTE(E3315,"#",".01")))</f>
        <v>108690.01</v>
      </c>
    </row>
    <row r="3316" customFormat="false" ht="12.75" hidden="false" customHeight="false" outlineLevel="0" collapsed="false">
      <c r="A3316" s="1" t="n">
        <v>160</v>
      </c>
      <c r="B3316" s="1" t="n">
        <v>105</v>
      </c>
      <c r="C3316" s="1" t="n">
        <v>265</v>
      </c>
      <c r="D3316" s="1" t="s">
        <v>1221</v>
      </c>
      <c r="E3316" s="1" t="s">
        <v>1301</v>
      </c>
      <c r="F3316" s="1" t="s">
        <v>1107</v>
      </c>
      <c r="G3316" s="1" t="n">
        <f aca="false">IF(ISNUMBER(E3316),E3316,VALUE(SUBSTITUTE(E3316,"#",".01")))</f>
        <v>110483.01</v>
      </c>
    </row>
    <row r="3317" customFormat="false" ht="12.75" hidden="false" customHeight="false" outlineLevel="0" collapsed="false">
      <c r="A3317" s="1" t="n">
        <v>159</v>
      </c>
      <c r="B3317" s="1" t="n">
        <v>106</v>
      </c>
      <c r="C3317" s="1" t="n">
        <v>265</v>
      </c>
      <c r="D3317" s="1" t="s">
        <v>1239</v>
      </c>
      <c r="E3317" s="1" t="s">
        <v>1302</v>
      </c>
      <c r="F3317" s="1" t="s">
        <v>1303</v>
      </c>
      <c r="G3317" s="1" t="n">
        <f aca="false">IF(ISNUMBER(E3317),E3317,VALUE(SUBSTITUTE(E3317,"#",".01")))</f>
        <v>112794.01</v>
      </c>
    </row>
    <row r="3318" customFormat="false" ht="12.75" hidden="false" customHeight="false" outlineLevel="0" collapsed="false">
      <c r="A3318" s="1" t="n">
        <v>158</v>
      </c>
      <c r="B3318" s="1" t="n">
        <v>107</v>
      </c>
      <c r="C3318" s="1" t="n">
        <v>265</v>
      </c>
      <c r="D3318" s="1" t="s">
        <v>1257</v>
      </c>
      <c r="E3318" s="1" t="s">
        <v>1304</v>
      </c>
      <c r="F3318" s="1" t="s">
        <v>1305</v>
      </c>
      <c r="G3318" s="1" t="n">
        <f aca="false">IF(ISNUMBER(E3318),E3318,VALUE(SUBSTITUTE(E3318,"#",".01")))</f>
        <v>116415.01</v>
      </c>
    </row>
    <row r="3319" customFormat="false" ht="12.75" hidden="false" customHeight="false" outlineLevel="0" collapsed="false">
      <c r="A3319" s="1" t="n">
        <v>157</v>
      </c>
      <c r="B3319" s="1" t="n">
        <v>108</v>
      </c>
      <c r="C3319" s="1" t="n">
        <v>265</v>
      </c>
      <c r="D3319" s="1" t="s">
        <v>1285</v>
      </c>
      <c r="E3319" s="1" t="n">
        <v>120900.283</v>
      </c>
      <c r="F3319" s="1" t="n">
        <v>23.958</v>
      </c>
      <c r="G3319" s="1" t="n">
        <f aca="false">IF(ISNUMBER(E3319),E3319,VALUE(SUBSTITUTE(E3319,"#",".01")))</f>
        <v>120900.283</v>
      </c>
    </row>
    <row r="3320" customFormat="false" ht="12.75" hidden="false" customHeight="false" outlineLevel="0" collapsed="false">
      <c r="A3320" s="1" t="n">
        <v>156</v>
      </c>
      <c r="B3320" s="1" t="n">
        <v>109</v>
      </c>
      <c r="C3320" s="1" t="n">
        <v>265</v>
      </c>
      <c r="D3320" s="1" t="s">
        <v>1306</v>
      </c>
      <c r="E3320" s="1" t="s">
        <v>1307</v>
      </c>
      <c r="F3320" s="1" t="s">
        <v>1308</v>
      </c>
      <c r="G3320" s="1" t="n">
        <f aca="false">IF(ISNUMBER(E3320),E3320,VALUE(SUBSTITUTE(E3320,"#",".01")))</f>
        <v>126678.01</v>
      </c>
    </row>
    <row r="3321" customFormat="false" ht="12.75" hidden="false" customHeight="false" outlineLevel="0" collapsed="false">
      <c r="A3321" s="1" t="n">
        <v>163</v>
      </c>
      <c r="B3321" s="1" t="n">
        <v>103</v>
      </c>
      <c r="C3321" s="1" t="n">
        <v>266</v>
      </c>
      <c r="D3321" s="1" t="s">
        <v>1199</v>
      </c>
      <c r="E3321" s="1" t="s">
        <v>1309</v>
      </c>
      <c r="F3321" s="1" t="s">
        <v>1310</v>
      </c>
      <c r="G3321" s="1" t="n">
        <f aca="false">IF(ISNUMBER(E3321),E3321,VALUE(SUBSTITUTE(E3321,"#",".01")))</f>
        <v>111622.01</v>
      </c>
    </row>
    <row r="3322" customFormat="false" ht="12.75" hidden="false" customHeight="false" outlineLevel="0" collapsed="false">
      <c r="A3322" s="1" t="n">
        <v>162</v>
      </c>
      <c r="B3322" s="1" t="n">
        <v>104</v>
      </c>
      <c r="C3322" s="1" t="n">
        <v>266</v>
      </c>
      <c r="D3322" s="1" t="s">
        <v>1212</v>
      </c>
      <c r="E3322" s="1" t="s">
        <v>1311</v>
      </c>
      <c r="F3322" s="1" t="s">
        <v>1312</v>
      </c>
      <c r="G3322" s="1" t="n">
        <f aca="false">IF(ISNUMBER(E3322),E3322,VALUE(SUBSTITUTE(E3322,"#",".01")))</f>
        <v>110076.01</v>
      </c>
    </row>
    <row r="3323" customFormat="false" ht="12.75" hidden="false" customHeight="false" outlineLevel="0" collapsed="false">
      <c r="A3323" s="1" t="n">
        <v>161</v>
      </c>
      <c r="B3323" s="1" t="n">
        <v>105</v>
      </c>
      <c r="C3323" s="1" t="n">
        <v>266</v>
      </c>
      <c r="D3323" s="1" t="s">
        <v>1221</v>
      </c>
      <c r="E3323" s="1" t="s">
        <v>1313</v>
      </c>
      <c r="F3323" s="1" t="s">
        <v>1125</v>
      </c>
      <c r="G3323" s="1" t="n">
        <f aca="false">IF(ISNUMBER(E3323),E3323,VALUE(SUBSTITUTE(E3323,"#",".01")))</f>
        <v>112737.01</v>
      </c>
    </row>
    <row r="3324" customFormat="false" ht="12.75" hidden="false" customHeight="false" outlineLevel="0" collapsed="false">
      <c r="A3324" s="1" t="n">
        <v>160</v>
      </c>
      <c r="B3324" s="1" t="n">
        <v>106</v>
      </c>
      <c r="C3324" s="1" t="n">
        <v>266</v>
      </c>
      <c r="D3324" s="1" t="s">
        <v>1239</v>
      </c>
      <c r="E3324" s="1" t="s">
        <v>1314</v>
      </c>
      <c r="F3324" s="1" t="s">
        <v>1259</v>
      </c>
      <c r="G3324" s="1" t="n">
        <f aca="false">IF(ISNUMBER(E3324),E3324,VALUE(SUBSTITUTE(E3324,"#",".01")))</f>
        <v>113618.01</v>
      </c>
    </row>
    <row r="3325" customFormat="false" ht="12.75" hidden="false" customHeight="false" outlineLevel="0" collapsed="false">
      <c r="A3325" s="1" t="n">
        <v>159</v>
      </c>
      <c r="B3325" s="1" t="n">
        <v>107</v>
      </c>
      <c r="C3325" s="1" t="n">
        <v>266</v>
      </c>
      <c r="D3325" s="1" t="s">
        <v>1257</v>
      </c>
      <c r="E3325" s="1" t="s">
        <v>1315</v>
      </c>
      <c r="F3325" s="1" t="s">
        <v>1316</v>
      </c>
      <c r="G3325" s="1" t="n">
        <f aca="false">IF(ISNUMBER(E3325),E3325,VALUE(SUBSTITUTE(E3325,"#",".01")))</f>
        <v>118104.01</v>
      </c>
    </row>
    <row r="3326" customFormat="false" ht="12.75" hidden="false" customHeight="false" outlineLevel="0" collapsed="false">
      <c r="A3326" s="1" t="n">
        <v>158</v>
      </c>
      <c r="B3326" s="1" t="n">
        <v>108</v>
      </c>
      <c r="C3326" s="1" t="n">
        <v>266</v>
      </c>
      <c r="D3326" s="1" t="s">
        <v>1285</v>
      </c>
      <c r="E3326" s="1" t="n">
        <v>121136.373</v>
      </c>
      <c r="F3326" s="1" t="n">
        <v>38.695</v>
      </c>
      <c r="G3326" s="1" t="n">
        <f aca="false">IF(ISNUMBER(E3326),E3326,VALUE(SUBSTITUTE(E3326,"#",".01")))</f>
        <v>121136.373</v>
      </c>
    </row>
    <row r="3327" customFormat="false" ht="12.75" hidden="false" customHeight="false" outlineLevel="0" collapsed="false">
      <c r="A3327" s="1" t="n">
        <v>157</v>
      </c>
      <c r="B3327" s="1" t="n">
        <v>109</v>
      </c>
      <c r="C3327" s="1" t="n">
        <v>266</v>
      </c>
      <c r="D3327" s="1" t="s">
        <v>1306</v>
      </c>
      <c r="E3327" s="1" t="s">
        <v>1317</v>
      </c>
      <c r="F3327" s="1" t="s">
        <v>1318</v>
      </c>
      <c r="G3327" s="1" t="n">
        <f aca="false">IF(ISNUMBER(E3327),E3327,VALUE(SUBSTITUTE(E3327,"#",".01")))</f>
        <v>127962.01</v>
      </c>
    </row>
    <row r="3328" customFormat="false" ht="12.75" hidden="false" customHeight="false" outlineLevel="0" collapsed="false">
      <c r="A3328" s="1" t="n">
        <v>163</v>
      </c>
      <c r="B3328" s="1" t="n">
        <v>104</v>
      </c>
      <c r="C3328" s="1" t="n">
        <v>267</v>
      </c>
      <c r="D3328" s="1" t="s">
        <v>1212</v>
      </c>
      <c r="E3328" s="1" t="s">
        <v>1319</v>
      </c>
      <c r="F3328" s="1" t="s">
        <v>1320</v>
      </c>
      <c r="G3328" s="1" t="n">
        <f aca="false">IF(ISNUMBER(E3328),E3328,VALUE(SUBSTITUTE(E3328,"#",".01")))</f>
        <v>113444.01</v>
      </c>
    </row>
    <row r="3329" customFormat="false" ht="12.75" hidden="false" customHeight="false" outlineLevel="0" collapsed="false">
      <c r="A3329" s="1" t="n">
        <v>162</v>
      </c>
      <c r="B3329" s="1" t="n">
        <v>105</v>
      </c>
      <c r="C3329" s="1" t="n">
        <v>267</v>
      </c>
      <c r="D3329" s="1" t="s">
        <v>1221</v>
      </c>
      <c r="E3329" s="1" t="s">
        <v>1321</v>
      </c>
      <c r="F3329" s="1" t="s">
        <v>1322</v>
      </c>
      <c r="G3329" s="1" t="n">
        <f aca="false">IF(ISNUMBER(E3329),E3329,VALUE(SUBSTITUTE(E3329,"#",".01")))</f>
        <v>114074.01</v>
      </c>
    </row>
    <row r="3330" customFormat="false" ht="12.75" hidden="false" customHeight="false" outlineLevel="0" collapsed="false">
      <c r="A3330" s="1" t="n">
        <v>161</v>
      </c>
      <c r="B3330" s="1" t="n">
        <v>106</v>
      </c>
      <c r="C3330" s="1" t="n">
        <v>267</v>
      </c>
      <c r="D3330" s="1" t="s">
        <v>1239</v>
      </c>
      <c r="E3330" s="1" t="s">
        <v>1323</v>
      </c>
      <c r="F3330" s="1" t="s">
        <v>1324</v>
      </c>
      <c r="G3330" s="1" t="n">
        <f aca="false">IF(ISNUMBER(E3330),E3330,VALUE(SUBSTITUTE(E3330,"#",".01")))</f>
        <v>115806.01</v>
      </c>
    </row>
    <row r="3331" customFormat="false" ht="12.75" hidden="false" customHeight="false" outlineLevel="0" collapsed="false">
      <c r="A3331" s="1" t="n">
        <v>160</v>
      </c>
      <c r="B3331" s="1" t="n">
        <v>107</v>
      </c>
      <c r="C3331" s="1" t="n">
        <v>267</v>
      </c>
      <c r="D3331" s="1" t="s">
        <v>1257</v>
      </c>
      <c r="E3331" s="1" t="s">
        <v>1325</v>
      </c>
      <c r="F3331" s="1" t="s">
        <v>1326</v>
      </c>
      <c r="G3331" s="1" t="n">
        <f aca="false">IF(ISNUMBER(E3331),E3331,VALUE(SUBSTITUTE(E3331,"#",".01")))</f>
        <v>118766.01</v>
      </c>
    </row>
    <row r="3332" customFormat="false" ht="12.75" hidden="false" customHeight="false" outlineLevel="0" collapsed="false">
      <c r="A3332" s="1" t="n">
        <v>159</v>
      </c>
      <c r="B3332" s="1" t="n">
        <v>108</v>
      </c>
      <c r="C3332" s="1" t="n">
        <v>267</v>
      </c>
      <c r="D3332" s="1" t="s">
        <v>1285</v>
      </c>
      <c r="E3332" s="1" t="s">
        <v>1327</v>
      </c>
      <c r="F3332" s="1" t="s">
        <v>1328</v>
      </c>
      <c r="G3332" s="1" t="n">
        <f aca="false">IF(ISNUMBER(E3332),E3332,VALUE(SUBSTITUTE(E3332,"#",".01")))</f>
        <v>122653.01</v>
      </c>
    </row>
    <row r="3333" customFormat="false" ht="12.75" hidden="false" customHeight="false" outlineLevel="0" collapsed="false">
      <c r="A3333" s="1" t="n">
        <v>158</v>
      </c>
      <c r="B3333" s="1" t="n">
        <v>109</v>
      </c>
      <c r="C3333" s="1" t="n">
        <v>267</v>
      </c>
      <c r="D3333" s="1" t="s">
        <v>1306</v>
      </c>
      <c r="E3333" s="1" t="s">
        <v>1329</v>
      </c>
      <c r="F3333" s="1" t="s">
        <v>323</v>
      </c>
      <c r="G3333" s="1" t="n">
        <f aca="false">IF(ISNUMBER(E3333),E3333,VALUE(SUBSTITUTE(E3333,"#",".01")))</f>
        <v>127791.01</v>
      </c>
    </row>
    <row r="3334" customFormat="false" ht="12.75" hidden="false" customHeight="false" outlineLevel="0" collapsed="false">
      <c r="A3334" s="1" t="n">
        <v>157</v>
      </c>
      <c r="B3334" s="1" t="n">
        <v>110</v>
      </c>
      <c r="C3334" s="1" t="n">
        <v>267</v>
      </c>
      <c r="D3334" s="1" t="s">
        <v>1330</v>
      </c>
      <c r="E3334" s="1" t="s">
        <v>1331</v>
      </c>
      <c r="F3334" s="1" t="s">
        <v>1332</v>
      </c>
      <c r="G3334" s="1" t="n">
        <f aca="false">IF(ISNUMBER(E3334),E3334,VALUE(SUBSTITUTE(E3334,"#",".01")))</f>
        <v>133880.01</v>
      </c>
    </row>
    <row r="3335" customFormat="false" ht="12.75" hidden="false" customHeight="false" outlineLevel="0" collapsed="false">
      <c r="A3335" s="1" t="n">
        <v>164</v>
      </c>
      <c r="B3335" s="1" t="n">
        <v>104</v>
      </c>
      <c r="C3335" s="1" t="n">
        <v>268</v>
      </c>
      <c r="D3335" s="1" t="s">
        <v>1212</v>
      </c>
      <c r="E3335" s="1" t="s">
        <v>1333</v>
      </c>
      <c r="F3335" s="1" t="s">
        <v>1334</v>
      </c>
      <c r="G3335" s="1" t="n">
        <f aca="false">IF(ISNUMBER(E3335),E3335,VALUE(SUBSTITUTE(E3335,"#",".01")))</f>
        <v>115476.01</v>
      </c>
    </row>
    <row r="3336" customFormat="false" ht="12.75" hidden="false" customHeight="false" outlineLevel="0" collapsed="false">
      <c r="A3336" s="1" t="n">
        <v>163</v>
      </c>
      <c r="B3336" s="1" t="n">
        <v>105</v>
      </c>
      <c r="C3336" s="1" t="n">
        <v>268</v>
      </c>
      <c r="D3336" s="1" t="s">
        <v>1221</v>
      </c>
      <c r="E3336" s="1" t="s">
        <v>1335</v>
      </c>
      <c r="F3336" s="1" t="s">
        <v>1336</v>
      </c>
      <c r="G3336" s="1" t="n">
        <f aca="false">IF(ISNUMBER(E3336),E3336,VALUE(SUBSTITUTE(E3336,"#",".01")))</f>
        <v>117062.01</v>
      </c>
    </row>
    <row r="3337" customFormat="false" ht="12.75" hidden="false" customHeight="false" outlineLevel="0" collapsed="false">
      <c r="A3337" s="1" t="n">
        <v>162</v>
      </c>
      <c r="B3337" s="1" t="n">
        <v>106</v>
      </c>
      <c r="C3337" s="1" t="n">
        <v>268</v>
      </c>
      <c r="D3337" s="1" t="s">
        <v>1239</v>
      </c>
      <c r="E3337" s="1" t="s">
        <v>1337</v>
      </c>
      <c r="F3337" s="1" t="s">
        <v>1312</v>
      </c>
      <c r="G3337" s="1" t="n">
        <f aca="false">IF(ISNUMBER(E3337),E3337,VALUE(SUBSTITUTE(E3337,"#",".01")))</f>
        <v>116802.01</v>
      </c>
    </row>
    <row r="3338" customFormat="false" ht="12.75" hidden="false" customHeight="false" outlineLevel="0" collapsed="false">
      <c r="A3338" s="1" t="n">
        <v>161</v>
      </c>
      <c r="B3338" s="1" t="n">
        <v>107</v>
      </c>
      <c r="C3338" s="1" t="n">
        <v>268</v>
      </c>
      <c r="D3338" s="1" t="s">
        <v>1257</v>
      </c>
      <c r="E3338" s="1" t="s">
        <v>1338</v>
      </c>
      <c r="F3338" s="1" t="s">
        <v>1339</v>
      </c>
      <c r="G3338" s="1" t="n">
        <f aca="false">IF(ISNUMBER(E3338),E3338,VALUE(SUBSTITUTE(E3338,"#",".01")))</f>
        <v>120807.01</v>
      </c>
    </row>
    <row r="3339" customFormat="false" ht="12.75" hidden="false" customHeight="false" outlineLevel="0" collapsed="false">
      <c r="A3339" s="1" t="n">
        <v>160</v>
      </c>
      <c r="B3339" s="1" t="n">
        <v>108</v>
      </c>
      <c r="C3339" s="1" t="n">
        <v>268</v>
      </c>
      <c r="D3339" s="1" t="s">
        <v>1285</v>
      </c>
      <c r="E3339" s="1" t="s">
        <v>1340</v>
      </c>
      <c r="F3339" s="1" t="s">
        <v>1125</v>
      </c>
      <c r="G3339" s="1" t="n">
        <f aca="false">IF(ISNUMBER(E3339),E3339,VALUE(SUBSTITUTE(E3339,"#",".01")))</f>
        <v>122830.01</v>
      </c>
    </row>
    <row r="3340" customFormat="false" ht="12.75" hidden="false" customHeight="false" outlineLevel="0" collapsed="false">
      <c r="A3340" s="1" t="n">
        <v>159</v>
      </c>
      <c r="B3340" s="1" t="n">
        <v>109</v>
      </c>
      <c r="C3340" s="1" t="n">
        <v>268</v>
      </c>
      <c r="D3340" s="1" t="s">
        <v>1306</v>
      </c>
      <c r="E3340" s="1" t="s">
        <v>1341</v>
      </c>
      <c r="F3340" s="1" t="s">
        <v>1342</v>
      </c>
      <c r="G3340" s="1" t="n">
        <f aca="false">IF(ISNUMBER(E3340),E3340,VALUE(SUBSTITUTE(E3340,"#",".01")))</f>
        <v>129151.01</v>
      </c>
    </row>
    <row r="3341" customFormat="false" ht="12.75" hidden="false" customHeight="false" outlineLevel="0" collapsed="false">
      <c r="A3341" s="1" t="n">
        <v>158</v>
      </c>
      <c r="B3341" s="1" t="n">
        <v>110</v>
      </c>
      <c r="C3341" s="1" t="n">
        <v>268</v>
      </c>
      <c r="D3341" s="1" t="s">
        <v>1330</v>
      </c>
      <c r="E3341" s="1" t="s">
        <v>1343</v>
      </c>
      <c r="F3341" s="1" t="s">
        <v>1196</v>
      </c>
      <c r="G3341" s="1" t="n">
        <f aca="false">IF(ISNUMBER(E3341),E3341,VALUE(SUBSTITUTE(E3341,"#",".01")))</f>
        <v>133648.01</v>
      </c>
    </row>
    <row r="3342" customFormat="false" ht="12.75" hidden="false" customHeight="false" outlineLevel="0" collapsed="false">
      <c r="A3342" s="1" t="n">
        <v>164</v>
      </c>
      <c r="B3342" s="1" t="n">
        <v>105</v>
      </c>
      <c r="C3342" s="1" t="n">
        <v>269</v>
      </c>
      <c r="D3342" s="1" t="s">
        <v>1221</v>
      </c>
      <c r="E3342" s="1" t="s">
        <v>1344</v>
      </c>
      <c r="F3342" s="1" t="s">
        <v>1345</v>
      </c>
      <c r="G3342" s="1" t="n">
        <f aca="false">IF(ISNUMBER(E3342),E3342,VALUE(SUBSTITUTE(E3342,"#",".01")))</f>
        <v>119148.01</v>
      </c>
    </row>
    <row r="3343" customFormat="false" ht="12.75" hidden="false" customHeight="false" outlineLevel="0" collapsed="false">
      <c r="A3343" s="1" t="n">
        <v>163</v>
      </c>
      <c r="B3343" s="1" t="n">
        <v>106</v>
      </c>
      <c r="C3343" s="1" t="n">
        <v>269</v>
      </c>
      <c r="D3343" s="1" t="s">
        <v>1239</v>
      </c>
      <c r="E3343" s="1" t="s">
        <v>1346</v>
      </c>
      <c r="F3343" s="1" t="s">
        <v>1347</v>
      </c>
      <c r="G3343" s="1" t="n">
        <f aca="false">IF(ISNUMBER(E3343),E3343,VALUE(SUBSTITUTE(E3343,"#",".01")))</f>
        <v>119763.01</v>
      </c>
    </row>
    <row r="3344" customFormat="false" ht="12.75" hidden="false" customHeight="false" outlineLevel="0" collapsed="false">
      <c r="A3344" s="1" t="n">
        <v>162</v>
      </c>
      <c r="B3344" s="1" t="n">
        <v>107</v>
      </c>
      <c r="C3344" s="1" t="n">
        <v>269</v>
      </c>
      <c r="D3344" s="1" t="s">
        <v>1257</v>
      </c>
      <c r="E3344" s="1" t="s">
        <v>1348</v>
      </c>
      <c r="F3344" s="1" t="s">
        <v>1349</v>
      </c>
      <c r="G3344" s="1" t="n">
        <f aca="false">IF(ISNUMBER(E3344),E3344,VALUE(SUBSTITUTE(E3344,"#",".01")))</f>
        <v>121478.01</v>
      </c>
    </row>
    <row r="3345" customFormat="false" ht="12.75" hidden="false" customHeight="false" outlineLevel="0" collapsed="false">
      <c r="A3345" s="1" t="n">
        <v>161</v>
      </c>
      <c r="B3345" s="1" t="n">
        <v>108</v>
      </c>
      <c r="C3345" s="1" t="n">
        <v>269</v>
      </c>
      <c r="D3345" s="1" t="s">
        <v>1285</v>
      </c>
      <c r="E3345" s="1" t="s">
        <v>1350</v>
      </c>
      <c r="F3345" s="1" t="s">
        <v>1253</v>
      </c>
      <c r="G3345" s="1" t="n">
        <f aca="false">IF(ISNUMBER(E3345),E3345,VALUE(SUBSTITUTE(E3345,"#",".01")))</f>
        <v>124564.01</v>
      </c>
    </row>
    <row r="3346" customFormat="false" ht="12.75" hidden="false" customHeight="false" outlineLevel="0" collapsed="false">
      <c r="A3346" s="1" t="n">
        <v>160</v>
      </c>
      <c r="B3346" s="1" t="n">
        <v>109</v>
      </c>
      <c r="C3346" s="1" t="n">
        <v>269</v>
      </c>
      <c r="D3346" s="1" t="s">
        <v>1306</v>
      </c>
      <c r="E3346" s="1" t="s">
        <v>1351</v>
      </c>
      <c r="F3346" s="1" t="s">
        <v>1352</v>
      </c>
      <c r="G3346" s="1" t="n">
        <f aca="false">IF(ISNUMBER(E3346),E3346,VALUE(SUBSTITUTE(E3346,"#",".01")))</f>
        <v>129370.01</v>
      </c>
    </row>
    <row r="3347" customFormat="false" ht="12.75" hidden="false" customHeight="false" outlineLevel="0" collapsed="false">
      <c r="A3347" s="1" t="n">
        <v>159</v>
      </c>
      <c r="B3347" s="1" t="n">
        <v>110</v>
      </c>
      <c r="C3347" s="1" t="n">
        <v>269</v>
      </c>
      <c r="D3347" s="1" t="s">
        <v>1330</v>
      </c>
      <c r="E3347" s="1" t="n">
        <v>134834.709</v>
      </c>
      <c r="F3347" s="1" t="n">
        <v>31.403</v>
      </c>
      <c r="G3347" s="1" t="n">
        <f aca="false">IF(ISNUMBER(E3347),E3347,VALUE(SUBSTITUTE(E3347,"#",".01")))</f>
        <v>134834.709</v>
      </c>
    </row>
    <row r="3348" customFormat="false" ht="12.75" hidden="false" customHeight="false" outlineLevel="0" collapsed="false">
      <c r="A3348" s="1" t="n">
        <v>165</v>
      </c>
      <c r="B3348" s="1" t="n">
        <v>105</v>
      </c>
      <c r="C3348" s="1" t="n">
        <v>270</v>
      </c>
      <c r="D3348" s="1" t="s">
        <v>1221</v>
      </c>
      <c r="E3348" s="1" t="s">
        <v>1353</v>
      </c>
      <c r="F3348" s="1" t="s">
        <v>1354</v>
      </c>
      <c r="G3348" s="1" t="n">
        <f aca="false">IF(ISNUMBER(E3348),E3348,VALUE(SUBSTITUTE(E3348,"#",".01")))</f>
        <v>122307.01</v>
      </c>
    </row>
    <row r="3349" customFormat="false" ht="12.75" hidden="false" customHeight="false" outlineLevel="0" collapsed="false">
      <c r="A3349" s="1" t="n">
        <v>164</v>
      </c>
      <c r="B3349" s="1" t="n">
        <v>106</v>
      </c>
      <c r="C3349" s="1" t="n">
        <v>270</v>
      </c>
      <c r="D3349" s="1" t="s">
        <v>1239</v>
      </c>
      <c r="E3349" s="1" t="s">
        <v>1355</v>
      </c>
      <c r="F3349" s="1" t="s">
        <v>1356</v>
      </c>
      <c r="G3349" s="1" t="n">
        <f aca="false">IF(ISNUMBER(E3349),E3349,VALUE(SUBSTITUTE(E3349,"#",".01")))</f>
        <v>121491.01</v>
      </c>
    </row>
    <row r="3350" customFormat="false" ht="12.75" hidden="false" customHeight="false" outlineLevel="0" collapsed="false">
      <c r="A3350" s="1" t="n">
        <v>163</v>
      </c>
      <c r="B3350" s="1" t="n">
        <v>107</v>
      </c>
      <c r="C3350" s="1" t="n">
        <v>270</v>
      </c>
      <c r="D3350" s="1" t="s">
        <v>1257</v>
      </c>
      <c r="E3350" s="1" t="s">
        <v>1357</v>
      </c>
      <c r="F3350" s="1" t="s">
        <v>1358</v>
      </c>
      <c r="G3350" s="1" t="n">
        <f aca="false">IF(ISNUMBER(E3350),E3350,VALUE(SUBSTITUTE(E3350,"#",".01")))</f>
        <v>124226.01</v>
      </c>
    </row>
    <row r="3351" customFormat="false" ht="12.75" hidden="false" customHeight="false" outlineLevel="0" collapsed="false">
      <c r="A3351" s="1" t="n">
        <v>162</v>
      </c>
      <c r="B3351" s="1" t="n">
        <v>108</v>
      </c>
      <c r="C3351" s="1" t="n">
        <v>270</v>
      </c>
      <c r="D3351" s="1" t="s">
        <v>1285</v>
      </c>
      <c r="E3351" s="1" t="s">
        <v>1359</v>
      </c>
      <c r="F3351" s="1" t="s">
        <v>1360</v>
      </c>
      <c r="G3351" s="1" t="n">
        <f aca="false">IF(ISNUMBER(E3351),E3351,VALUE(SUBSTITUTE(E3351,"#",".01")))</f>
        <v>125112.01</v>
      </c>
    </row>
    <row r="3352" customFormat="false" ht="12.75" hidden="false" customHeight="false" outlineLevel="0" collapsed="false">
      <c r="A3352" s="1" t="n">
        <v>161</v>
      </c>
      <c r="B3352" s="1" t="n">
        <v>109</v>
      </c>
      <c r="C3352" s="1" t="n">
        <v>270</v>
      </c>
      <c r="D3352" s="1" t="s">
        <v>1306</v>
      </c>
      <c r="E3352" s="1" t="s">
        <v>1361</v>
      </c>
      <c r="F3352" s="1" t="s">
        <v>466</v>
      </c>
      <c r="G3352" s="1" t="n">
        <f aca="false">IF(ISNUMBER(E3352),E3352,VALUE(SUBSTITUTE(E3352,"#",".01")))</f>
        <v>130710.01</v>
      </c>
    </row>
    <row r="3353" customFormat="false" ht="12.75" hidden="false" customHeight="false" outlineLevel="0" collapsed="false">
      <c r="A3353" s="1" t="n">
        <v>160</v>
      </c>
      <c r="B3353" s="1" t="n">
        <v>110</v>
      </c>
      <c r="C3353" s="1" t="n">
        <v>270</v>
      </c>
      <c r="D3353" s="1" t="s">
        <v>1330</v>
      </c>
      <c r="E3353" s="1" t="n">
        <v>134678.282</v>
      </c>
      <c r="F3353" s="1" t="n">
        <v>48.011</v>
      </c>
      <c r="G3353" s="1" t="n">
        <f aca="false">IF(ISNUMBER(E3353),E3353,VALUE(SUBSTITUTE(E3353,"#",".01")))</f>
        <v>134678.282</v>
      </c>
    </row>
    <row r="3354" customFormat="false" ht="12.75" hidden="false" customHeight="false" outlineLevel="0" collapsed="false">
      <c r="A3354" s="1" t="n">
        <v>165</v>
      </c>
      <c r="B3354" s="1" t="n">
        <v>106</v>
      </c>
      <c r="C3354" s="1" t="n">
        <v>271</v>
      </c>
      <c r="D3354" s="1" t="s">
        <v>1239</v>
      </c>
      <c r="E3354" s="1" t="s">
        <v>1362</v>
      </c>
      <c r="F3354" s="1" t="s">
        <v>1363</v>
      </c>
      <c r="G3354" s="1" t="n">
        <f aca="false">IF(ISNUMBER(E3354),E3354,VALUE(SUBSTITUTE(E3354,"#",".01")))</f>
        <v>124757.01</v>
      </c>
    </row>
    <row r="3355" customFormat="false" ht="12.75" hidden="false" customHeight="false" outlineLevel="0" collapsed="false">
      <c r="A3355" s="1" t="n">
        <v>164</v>
      </c>
      <c r="B3355" s="1" t="n">
        <v>107</v>
      </c>
      <c r="C3355" s="1" t="n">
        <v>271</v>
      </c>
      <c r="D3355" s="1" t="s">
        <v>1257</v>
      </c>
      <c r="E3355" s="1" t="s">
        <v>1364</v>
      </c>
      <c r="F3355" s="1" t="s">
        <v>1365</v>
      </c>
      <c r="G3355" s="1" t="n">
        <f aca="false">IF(ISNUMBER(E3355),E3355,VALUE(SUBSTITUTE(E3355,"#",".01")))</f>
        <v>125921.01</v>
      </c>
    </row>
    <row r="3356" customFormat="false" ht="12.75" hidden="false" customHeight="false" outlineLevel="0" collapsed="false">
      <c r="A3356" s="1" t="n">
        <v>163</v>
      </c>
      <c r="B3356" s="1" t="n">
        <v>108</v>
      </c>
      <c r="C3356" s="1" t="n">
        <v>271</v>
      </c>
      <c r="D3356" s="1" t="s">
        <v>1285</v>
      </c>
      <c r="E3356" s="1" t="s">
        <v>1366</v>
      </c>
      <c r="F3356" s="1" t="s">
        <v>1367</v>
      </c>
      <c r="G3356" s="1" t="n">
        <f aca="false">IF(ISNUMBER(E3356),E3356,VALUE(SUBSTITUTE(E3356,"#",".01")))</f>
        <v>127740.01</v>
      </c>
    </row>
    <row r="3357" customFormat="false" ht="12.75" hidden="false" customHeight="false" outlineLevel="0" collapsed="false">
      <c r="A3357" s="1" t="n">
        <v>162</v>
      </c>
      <c r="B3357" s="1" t="n">
        <v>109</v>
      </c>
      <c r="C3357" s="1" t="n">
        <v>271</v>
      </c>
      <c r="D3357" s="1" t="s">
        <v>1306</v>
      </c>
      <c r="E3357" s="1" t="s">
        <v>1368</v>
      </c>
      <c r="F3357" s="1" t="s">
        <v>1369</v>
      </c>
      <c r="G3357" s="1" t="n">
        <f aca="false">IF(ISNUMBER(E3357),E3357,VALUE(SUBSTITUTE(E3357,"#",".01")))</f>
        <v>131101.01</v>
      </c>
    </row>
    <row r="3358" customFormat="false" ht="12.75" hidden="false" customHeight="false" outlineLevel="0" collapsed="false">
      <c r="A3358" s="1" t="n">
        <v>161</v>
      </c>
      <c r="B3358" s="1" t="n">
        <v>110</v>
      </c>
      <c r="C3358" s="1" t="n">
        <v>271</v>
      </c>
      <c r="D3358" s="1" t="s">
        <v>1330</v>
      </c>
      <c r="E3358" s="1" t="s">
        <v>1370</v>
      </c>
      <c r="F3358" s="1" t="s">
        <v>1371</v>
      </c>
      <c r="G3358" s="1" t="n">
        <f aca="false">IF(ISNUMBER(E3358),E3358,VALUE(SUBSTITUTE(E3358,"#",".01")))</f>
        <v>135948.01</v>
      </c>
    </row>
    <row r="3359" customFormat="false" ht="12.75" hidden="false" customHeight="false" outlineLevel="0" collapsed="false">
      <c r="A3359" s="1" t="n">
        <v>166</v>
      </c>
      <c r="B3359" s="1" t="n">
        <v>106</v>
      </c>
      <c r="C3359" s="1" t="n">
        <v>272</v>
      </c>
      <c r="D3359" s="1" t="s">
        <v>1239</v>
      </c>
      <c r="E3359" s="1" t="s">
        <v>1372</v>
      </c>
      <c r="F3359" s="1" t="s">
        <v>1373</v>
      </c>
      <c r="G3359" s="1" t="n">
        <f aca="false">IF(ISNUMBER(E3359),E3359,VALUE(SUBSTITUTE(E3359,"#",".01")))</f>
        <v>126580.01</v>
      </c>
    </row>
    <row r="3360" customFormat="false" ht="12.75" hidden="false" customHeight="false" outlineLevel="0" collapsed="false">
      <c r="A3360" s="1" t="n">
        <v>165</v>
      </c>
      <c r="B3360" s="1" t="n">
        <v>107</v>
      </c>
      <c r="C3360" s="1" t="n">
        <v>272</v>
      </c>
      <c r="D3360" s="1" t="s">
        <v>1257</v>
      </c>
      <c r="E3360" s="1" t="s">
        <v>1374</v>
      </c>
      <c r="F3360" s="1" t="s">
        <v>1375</v>
      </c>
      <c r="G3360" s="1" t="n">
        <f aca="false">IF(ISNUMBER(E3360),E3360,VALUE(SUBSTITUTE(E3360,"#",".01")))</f>
        <v>128789.01</v>
      </c>
    </row>
    <row r="3361" customFormat="false" ht="12.75" hidden="false" customHeight="false" outlineLevel="0" collapsed="false">
      <c r="A3361" s="1" t="n">
        <v>164</v>
      </c>
      <c r="B3361" s="1" t="n">
        <v>108</v>
      </c>
      <c r="C3361" s="1" t="n">
        <v>272</v>
      </c>
      <c r="D3361" s="1" t="s">
        <v>1285</v>
      </c>
      <c r="E3361" s="1" t="s">
        <v>1376</v>
      </c>
      <c r="F3361" s="1" t="s">
        <v>1377</v>
      </c>
      <c r="G3361" s="1" t="n">
        <f aca="false">IF(ISNUMBER(E3361),E3361,VALUE(SUBSTITUTE(E3361,"#",".01")))</f>
        <v>129006.01</v>
      </c>
    </row>
    <row r="3362" customFormat="false" ht="12.75" hidden="false" customHeight="false" outlineLevel="0" collapsed="false">
      <c r="A3362" s="1" t="n">
        <v>163</v>
      </c>
      <c r="B3362" s="1" t="n">
        <v>109</v>
      </c>
      <c r="C3362" s="1" t="n">
        <v>272</v>
      </c>
      <c r="D3362" s="1" t="s">
        <v>1306</v>
      </c>
      <c r="E3362" s="1" t="s">
        <v>1378</v>
      </c>
      <c r="F3362" s="1" t="s">
        <v>1379</v>
      </c>
      <c r="G3362" s="1" t="n">
        <f aca="false">IF(ISNUMBER(E3362),E3362,VALUE(SUBSTITUTE(E3362,"#",".01")))</f>
        <v>133581.01</v>
      </c>
    </row>
    <row r="3363" customFormat="false" ht="12.75" hidden="false" customHeight="false" outlineLevel="0" collapsed="false">
      <c r="A3363" s="1" t="n">
        <v>162</v>
      </c>
      <c r="B3363" s="1" t="n">
        <v>110</v>
      </c>
      <c r="C3363" s="1" t="n">
        <v>272</v>
      </c>
      <c r="D3363" s="1" t="s">
        <v>1330</v>
      </c>
      <c r="E3363" s="1" t="s">
        <v>1380</v>
      </c>
      <c r="F3363" s="1" t="s">
        <v>1241</v>
      </c>
      <c r="G3363" s="1" t="n">
        <f aca="false">IF(ISNUMBER(E3363),E3363,VALUE(SUBSTITUTE(E3363,"#",".01")))</f>
        <v>136015.01</v>
      </c>
    </row>
    <row r="3364" customFormat="false" ht="12.75" hidden="false" customHeight="false" outlineLevel="0" collapsed="false">
      <c r="A3364" s="1" t="n">
        <v>161</v>
      </c>
      <c r="B3364" s="1" t="n">
        <v>111</v>
      </c>
      <c r="C3364" s="1" t="n">
        <v>272</v>
      </c>
      <c r="D3364" s="1" t="s">
        <v>1381</v>
      </c>
      <c r="E3364" s="1" t="s">
        <v>1382</v>
      </c>
      <c r="F3364" s="1" t="s">
        <v>1342</v>
      </c>
      <c r="G3364" s="1" t="n">
        <f aca="false">IF(ISNUMBER(E3364),E3364,VALUE(SUBSTITUTE(E3364,"#",".01")))</f>
        <v>142773.01</v>
      </c>
    </row>
    <row r="3365" customFormat="false" ht="12.75" hidden="false" customHeight="false" outlineLevel="0" collapsed="false">
      <c r="A3365" s="1" t="n">
        <v>167</v>
      </c>
      <c r="B3365" s="1" t="n">
        <v>106</v>
      </c>
      <c r="C3365" s="1" t="n">
        <v>273</v>
      </c>
      <c r="D3365" s="1" t="s">
        <v>1239</v>
      </c>
      <c r="E3365" s="1" t="s">
        <v>1383</v>
      </c>
      <c r="F3365" s="1" t="s">
        <v>323</v>
      </c>
      <c r="G3365" s="1" t="n">
        <f aca="false">IF(ISNUMBER(E3365),E3365,VALUE(SUBSTITUTE(E3365,"#",".01")))</f>
        <v>130018.01</v>
      </c>
    </row>
    <row r="3366" customFormat="false" ht="12.75" hidden="false" customHeight="false" outlineLevel="0" collapsed="false">
      <c r="A3366" s="1" t="n">
        <v>166</v>
      </c>
      <c r="B3366" s="1" t="n">
        <v>107</v>
      </c>
      <c r="C3366" s="1" t="n">
        <v>273</v>
      </c>
      <c r="D3366" s="1" t="s">
        <v>1257</v>
      </c>
      <c r="E3366" s="1" t="s">
        <v>1384</v>
      </c>
      <c r="F3366" s="1" t="s">
        <v>1385</v>
      </c>
      <c r="G3366" s="1" t="n">
        <f aca="false">IF(ISNUMBER(E3366),E3366,VALUE(SUBSTITUTE(E3366,"#",".01")))</f>
        <v>130633.01</v>
      </c>
    </row>
    <row r="3367" customFormat="false" ht="12.75" hidden="false" customHeight="false" outlineLevel="0" collapsed="false">
      <c r="A3367" s="1" t="n">
        <v>165</v>
      </c>
      <c r="B3367" s="1" t="n">
        <v>108</v>
      </c>
      <c r="C3367" s="1" t="n">
        <v>273</v>
      </c>
      <c r="D3367" s="1" t="s">
        <v>1285</v>
      </c>
      <c r="E3367" s="1" t="s">
        <v>1386</v>
      </c>
      <c r="F3367" s="1" t="s">
        <v>1387</v>
      </c>
      <c r="G3367" s="1" t="n">
        <f aca="false">IF(ISNUMBER(E3367),E3367,VALUE(SUBSTITUTE(E3367,"#",".01")))</f>
        <v>131890.01</v>
      </c>
    </row>
    <row r="3368" customFormat="false" ht="12.75" hidden="false" customHeight="false" outlineLevel="0" collapsed="false">
      <c r="A3368" s="1" t="n">
        <v>164</v>
      </c>
      <c r="B3368" s="1" t="n">
        <v>109</v>
      </c>
      <c r="C3368" s="1" t="n">
        <v>273</v>
      </c>
      <c r="D3368" s="1" t="s">
        <v>1306</v>
      </c>
      <c r="E3368" s="1" t="s">
        <v>1388</v>
      </c>
      <c r="F3368" s="1" t="s">
        <v>1389</v>
      </c>
      <c r="G3368" s="1" t="n">
        <f aca="false">IF(ISNUMBER(E3368),E3368,VALUE(SUBSTITUTE(E3368,"#",".01")))</f>
        <v>134713.01</v>
      </c>
    </row>
    <row r="3369" customFormat="false" ht="12.75" hidden="false" customHeight="false" outlineLevel="0" collapsed="false">
      <c r="A3369" s="1" t="n">
        <v>163</v>
      </c>
      <c r="B3369" s="1" t="n">
        <v>110</v>
      </c>
      <c r="C3369" s="1" t="n">
        <v>273</v>
      </c>
      <c r="D3369" s="1" t="s">
        <v>1330</v>
      </c>
      <c r="E3369" s="1" t="s">
        <v>1390</v>
      </c>
      <c r="F3369" s="1" t="s">
        <v>1391</v>
      </c>
      <c r="G3369" s="1" t="n">
        <f aca="false">IF(ISNUMBER(E3369),E3369,VALUE(SUBSTITUTE(E3369,"#",".01")))</f>
        <v>138356.01</v>
      </c>
    </row>
    <row r="3370" customFormat="false" ht="12.75" hidden="false" customHeight="false" outlineLevel="0" collapsed="false">
      <c r="A3370" s="1" t="n">
        <v>162</v>
      </c>
      <c r="B3370" s="1" t="n">
        <v>111</v>
      </c>
      <c r="C3370" s="1" t="n">
        <v>273</v>
      </c>
      <c r="D3370" s="1" t="s">
        <v>1381</v>
      </c>
      <c r="E3370" s="1" t="s">
        <v>1392</v>
      </c>
      <c r="F3370" s="1" t="s">
        <v>1393</v>
      </c>
      <c r="G3370" s="1" t="n">
        <f aca="false">IF(ISNUMBER(E3370),E3370,VALUE(SUBSTITUTE(E3370,"#",".01")))</f>
        <v>142695.01</v>
      </c>
    </row>
    <row r="3371" customFormat="false" ht="12.75" hidden="false" customHeight="false" outlineLevel="0" collapsed="false">
      <c r="A3371" s="1" t="n">
        <v>167</v>
      </c>
      <c r="B3371" s="1" t="n">
        <v>107</v>
      </c>
      <c r="C3371" s="1" t="n">
        <v>274</v>
      </c>
      <c r="D3371" s="1" t="s">
        <v>1257</v>
      </c>
      <c r="E3371" s="1" t="s">
        <v>1394</v>
      </c>
      <c r="F3371" s="1" t="s">
        <v>1395</v>
      </c>
      <c r="G3371" s="1" t="n">
        <f aca="false">IF(ISNUMBER(E3371),E3371,VALUE(SUBSTITUTE(E3371,"#",".01")))</f>
        <v>133682.01</v>
      </c>
    </row>
    <row r="3372" customFormat="false" ht="12.75" hidden="false" customHeight="false" outlineLevel="0" collapsed="false">
      <c r="A3372" s="1" t="n">
        <v>166</v>
      </c>
      <c r="B3372" s="1" t="n">
        <v>108</v>
      </c>
      <c r="C3372" s="1" t="n">
        <v>274</v>
      </c>
      <c r="D3372" s="1" t="s">
        <v>1285</v>
      </c>
      <c r="E3372" s="1" t="s">
        <v>1396</v>
      </c>
      <c r="F3372" s="1" t="s">
        <v>1397</v>
      </c>
      <c r="G3372" s="1" t="n">
        <f aca="false">IF(ISNUMBER(E3372),E3372,VALUE(SUBSTITUTE(E3372,"#",".01")))</f>
        <v>133486.01</v>
      </c>
    </row>
    <row r="3373" customFormat="false" ht="12.75" hidden="false" customHeight="false" outlineLevel="0" collapsed="false">
      <c r="A3373" s="1" t="n">
        <v>165</v>
      </c>
      <c r="B3373" s="1" t="n">
        <v>109</v>
      </c>
      <c r="C3373" s="1" t="n">
        <v>274</v>
      </c>
      <c r="D3373" s="1" t="s">
        <v>1306</v>
      </c>
      <c r="E3373" s="1" t="s">
        <v>1398</v>
      </c>
      <c r="F3373" s="1" t="s">
        <v>1399</v>
      </c>
      <c r="G3373" s="1" t="n">
        <f aca="false">IF(ISNUMBER(E3373),E3373,VALUE(SUBSTITUTE(E3373,"#",".01")))</f>
        <v>137246.01</v>
      </c>
    </row>
    <row r="3374" customFormat="false" ht="12.75" hidden="false" customHeight="false" outlineLevel="0" collapsed="false">
      <c r="A3374" s="1" t="n">
        <v>164</v>
      </c>
      <c r="B3374" s="1" t="n">
        <v>110</v>
      </c>
      <c r="C3374" s="1" t="n">
        <v>274</v>
      </c>
      <c r="D3374" s="1" t="s">
        <v>1330</v>
      </c>
      <c r="E3374" s="1" t="s">
        <v>1400</v>
      </c>
      <c r="F3374" s="1" t="s">
        <v>1401</v>
      </c>
      <c r="G3374" s="1" t="n">
        <f aca="false">IF(ISNUMBER(E3374),E3374,VALUE(SUBSTITUTE(E3374,"#",".01")))</f>
        <v>139197.01</v>
      </c>
    </row>
    <row r="3375" customFormat="false" ht="12.75" hidden="false" customHeight="false" outlineLevel="0" collapsed="false">
      <c r="A3375" s="1" t="n">
        <v>163</v>
      </c>
      <c r="B3375" s="1" t="n">
        <v>111</v>
      </c>
      <c r="C3375" s="1" t="n">
        <v>274</v>
      </c>
      <c r="D3375" s="1" t="s">
        <v>1381</v>
      </c>
      <c r="E3375" s="1" t="s">
        <v>1402</v>
      </c>
      <c r="F3375" s="1" t="s">
        <v>1297</v>
      </c>
      <c r="G3375" s="1" t="n">
        <f aca="false">IF(ISNUMBER(E3375),E3375,VALUE(SUBSTITUTE(E3375,"#",".01")))</f>
        <v>144613.01</v>
      </c>
    </row>
    <row r="3376" customFormat="false" ht="12.75" hidden="false" customHeight="false" outlineLevel="0" collapsed="false">
      <c r="A3376" s="1" t="n">
        <v>168</v>
      </c>
      <c r="B3376" s="1" t="n">
        <v>107</v>
      </c>
      <c r="C3376" s="1" t="n">
        <v>275</v>
      </c>
      <c r="D3376" s="1" t="s">
        <v>1257</v>
      </c>
      <c r="E3376" s="1" t="s">
        <v>1403</v>
      </c>
      <c r="F3376" s="1" t="s">
        <v>316</v>
      </c>
      <c r="G3376" s="1" t="n">
        <f aca="false">IF(ISNUMBER(E3376),E3376,VALUE(SUBSTITUTE(E3376,"#",".01")))</f>
        <v>135691.01</v>
      </c>
    </row>
    <row r="3377" customFormat="false" ht="12.75" hidden="false" customHeight="false" outlineLevel="0" collapsed="false">
      <c r="A3377" s="1" t="n">
        <v>167</v>
      </c>
      <c r="B3377" s="1" t="n">
        <v>108</v>
      </c>
      <c r="C3377" s="1" t="n">
        <v>275</v>
      </c>
      <c r="D3377" s="1" t="s">
        <v>1285</v>
      </c>
      <c r="E3377" s="1" t="s">
        <v>1404</v>
      </c>
      <c r="F3377" s="1" t="s">
        <v>1405</v>
      </c>
      <c r="G3377" s="1" t="n">
        <f aca="false">IF(ISNUMBER(E3377),E3377,VALUE(SUBSTITUTE(E3377,"#",".01")))</f>
        <v>136620.01</v>
      </c>
    </row>
    <row r="3378" customFormat="false" ht="12.75" hidden="false" customHeight="false" outlineLevel="0" collapsed="false">
      <c r="A3378" s="1" t="n">
        <v>166</v>
      </c>
      <c r="B3378" s="1" t="n">
        <v>109</v>
      </c>
      <c r="C3378" s="1" t="n">
        <v>275</v>
      </c>
      <c r="D3378" s="1" t="s">
        <v>1306</v>
      </c>
      <c r="E3378" s="1" t="s">
        <v>1406</v>
      </c>
      <c r="F3378" s="1" t="s">
        <v>1407</v>
      </c>
      <c r="G3378" s="1" t="n">
        <f aca="false">IF(ISNUMBER(E3378),E3378,VALUE(SUBSTITUTE(E3378,"#",".01")))</f>
        <v>138829.01</v>
      </c>
    </row>
    <row r="3379" customFormat="false" ht="12.75" hidden="false" customHeight="false" outlineLevel="0" collapsed="false">
      <c r="A3379" s="1" t="n">
        <v>165</v>
      </c>
      <c r="B3379" s="1" t="n">
        <v>110</v>
      </c>
      <c r="C3379" s="1" t="n">
        <v>275</v>
      </c>
      <c r="D3379" s="1" t="s">
        <v>1330</v>
      </c>
      <c r="E3379" s="1" t="s">
        <v>1408</v>
      </c>
      <c r="F3379" s="1" t="s">
        <v>1214</v>
      </c>
      <c r="G3379" s="1" t="n">
        <f aca="false">IF(ISNUMBER(E3379),E3379,VALUE(SUBSTITUTE(E3379,"#",".01")))</f>
        <v>141565.01</v>
      </c>
    </row>
    <row r="3380" customFormat="false" ht="12.75" hidden="false" customHeight="false" outlineLevel="0" collapsed="false">
      <c r="A3380" s="1" t="n">
        <v>164</v>
      </c>
      <c r="B3380" s="1" t="n">
        <v>111</v>
      </c>
      <c r="C3380" s="1" t="n">
        <v>275</v>
      </c>
      <c r="D3380" s="1" t="s">
        <v>1381</v>
      </c>
      <c r="E3380" s="1" t="s">
        <v>1409</v>
      </c>
      <c r="F3380" s="1" t="s">
        <v>1410</v>
      </c>
      <c r="G3380" s="1" t="n">
        <f aca="false">IF(ISNUMBER(E3380),E3380,VALUE(SUBSTITUTE(E3380,"#",".01")))</f>
        <v>145296.01</v>
      </c>
    </row>
    <row r="3381" customFormat="false" ht="12.75" hidden="false" customHeight="false" outlineLevel="0" collapsed="false">
      <c r="A3381" s="1" t="n">
        <v>168</v>
      </c>
      <c r="B3381" s="1" t="n">
        <v>108</v>
      </c>
      <c r="C3381" s="1" t="n">
        <v>276</v>
      </c>
      <c r="D3381" s="1" t="s">
        <v>1285</v>
      </c>
      <c r="E3381" s="1" t="s">
        <v>1411</v>
      </c>
      <c r="F3381" s="1" t="s">
        <v>1412</v>
      </c>
      <c r="G3381" s="1" t="n">
        <f aca="false">IF(ISNUMBER(E3381),E3381,VALUE(SUBSTITUTE(E3381,"#",".01")))</f>
        <v>138285.01</v>
      </c>
    </row>
    <row r="3382" customFormat="false" ht="12.75" hidden="false" customHeight="false" outlineLevel="0" collapsed="false">
      <c r="A3382" s="1" t="n">
        <v>167</v>
      </c>
      <c r="B3382" s="1" t="n">
        <v>109</v>
      </c>
      <c r="C3382" s="1" t="n">
        <v>276</v>
      </c>
      <c r="D3382" s="1" t="s">
        <v>1306</v>
      </c>
      <c r="E3382" s="1" t="s">
        <v>1413</v>
      </c>
      <c r="F3382" s="1" t="s">
        <v>1375</v>
      </c>
      <c r="G3382" s="1" t="n">
        <f aca="false">IF(ISNUMBER(E3382),E3382,VALUE(SUBSTITUTE(E3382,"#",".01")))</f>
        <v>141315.01</v>
      </c>
    </row>
    <row r="3383" customFormat="false" ht="12.75" hidden="false" customHeight="false" outlineLevel="0" collapsed="false">
      <c r="A3383" s="1" t="n">
        <v>166</v>
      </c>
      <c r="B3383" s="1" t="n">
        <v>110</v>
      </c>
      <c r="C3383" s="1" t="n">
        <v>276</v>
      </c>
      <c r="D3383" s="1" t="s">
        <v>1330</v>
      </c>
      <c r="E3383" s="1" t="s">
        <v>1414</v>
      </c>
      <c r="F3383" s="1" t="s">
        <v>1415</v>
      </c>
      <c r="G3383" s="1" t="n">
        <f aca="false">IF(ISNUMBER(E3383),E3383,VALUE(SUBSTITUTE(E3383,"#",".01")))</f>
        <v>142541.01</v>
      </c>
    </row>
    <row r="3384" customFormat="false" ht="12.75" hidden="false" customHeight="false" outlineLevel="0" collapsed="false">
      <c r="A3384" s="1" t="n">
        <v>165</v>
      </c>
      <c r="B3384" s="1" t="n">
        <v>111</v>
      </c>
      <c r="C3384" s="1" t="n">
        <v>276</v>
      </c>
      <c r="D3384" s="1" t="s">
        <v>1381</v>
      </c>
      <c r="E3384" s="1" t="s">
        <v>1416</v>
      </c>
      <c r="F3384" s="1" t="s">
        <v>1417</v>
      </c>
      <c r="G3384" s="1" t="n">
        <f aca="false">IF(ISNUMBER(E3384),E3384,VALUE(SUBSTITUTE(E3384,"#",".01")))</f>
        <v>147486.01</v>
      </c>
    </row>
    <row r="3385" customFormat="false" ht="12.75" hidden="false" customHeight="false" outlineLevel="0" collapsed="false">
      <c r="A3385" s="1" t="n">
        <v>164</v>
      </c>
      <c r="B3385" s="1" t="n">
        <v>112</v>
      </c>
      <c r="C3385" s="1" t="n">
        <v>276</v>
      </c>
      <c r="D3385" s="1" t="s">
        <v>1418</v>
      </c>
      <c r="E3385" s="1" t="s">
        <v>1419</v>
      </c>
      <c r="F3385" s="1" t="s">
        <v>316</v>
      </c>
      <c r="G3385" s="1" t="n">
        <f aca="false">IF(ISNUMBER(E3385),E3385,VALUE(SUBSTITUTE(E3385,"#",".01")))</f>
        <v>150352.01</v>
      </c>
    </row>
    <row r="3386" customFormat="false" ht="12.75" hidden="false" customHeight="false" outlineLevel="0" collapsed="false">
      <c r="A3386" s="1" t="n">
        <v>169</v>
      </c>
      <c r="B3386" s="1" t="n">
        <v>108</v>
      </c>
      <c r="C3386" s="1" t="n">
        <v>277</v>
      </c>
      <c r="D3386" s="1" t="s">
        <v>1285</v>
      </c>
      <c r="E3386" s="1" t="s">
        <v>1420</v>
      </c>
      <c r="F3386" s="1" t="s">
        <v>1421</v>
      </c>
      <c r="G3386" s="1" t="n">
        <f aca="false">IF(ISNUMBER(E3386),E3386,VALUE(SUBSTITUTE(E3386,"#",".01")))</f>
        <v>141493.01</v>
      </c>
    </row>
    <row r="3387" customFormat="false" ht="12.75" hidden="false" customHeight="false" outlineLevel="0" collapsed="false">
      <c r="A3387" s="1" t="n">
        <v>168</v>
      </c>
      <c r="B3387" s="1" t="n">
        <v>109</v>
      </c>
      <c r="C3387" s="1" t="n">
        <v>277</v>
      </c>
      <c r="D3387" s="1" t="s">
        <v>1306</v>
      </c>
      <c r="E3387" s="1" t="s">
        <v>1422</v>
      </c>
      <c r="F3387" s="1" t="s">
        <v>340</v>
      </c>
      <c r="G3387" s="1" t="n">
        <f aca="false">IF(ISNUMBER(E3387),E3387,VALUE(SUBSTITUTE(E3387,"#",".01")))</f>
        <v>142968.01</v>
      </c>
    </row>
    <row r="3388" customFormat="false" ht="12.75" hidden="false" customHeight="false" outlineLevel="0" collapsed="false">
      <c r="A3388" s="1" t="n">
        <v>167</v>
      </c>
      <c r="B3388" s="1" t="n">
        <v>110</v>
      </c>
      <c r="C3388" s="1" t="n">
        <v>277</v>
      </c>
      <c r="D3388" s="1" t="s">
        <v>1330</v>
      </c>
      <c r="E3388" s="1" t="s">
        <v>1423</v>
      </c>
      <c r="F3388" s="1" t="s">
        <v>1424</v>
      </c>
      <c r="G3388" s="1" t="n">
        <f aca="false">IF(ISNUMBER(E3388),E3388,VALUE(SUBSTITUTE(E3388,"#",".01")))</f>
        <v>145140.01</v>
      </c>
    </row>
    <row r="3389" customFormat="false" ht="12.75" hidden="false" customHeight="false" outlineLevel="0" collapsed="false">
      <c r="A3389" s="1" t="n">
        <v>166</v>
      </c>
      <c r="B3389" s="1" t="n">
        <v>111</v>
      </c>
      <c r="C3389" s="1" t="n">
        <v>277</v>
      </c>
      <c r="D3389" s="1" t="s">
        <v>1381</v>
      </c>
      <c r="E3389" s="1" t="s">
        <v>1425</v>
      </c>
      <c r="F3389" s="1" t="s">
        <v>1426</v>
      </c>
      <c r="G3389" s="1" t="n">
        <f aca="false">IF(ISNUMBER(E3389),E3389,VALUE(SUBSTITUTE(E3389,"#",".01")))</f>
        <v>148338.01</v>
      </c>
    </row>
    <row r="3390" customFormat="false" ht="12.75" hidden="false" customHeight="false" outlineLevel="0" collapsed="false">
      <c r="A3390" s="1" t="n">
        <v>165</v>
      </c>
      <c r="B3390" s="1" t="n">
        <v>112</v>
      </c>
      <c r="C3390" s="1" t="n">
        <v>277</v>
      </c>
      <c r="D3390" s="1" t="s">
        <v>1418</v>
      </c>
      <c r="E3390" s="1" t="s">
        <v>1427</v>
      </c>
      <c r="F3390" s="1" t="s">
        <v>1272</v>
      </c>
      <c r="G3390" s="1" t="n">
        <f aca="false">IF(ISNUMBER(E3390),E3390,VALUE(SUBSTITUTE(E3390,"#",".01")))</f>
        <v>152403.01</v>
      </c>
    </row>
    <row r="3391" customFormat="false" ht="12.75" hidden="false" customHeight="false" outlineLevel="0" collapsed="false">
      <c r="A3391" s="1" t="n">
        <v>169</v>
      </c>
      <c r="B3391" s="1" t="n">
        <v>109</v>
      </c>
      <c r="C3391" s="1" t="n">
        <v>278</v>
      </c>
      <c r="D3391" s="1" t="s">
        <v>1306</v>
      </c>
      <c r="E3391" s="1" t="s">
        <v>1428</v>
      </c>
      <c r="F3391" s="1" t="s">
        <v>1429</v>
      </c>
      <c r="G3391" s="1" t="n">
        <f aca="false">IF(ISNUMBER(E3391),E3391,VALUE(SUBSTITUTE(E3391,"#",".01")))</f>
        <v>145736.01</v>
      </c>
    </row>
    <row r="3392" customFormat="false" ht="12.75" hidden="false" customHeight="false" outlineLevel="0" collapsed="false">
      <c r="A3392" s="1" t="n">
        <v>168</v>
      </c>
      <c r="B3392" s="1" t="n">
        <v>110</v>
      </c>
      <c r="C3392" s="1" t="n">
        <v>278</v>
      </c>
      <c r="D3392" s="1" t="s">
        <v>1330</v>
      </c>
      <c r="E3392" s="1" t="s">
        <v>1430</v>
      </c>
      <c r="F3392" s="1" t="s">
        <v>1431</v>
      </c>
      <c r="G3392" s="1" t="n">
        <f aca="false">IF(ISNUMBER(E3392),E3392,VALUE(SUBSTITUTE(E3392,"#",".01")))</f>
        <v>146381.01</v>
      </c>
    </row>
    <row r="3393" customFormat="false" ht="12.75" hidden="false" customHeight="false" outlineLevel="0" collapsed="false">
      <c r="A3393" s="1" t="n">
        <v>167</v>
      </c>
      <c r="B3393" s="1" t="n">
        <v>111</v>
      </c>
      <c r="C3393" s="1" t="n">
        <v>278</v>
      </c>
      <c r="D3393" s="1" t="s">
        <v>1381</v>
      </c>
      <c r="E3393" s="1" t="s">
        <v>1432</v>
      </c>
      <c r="F3393" s="1" t="s">
        <v>1433</v>
      </c>
      <c r="G3393" s="1" t="n">
        <f aca="false">IF(ISNUMBER(E3393),E3393,VALUE(SUBSTITUTE(E3393,"#",".01")))</f>
        <v>150517.01</v>
      </c>
    </row>
    <row r="3394" customFormat="false" ht="12.75" hidden="false" customHeight="false" outlineLevel="0" collapsed="false">
      <c r="A3394" s="1" t="n">
        <v>166</v>
      </c>
      <c r="B3394" s="1" t="n">
        <v>112</v>
      </c>
      <c r="C3394" s="1" t="n">
        <v>278</v>
      </c>
      <c r="D3394" s="1" t="s">
        <v>1418</v>
      </c>
      <c r="E3394" s="1" t="s">
        <v>1434</v>
      </c>
      <c r="F3394" s="1" t="s">
        <v>1435</v>
      </c>
      <c r="G3394" s="1" t="n">
        <f aca="false">IF(ISNUMBER(E3394),E3394,VALUE(SUBSTITUTE(E3394,"#",".01")))</f>
        <v>152932.01</v>
      </c>
    </row>
    <row r="3395" customFormat="false" ht="12.75" hidden="false" customHeight="false" outlineLevel="0" collapsed="false">
      <c r="A3395" s="1" t="n">
        <v>165</v>
      </c>
      <c r="B3395" s="1" t="n">
        <v>113</v>
      </c>
      <c r="C3395" s="1" t="n">
        <v>278</v>
      </c>
      <c r="D3395" s="1" t="s">
        <v>1436</v>
      </c>
      <c r="E3395" s="1" t="s">
        <v>1437</v>
      </c>
      <c r="F3395" s="1" t="s">
        <v>1438</v>
      </c>
      <c r="G3395" s="1" t="n">
        <f aca="false">IF(ISNUMBER(E3395),E3395,VALUE(SUBSTITUTE(E3395,"#",".01")))</f>
        <v>158889.01</v>
      </c>
    </row>
    <row r="3396" customFormat="false" ht="12.75" hidden="false" customHeight="false" outlineLevel="0" collapsed="false">
      <c r="A3396" s="1" t="n">
        <v>170</v>
      </c>
      <c r="B3396" s="1" t="n">
        <v>109</v>
      </c>
      <c r="C3396" s="1" t="n">
        <v>279</v>
      </c>
      <c r="D3396" s="1" t="s">
        <v>1306</v>
      </c>
      <c r="E3396" s="1" t="s">
        <v>1439</v>
      </c>
      <c r="F3396" s="1" t="s">
        <v>423</v>
      </c>
      <c r="G3396" s="1" t="n">
        <f aca="false">IF(ISNUMBER(E3396),E3396,VALUE(SUBSTITUTE(E3396,"#",".01")))</f>
        <v>147496.01</v>
      </c>
    </row>
    <row r="3397" customFormat="false" ht="12.75" hidden="false" customHeight="false" outlineLevel="0" collapsed="false">
      <c r="A3397" s="1" t="n">
        <v>169</v>
      </c>
      <c r="B3397" s="1" t="n">
        <v>110</v>
      </c>
      <c r="C3397" s="1" t="n">
        <v>279</v>
      </c>
      <c r="D3397" s="1" t="s">
        <v>1330</v>
      </c>
      <c r="E3397" s="1" t="s">
        <v>1440</v>
      </c>
      <c r="F3397" s="1" t="s">
        <v>1441</v>
      </c>
      <c r="G3397" s="1" t="n">
        <f aca="false">IF(ISNUMBER(E3397),E3397,VALUE(SUBSTITUTE(E3397,"#",".01")))</f>
        <v>149126.01</v>
      </c>
    </row>
    <row r="3398" customFormat="false" ht="12.75" hidden="false" customHeight="false" outlineLevel="0" collapsed="false">
      <c r="A3398" s="1" t="n">
        <v>168</v>
      </c>
      <c r="B3398" s="1" t="n">
        <v>111</v>
      </c>
      <c r="C3398" s="1" t="n">
        <v>279</v>
      </c>
      <c r="D3398" s="1" t="s">
        <v>1381</v>
      </c>
      <c r="E3398" s="1" t="s">
        <v>1442</v>
      </c>
      <c r="F3398" s="1" t="s">
        <v>1443</v>
      </c>
      <c r="G3398" s="1" t="n">
        <f aca="false">IF(ISNUMBER(E3398),E3398,VALUE(SUBSTITUTE(E3398,"#",".01")))</f>
        <v>151775.01</v>
      </c>
    </row>
    <row r="3399" customFormat="false" ht="12.75" hidden="false" customHeight="false" outlineLevel="0" collapsed="false">
      <c r="A3399" s="1" t="n">
        <v>167</v>
      </c>
      <c r="B3399" s="1" t="n">
        <v>112</v>
      </c>
      <c r="C3399" s="1" t="n">
        <v>279</v>
      </c>
      <c r="D3399" s="1" t="s">
        <v>1418</v>
      </c>
      <c r="E3399" s="1" t="s">
        <v>1444</v>
      </c>
      <c r="F3399" s="1" t="s">
        <v>1445</v>
      </c>
      <c r="G3399" s="1" t="n">
        <f aca="false">IF(ISNUMBER(E3399),E3399,VALUE(SUBSTITUTE(E3399,"#",".01")))</f>
        <v>155030.01</v>
      </c>
    </row>
    <row r="3400" customFormat="false" ht="12.75" hidden="false" customHeight="false" outlineLevel="0" collapsed="false">
      <c r="A3400" s="1" t="n">
        <v>166</v>
      </c>
      <c r="B3400" s="1" t="n">
        <v>113</v>
      </c>
      <c r="C3400" s="1" t="n">
        <v>279</v>
      </c>
      <c r="D3400" s="1" t="s">
        <v>1436</v>
      </c>
      <c r="E3400" s="1" t="s">
        <v>1446</v>
      </c>
      <c r="F3400" s="1" t="s">
        <v>340</v>
      </c>
      <c r="G3400" s="1" t="n">
        <f aca="false">IF(ISNUMBER(E3400),E3400,VALUE(SUBSTITUTE(E3400,"#",".01")))</f>
        <v>159239.01</v>
      </c>
    </row>
    <row r="3401" customFormat="false" ht="12.75" hidden="false" customHeight="false" outlineLevel="0" collapsed="false">
      <c r="A3401" s="1" t="n">
        <v>170</v>
      </c>
      <c r="B3401" s="1" t="n">
        <v>110</v>
      </c>
      <c r="C3401" s="1" t="n">
        <v>280</v>
      </c>
      <c r="D3401" s="1" t="s">
        <v>1330</v>
      </c>
      <c r="E3401" s="1" t="s">
        <v>1447</v>
      </c>
      <c r="F3401" s="1" t="s">
        <v>1448</v>
      </c>
      <c r="G3401" s="1" t="n">
        <f aca="false">IF(ISNUMBER(E3401),E3401,VALUE(SUBSTITUTE(E3401,"#",".01")))</f>
        <v>150520.01</v>
      </c>
    </row>
    <row r="3402" customFormat="false" ht="12.75" hidden="false" customHeight="false" outlineLevel="0" collapsed="false">
      <c r="A3402" s="1" t="n">
        <v>169</v>
      </c>
      <c r="B3402" s="1" t="n">
        <v>111</v>
      </c>
      <c r="C3402" s="1" t="n">
        <v>280</v>
      </c>
      <c r="D3402" s="1" t="s">
        <v>1381</v>
      </c>
      <c r="E3402" s="1" t="s">
        <v>1449</v>
      </c>
      <c r="F3402" s="1" t="s">
        <v>1375</v>
      </c>
      <c r="G3402" s="1" t="n">
        <f aca="false">IF(ISNUMBER(E3402),E3402,VALUE(SUBSTITUTE(E3402,"#",".01")))</f>
        <v>153886.01</v>
      </c>
    </row>
    <row r="3403" customFormat="false" ht="12.75" hidden="false" customHeight="false" outlineLevel="0" collapsed="false">
      <c r="A3403" s="1" t="n">
        <v>168</v>
      </c>
      <c r="B3403" s="1" t="n">
        <v>112</v>
      </c>
      <c r="C3403" s="1" t="n">
        <v>280</v>
      </c>
      <c r="D3403" s="1" t="s">
        <v>1418</v>
      </c>
      <c r="E3403" s="1" t="s">
        <v>1450</v>
      </c>
      <c r="F3403" s="1" t="s">
        <v>1310</v>
      </c>
      <c r="G3403" s="1" t="n">
        <f aca="false">IF(ISNUMBER(E3403),E3403,VALUE(SUBSTITUTE(E3403,"#",".01")))</f>
        <v>155696.01</v>
      </c>
    </row>
    <row r="3404" customFormat="false" ht="12.75" hidden="false" customHeight="false" outlineLevel="0" collapsed="false">
      <c r="A3404" s="1" t="n">
        <v>167</v>
      </c>
      <c r="B3404" s="1" t="n">
        <v>113</v>
      </c>
      <c r="C3404" s="1" t="n">
        <v>280</v>
      </c>
      <c r="D3404" s="1" t="s">
        <v>1436</v>
      </c>
      <c r="E3404" s="1" t="s">
        <v>1451</v>
      </c>
      <c r="F3404" s="1" t="s">
        <v>378</v>
      </c>
      <c r="G3404" s="1" t="n">
        <f aca="false">IF(ISNUMBER(E3404),E3404,VALUE(SUBSTITUTE(E3404,"#",".01")))</f>
        <v>161140.01</v>
      </c>
    </row>
    <row r="3405" customFormat="false" ht="12.75" hidden="false" customHeight="false" outlineLevel="0" collapsed="false">
      <c r="A3405" s="1" t="n">
        <v>171</v>
      </c>
      <c r="B3405" s="1" t="n">
        <v>110</v>
      </c>
      <c r="C3405" s="1" t="n">
        <v>281</v>
      </c>
      <c r="D3405" s="1" t="s">
        <v>1330</v>
      </c>
      <c r="E3405" s="1" t="s">
        <v>1452</v>
      </c>
      <c r="F3405" s="1" t="s">
        <v>1453</v>
      </c>
      <c r="G3405" s="1" t="n">
        <f aca="false">IF(ISNUMBER(E3405),E3405,VALUE(SUBSTITUTE(E3405,"#",".01")))</f>
        <v>153431.01</v>
      </c>
    </row>
    <row r="3406" customFormat="false" ht="12.75" hidden="false" customHeight="false" outlineLevel="0" collapsed="false">
      <c r="A3406" s="1" t="n">
        <v>170</v>
      </c>
      <c r="B3406" s="1" t="n">
        <v>111</v>
      </c>
      <c r="C3406" s="1" t="n">
        <v>281</v>
      </c>
      <c r="D3406" s="1" t="s">
        <v>1381</v>
      </c>
      <c r="E3406" s="1" t="s">
        <v>1454</v>
      </c>
      <c r="F3406" s="1" t="s">
        <v>1455</v>
      </c>
      <c r="G3406" s="1" t="n">
        <f aca="false">IF(ISNUMBER(E3406),E3406,VALUE(SUBSTITUTE(E3406,"#",".01")))</f>
        <v>155297.01</v>
      </c>
    </row>
    <row r="3407" customFormat="false" ht="12.75" hidden="false" customHeight="false" outlineLevel="0" collapsed="false">
      <c r="A3407" s="1" t="n">
        <v>169</v>
      </c>
      <c r="B3407" s="1" t="n">
        <v>112</v>
      </c>
      <c r="C3407" s="1" t="n">
        <v>281</v>
      </c>
      <c r="D3407" s="1" t="s">
        <v>1418</v>
      </c>
      <c r="E3407" s="1" t="s">
        <v>1456</v>
      </c>
      <c r="F3407" s="1" t="s">
        <v>1457</v>
      </c>
      <c r="G3407" s="1" t="n">
        <f aca="false">IF(ISNUMBER(E3407),E3407,VALUE(SUBSTITUTE(E3407,"#",".01")))</f>
        <v>158019.01</v>
      </c>
    </row>
    <row r="3408" customFormat="false" ht="12.75" hidden="false" customHeight="false" outlineLevel="0" collapsed="false">
      <c r="A3408" s="1" t="n">
        <v>168</v>
      </c>
      <c r="B3408" s="1" t="n">
        <v>113</v>
      </c>
      <c r="C3408" s="1" t="n">
        <v>281</v>
      </c>
      <c r="D3408" s="1" t="s">
        <v>1436</v>
      </c>
      <c r="E3408" s="1" t="s">
        <v>1458</v>
      </c>
      <c r="F3408" s="1" t="s">
        <v>371</v>
      </c>
      <c r="G3408" s="1" t="n">
        <f aca="false">IF(ISNUMBER(E3408),E3408,VALUE(SUBSTITUTE(E3408,"#",".01")))</f>
        <v>161810.01</v>
      </c>
    </row>
    <row r="3409" customFormat="false" ht="12.75" hidden="false" customHeight="false" outlineLevel="0" collapsed="false">
      <c r="A3409" s="1" t="n">
        <v>171</v>
      </c>
      <c r="B3409" s="1" t="n">
        <v>111</v>
      </c>
      <c r="C3409" s="1" t="n">
        <v>282</v>
      </c>
      <c r="D3409" s="1" t="s">
        <v>1381</v>
      </c>
      <c r="E3409" s="1" t="s">
        <v>1459</v>
      </c>
      <c r="F3409" s="1" t="s">
        <v>1460</v>
      </c>
      <c r="G3409" s="1" t="n">
        <f aca="false">IF(ISNUMBER(E3409),E3409,VALUE(SUBSTITUTE(E3409,"#",".01")))</f>
        <v>157800.01</v>
      </c>
    </row>
    <row r="3410" customFormat="false" ht="12.75" hidden="false" customHeight="false" outlineLevel="0" collapsed="false">
      <c r="A3410" s="1" t="n">
        <v>170</v>
      </c>
      <c r="B3410" s="1" t="n">
        <v>112</v>
      </c>
      <c r="C3410" s="1" t="n">
        <v>282</v>
      </c>
      <c r="D3410" s="1" t="s">
        <v>1418</v>
      </c>
      <c r="E3410" s="1" t="s">
        <v>1461</v>
      </c>
      <c r="F3410" s="1" t="s">
        <v>1462</v>
      </c>
      <c r="G3410" s="1" t="n">
        <f aca="false">IF(ISNUMBER(E3410),E3410,VALUE(SUBSTITUTE(E3410,"#",".01")))</f>
        <v>158976.01</v>
      </c>
    </row>
    <row r="3411" customFormat="false" ht="12.75" hidden="false" customHeight="false" outlineLevel="0" collapsed="false">
      <c r="A3411" s="1" t="n">
        <v>169</v>
      </c>
      <c r="B3411" s="1" t="n">
        <v>113</v>
      </c>
      <c r="C3411" s="1" t="n">
        <v>282</v>
      </c>
      <c r="D3411" s="1" t="s">
        <v>1436</v>
      </c>
      <c r="E3411" s="1" t="s">
        <v>1463</v>
      </c>
      <c r="F3411" s="1" t="s">
        <v>595</v>
      </c>
      <c r="G3411" s="1" t="n">
        <f aca="false">IF(ISNUMBER(E3411),E3411,VALUE(SUBSTITUTE(E3411,"#",".01")))</f>
        <v>163725.01</v>
      </c>
    </row>
    <row r="3412" customFormat="false" ht="12.75" hidden="false" customHeight="false" outlineLevel="0" collapsed="false">
      <c r="A3412" s="1" t="n">
        <v>172</v>
      </c>
      <c r="B3412" s="1" t="n">
        <v>111</v>
      </c>
      <c r="C3412" s="1" t="n">
        <v>283</v>
      </c>
      <c r="D3412" s="1" t="s">
        <v>1381</v>
      </c>
      <c r="E3412" s="1" t="s">
        <v>1464</v>
      </c>
      <c r="F3412" s="1" t="s">
        <v>1465</v>
      </c>
      <c r="G3412" s="1" t="n">
        <f aca="false">IF(ISNUMBER(E3412),E3412,VALUE(SUBSTITUTE(E3412,"#",".01")))</f>
        <v>159281.01</v>
      </c>
    </row>
    <row r="3413" customFormat="false" ht="12.75" hidden="false" customHeight="false" outlineLevel="0" collapsed="false">
      <c r="A3413" s="1" t="n">
        <v>171</v>
      </c>
      <c r="B3413" s="1" t="n">
        <v>112</v>
      </c>
      <c r="C3413" s="1" t="n">
        <v>283</v>
      </c>
      <c r="D3413" s="1" t="s">
        <v>1418</v>
      </c>
      <c r="E3413" s="1" t="s">
        <v>1466</v>
      </c>
      <c r="F3413" s="1" t="s">
        <v>1467</v>
      </c>
      <c r="G3413" s="1" t="n">
        <f aca="false">IF(ISNUMBER(E3413),E3413,VALUE(SUBSTITUTE(E3413,"#",".01")))</f>
        <v>161486.01</v>
      </c>
    </row>
    <row r="3414" customFormat="false" ht="12.75" hidden="false" customHeight="false" outlineLevel="0" collapsed="false">
      <c r="A3414" s="1" t="n">
        <v>170</v>
      </c>
      <c r="B3414" s="1" t="n">
        <v>113</v>
      </c>
      <c r="C3414" s="1" t="n">
        <v>283</v>
      </c>
      <c r="D3414" s="1" t="s">
        <v>1436</v>
      </c>
      <c r="E3414" s="1" t="s">
        <v>1468</v>
      </c>
      <c r="F3414" s="1" t="s">
        <v>1291</v>
      </c>
      <c r="G3414" s="1" t="n">
        <f aca="false">IF(ISNUMBER(E3414),E3414,VALUE(SUBSTITUTE(E3414,"#",".01")))</f>
        <v>164707.01</v>
      </c>
    </row>
    <row r="3415" customFormat="false" ht="12.75" hidden="false" customHeight="false" outlineLevel="0" collapsed="false">
      <c r="A3415" s="1" t="n">
        <v>172</v>
      </c>
      <c r="B3415" s="1" t="n">
        <v>112</v>
      </c>
      <c r="C3415" s="1" t="n">
        <v>284</v>
      </c>
      <c r="D3415" s="1" t="s">
        <v>1418</v>
      </c>
      <c r="E3415" s="1" t="s">
        <v>1469</v>
      </c>
      <c r="F3415" s="1" t="s">
        <v>1455</v>
      </c>
      <c r="G3415" s="1" t="n">
        <f aca="false">IF(ISNUMBER(E3415),E3415,VALUE(SUBSTITUTE(E3415,"#",".01")))</f>
        <v>162545.01</v>
      </c>
    </row>
    <row r="3416" customFormat="false" ht="12.75" hidden="false" customHeight="false" outlineLevel="0" collapsed="false">
      <c r="A3416" s="1" t="n">
        <v>171</v>
      </c>
      <c r="B3416" s="1" t="n">
        <v>113</v>
      </c>
      <c r="C3416" s="1" t="n">
        <v>284</v>
      </c>
      <c r="D3416" s="1" t="s">
        <v>1436</v>
      </c>
      <c r="E3416" s="1" t="s">
        <v>1470</v>
      </c>
      <c r="F3416" s="1" t="s">
        <v>1471</v>
      </c>
      <c r="G3416" s="1" t="n">
        <f aca="false">IF(ISNUMBER(E3416),E3416,VALUE(SUBSTITUTE(E3416,"#",".01")))</f>
        <v>166591.01</v>
      </c>
    </row>
    <row r="3417" customFormat="false" ht="12.75" hidden="false" customHeight="false" outlineLevel="0" collapsed="false">
      <c r="A3417" s="1" t="n">
        <v>170</v>
      </c>
      <c r="B3417" s="1" t="n">
        <v>114</v>
      </c>
      <c r="C3417" s="1" t="n">
        <v>284</v>
      </c>
      <c r="D3417" s="1" t="s">
        <v>1472</v>
      </c>
      <c r="E3417" s="1" t="s">
        <v>1473</v>
      </c>
      <c r="F3417" s="1" t="s">
        <v>1462</v>
      </c>
      <c r="G3417" s="1" t="n">
        <f aca="false">IF(ISNUMBER(E3417),E3417,VALUE(SUBSTITUTE(E3417,"#",".01")))</f>
        <v>168921.01</v>
      </c>
    </row>
    <row r="3418" customFormat="false" ht="12.75" hidden="false" customHeight="false" outlineLevel="0" collapsed="false">
      <c r="A3418" s="1" t="n">
        <v>173</v>
      </c>
      <c r="B3418" s="1" t="n">
        <v>112</v>
      </c>
      <c r="C3418" s="1" t="n">
        <v>285</v>
      </c>
      <c r="D3418" s="1" t="s">
        <v>1418</v>
      </c>
      <c r="E3418" s="1" t="s">
        <v>1474</v>
      </c>
      <c r="F3418" s="1" t="s">
        <v>1475</v>
      </c>
      <c r="G3418" s="1" t="n">
        <f aca="false">IF(ISNUMBER(E3418),E3418,VALUE(SUBSTITUTE(E3418,"#",".01")))</f>
        <v>165173.01</v>
      </c>
    </row>
    <row r="3419" customFormat="false" ht="12.75" hidden="false" customHeight="false" outlineLevel="0" collapsed="false">
      <c r="A3419" s="1" t="n">
        <v>172</v>
      </c>
      <c r="B3419" s="1" t="n">
        <v>113</v>
      </c>
      <c r="C3419" s="1" t="n">
        <v>285</v>
      </c>
      <c r="D3419" s="1" t="s">
        <v>1436</v>
      </c>
      <c r="E3419" s="1" t="s">
        <v>1476</v>
      </c>
      <c r="F3419" s="1" t="s">
        <v>1477</v>
      </c>
      <c r="G3419" s="1" t="n">
        <f aca="false">IF(ISNUMBER(E3419),E3419,VALUE(SUBSTITUTE(E3419,"#",".01")))</f>
        <v>167731.01</v>
      </c>
    </row>
    <row r="3420" customFormat="false" ht="12.75" hidden="false" customHeight="false" outlineLevel="0" collapsed="false">
      <c r="A3420" s="1" t="n">
        <v>171</v>
      </c>
      <c r="B3420" s="1" t="n">
        <v>114</v>
      </c>
      <c r="C3420" s="1" t="n">
        <v>285</v>
      </c>
      <c r="D3420" s="1" t="s">
        <v>1472</v>
      </c>
      <c r="E3420" s="1" t="s">
        <v>1478</v>
      </c>
      <c r="F3420" s="1" t="s">
        <v>1479</v>
      </c>
      <c r="G3420" s="1" t="n">
        <f aca="false">IF(ISNUMBER(E3420),E3420,VALUE(SUBSTITUTE(E3420,"#",".01")))</f>
        <v>171003.01</v>
      </c>
    </row>
    <row r="3421" customFormat="false" ht="12.75" hidden="false" customHeight="false" outlineLevel="0" collapsed="false">
      <c r="A3421" s="1" t="n">
        <v>173</v>
      </c>
      <c r="B3421" s="1" t="n">
        <v>113</v>
      </c>
      <c r="C3421" s="1" t="n">
        <v>286</v>
      </c>
      <c r="D3421" s="1" t="s">
        <v>1436</v>
      </c>
      <c r="E3421" s="1" t="s">
        <v>1480</v>
      </c>
      <c r="F3421" s="1" t="s">
        <v>1462</v>
      </c>
      <c r="G3421" s="1" t="n">
        <f aca="false">IF(ISNUMBER(E3421),E3421,VALUE(SUBSTITUTE(E3421,"#",".01")))</f>
        <v>170014.01</v>
      </c>
    </row>
    <row r="3422" customFormat="false" ht="12.75" hidden="false" customHeight="false" outlineLevel="0" collapsed="false">
      <c r="A3422" s="1" t="n">
        <v>172</v>
      </c>
      <c r="B3422" s="1" t="n">
        <v>114</v>
      </c>
      <c r="C3422" s="1" t="n">
        <v>286</v>
      </c>
      <c r="D3422" s="1" t="s">
        <v>1472</v>
      </c>
      <c r="E3422" s="1" t="s">
        <v>1481</v>
      </c>
      <c r="F3422" s="1" t="s">
        <v>1482</v>
      </c>
      <c r="G3422" s="1" t="n">
        <f aca="false">IF(ISNUMBER(E3422),E3422,VALUE(SUBSTITUTE(E3422,"#",".01")))</f>
        <v>171773.01</v>
      </c>
    </row>
    <row r="3423" customFormat="false" ht="12.75" hidden="false" customHeight="false" outlineLevel="0" collapsed="false">
      <c r="A3423" s="1" t="n">
        <v>174</v>
      </c>
      <c r="B3423" s="1" t="n">
        <v>113</v>
      </c>
      <c r="C3423" s="1" t="n">
        <v>287</v>
      </c>
      <c r="D3423" s="1" t="s">
        <v>1436</v>
      </c>
      <c r="E3423" s="1" t="s">
        <v>1483</v>
      </c>
      <c r="F3423" s="1" t="s">
        <v>1484</v>
      </c>
      <c r="G3423" s="1" t="n">
        <f aca="false">IF(ISNUMBER(E3423),E3423,VALUE(SUBSTITUTE(E3423,"#",".01")))</f>
        <v>171245.01</v>
      </c>
    </row>
    <row r="3424" customFormat="false" ht="12.75" hidden="false" customHeight="false" outlineLevel="0" collapsed="false">
      <c r="A3424" s="1" t="n">
        <v>173</v>
      </c>
      <c r="B3424" s="1" t="n">
        <v>114</v>
      </c>
      <c r="C3424" s="1" t="n">
        <v>287</v>
      </c>
      <c r="D3424" s="1" t="s">
        <v>1472</v>
      </c>
      <c r="E3424" s="1" t="s">
        <v>1485</v>
      </c>
      <c r="F3424" s="1" t="s">
        <v>1486</v>
      </c>
      <c r="G3424" s="1" t="n">
        <f aca="false">IF(ISNUMBER(E3424),E3424,VALUE(SUBSTITUTE(E3424,"#",".01")))</f>
        <v>174073.01</v>
      </c>
    </row>
    <row r="3425" customFormat="false" ht="12.75" hidden="false" customHeight="false" outlineLevel="0" collapsed="false">
      <c r="A3425" s="1" t="n">
        <v>172</v>
      </c>
      <c r="B3425" s="1" t="n">
        <v>115</v>
      </c>
      <c r="C3425" s="1" t="n">
        <v>287</v>
      </c>
      <c r="D3425" s="1" t="s">
        <v>1487</v>
      </c>
      <c r="E3425" s="1" t="s">
        <v>1488</v>
      </c>
      <c r="F3425" s="1" t="s">
        <v>1489</v>
      </c>
      <c r="G3425" s="1" t="n">
        <f aca="false">IF(ISNUMBER(E3425),E3425,VALUE(SUBSTITUTE(E3425,"#",".01")))</f>
        <v>177895.01</v>
      </c>
    </row>
    <row r="3426" customFormat="false" ht="12.75" hidden="false" customHeight="false" outlineLevel="0" collapsed="false">
      <c r="A3426" s="1" t="n">
        <v>174</v>
      </c>
      <c r="B3426" s="1" t="n">
        <v>114</v>
      </c>
      <c r="C3426" s="1" t="n">
        <v>288</v>
      </c>
      <c r="D3426" s="1" t="s">
        <v>1472</v>
      </c>
      <c r="E3426" s="1" t="s">
        <v>1490</v>
      </c>
      <c r="F3426" s="1" t="s">
        <v>1455</v>
      </c>
      <c r="G3426" s="1" t="n">
        <f aca="false">IF(ISNUMBER(E3426),E3426,VALUE(SUBSTITUTE(E3426,"#",".01")))</f>
        <v>175042.01</v>
      </c>
    </row>
    <row r="3427" customFormat="false" ht="12.75" hidden="false" customHeight="false" outlineLevel="0" collapsed="false">
      <c r="A3427" s="1" t="n">
        <v>173</v>
      </c>
      <c r="B3427" s="1" t="n">
        <v>115</v>
      </c>
      <c r="C3427" s="1" t="n">
        <v>288</v>
      </c>
      <c r="D3427" s="1" t="s">
        <v>1487</v>
      </c>
      <c r="E3427" s="1" t="s">
        <v>1491</v>
      </c>
      <c r="F3427" s="1" t="s">
        <v>1492</v>
      </c>
      <c r="G3427" s="1" t="n">
        <f aca="false">IF(ISNUMBER(E3427),E3427,VALUE(SUBSTITUTE(E3427,"#",".01")))</f>
        <v>179771.01</v>
      </c>
    </row>
    <row r="3428" customFormat="false" ht="12.75" hidden="false" customHeight="false" outlineLevel="0" collapsed="false">
      <c r="A3428" s="1" t="n">
        <v>175</v>
      </c>
      <c r="B3428" s="1" t="n">
        <v>114</v>
      </c>
      <c r="C3428" s="1" t="n">
        <v>289</v>
      </c>
      <c r="D3428" s="1" t="s">
        <v>1472</v>
      </c>
      <c r="E3428" s="1" t="s">
        <v>1493</v>
      </c>
      <c r="F3428" s="1" t="s">
        <v>1494</v>
      </c>
      <c r="G3428" s="1" t="n">
        <f aca="false">IF(ISNUMBER(E3428),E3428,VALUE(SUBSTITUTE(E3428,"#",".01")))</f>
        <v>177564.01</v>
      </c>
    </row>
    <row r="3429" customFormat="false" ht="12.75" hidden="false" customHeight="false" outlineLevel="0" collapsed="false">
      <c r="A3429" s="1" t="n">
        <v>174</v>
      </c>
      <c r="B3429" s="1" t="n">
        <v>115</v>
      </c>
      <c r="C3429" s="1" t="n">
        <v>289</v>
      </c>
      <c r="D3429" s="1" t="s">
        <v>1487</v>
      </c>
      <c r="E3429" s="1" t="s">
        <v>1495</v>
      </c>
      <c r="F3429" s="1" t="s">
        <v>1496</v>
      </c>
      <c r="G3429" s="1" t="n">
        <f aca="false">IF(ISNUMBER(E3429),E3429,VALUE(SUBSTITUTE(E3429,"#",".01")))</f>
        <v>180666.01</v>
      </c>
    </row>
    <row r="3430" customFormat="false" ht="12.75" hidden="false" customHeight="false" outlineLevel="0" collapsed="false">
      <c r="A3430" s="1" t="n">
        <v>173</v>
      </c>
      <c r="B3430" s="1" t="n">
        <v>116</v>
      </c>
      <c r="C3430" s="1" t="n">
        <v>289</v>
      </c>
      <c r="D3430" s="1" t="s">
        <v>1497</v>
      </c>
      <c r="E3430" s="1" t="s">
        <v>1498</v>
      </c>
      <c r="F3430" s="1" t="s">
        <v>1499</v>
      </c>
      <c r="G3430" s="1" t="n">
        <f aca="false">IF(ISNUMBER(E3430),E3430,VALUE(SUBSTITUTE(E3430,"#",".01")))</f>
        <v>184528.01</v>
      </c>
    </row>
    <row r="3431" customFormat="false" ht="12.75" hidden="false" customHeight="false" outlineLevel="0" collapsed="false">
      <c r="A3431" s="1" t="n">
        <v>175</v>
      </c>
      <c r="B3431" s="1" t="n">
        <v>115</v>
      </c>
      <c r="C3431" s="1" t="n">
        <v>290</v>
      </c>
      <c r="D3431" s="1" t="s">
        <v>1487</v>
      </c>
      <c r="E3431" s="1" t="s">
        <v>1500</v>
      </c>
      <c r="F3431" s="1" t="s">
        <v>1501</v>
      </c>
      <c r="G3431" s="1" t="n">
        <f aca="false">IF(ISNUMBER(E3431),E3431,VALUE(SUBSTITUTE(E3431,"#",".01")))</f>
        <v>182894.01</v>
      </c>
    </row>
    <row r="3432" customFormat="false" ht="12.75" hidden="false" customHeight="false" outlineLevel="0" collapsed="false">
      <c r="A3432" s="1" t="n">
        <v>174</v>
      </c>
      <c r="B3432" s="1" t="n">
        <v>116</v>
      </c>
      <c r="C3432" s="1" t="n">
        <v>290</v>
      </c>
      <c r="D3432" s="1" t="s">
        <v>1497</v>
      </c>
      <c r="E3432" s="1" t="s">
        <v>1502</v>
      </c>
      <c r="F3432" s="1" t="s">
        <v>1503</v>
      </c>
      <c r="G3432" s="1" t="n">
        <f aca="false">IF(ISNUMBER(E3432),E3432,VALUE(SUBSTITUTE(E3432,"#",".01")))</f>
        <v>185198.01</v>
      </c>
    </row>
    <row r="3433" customFormat="false" ht="12.75" hidden="false" customHeight="false" outlineLevel="0" collapsed="false">
      <c r="A3433" s="1" t="n">
        <v>176</v>
      </c>
      <c r="B3433" s="1" t="n">
        <v>115</v>
      </c>
      <c r="C3433" s="1" t="n">
        <v>291</v>
      </c>
      <c r="D3433" s="1" t="s">
        <v>1487</v>
      </c>
      <c r="E3433" s="1" t="s">
        <v>1504</v>
      </c>
      <c r="F3433" s="1" t="s">
        <v>1505</v>
      </c>
      <c r="G3433" s="1" t="n">
        <f aca="false">IF(ISNUMBER(E3433),E3433,VALUE(SUBSTITUTE(E3433,"#",".01")))</f>
        <v>183990.01</v>
      </c>
    </row>
    <row r="3434" customFormat="false" ht="12.75" hidden="false" customHeight="false" outlineLevel="0" collapsed="false">
      <c r="A3434" s="1" t="n">
        <v>175</v>
      </c>
      <c r="B3434" s="1" t="n">
        <v>116</v>
      </c>
      <c r="C3434" s="1" t="n">
        <v>291</v>
      </c>
      <c r="D3434" s="1" t="s">
        <v>1497</v>
      </c>
      <c r="E3434" s="1" t="s">
        <v>1506</v>
      </c>
      <c r="F3434" s="1" t="s">
        <v>1507</v>
      </c>
      <c r="G3434" s="1" t="n">
        <f aca="false">IF(ISNUMBER(E3434),E3434,VALUE(SUBSTITUTE(E3434,"#",".01")))</f>
        <v>187387.01</v>
      </c>
    </row>
    <row r="3435" customFormat="false" ht="12.75" hidden="false" customHeight="false" outlineLevel="0" collapsed="false">
      <c r="A3435" s="1" t="n">
        <v>174</v>
      </c>
      <c r="B3435" s="1" t="n">
        <v>117</v>
      </c>
      <c r="C3435" s="1" t="n">
        <v>291</v>
      </c>
      <c r="D3435" s="1" t="s">
        <v>1508</v>
      </c>
      <c r="E3435" s="1" t="s">
        <v>1509</v>
      </c>
      <c r="F3435" s="1" t="s">
        <v>1510</v>
      </c>
      <c r="G3435" s="1" t="n">
        <f aca="false">IF(ISNUMBER(E3435),E3435,VALUE(SUBSTITUTE(E3435,"#",".01")))</f>
        <v>191800.01</v>
      </c>
    </row>
    <row r="3436" customFormat="false" ht="12.75" hidden="false" customHeight="false" outlineLevel="0" collapsed="false">
      <c r="A3436" s="1" t="n">
        <v>176</v>
      </c>
      <c r="B3436" s="1" t="n">
        <v>116</v>
      </c>
      <c r="C3436" s="1" t="n">
        <v>292</v>
      </c>
      <c r="D3436" s="1" t="s">
        <v>1497</v>
      </c>
      <c r="E3436" s="1" t="s">
        <v>1511</v>
      </c>
      <c r="F3436" s="1" t="s">
        <v>1455</v>
      </c>
      <c r="G3436" s="1" t="n">
        <f aca="false">IF(ISNUMBER(E3436),E3436,VALUE(SUBSTITUTE(E3436,"#",".01")))</f>
        <v>188242.01</v>
      </c>
    </row>
    <row r="3437" customFormat="false" ht="12.75" hidden="false" customHeight="false" outlineLevel="0" collapsed="false">
      <c r="A3437" s="1" t="n">
        <v>175</v>
      </c>
      <c r="B3437" s="1" t="n">
        <v>117</v>
      </c>
      <c r="C3437" s="1" t="n">
        <v>292</v>
      </c>
      <c r="D3437" s="1" t="s">
        <v>1508</v>
      </c>
      <c r="E3437" s="1" t="s">
        <v>1512</v>
      </c>
      <c r="F3437" s="1" t="s">
        <v>1513</v>
      </c>
      <c r="G3437" s="1" t="n">
        <f aca="false">IF(ISNUMBER(E3437),E3437,VALUE(SUBSTITUTE(E3437,"#",".01")))</f>
        <v>193576.01</v>
      </c>
    </row>
    <row r="3438" customFormat="false" ht="12.75" hidden="false" customHeight="false" outlineLevel="0" collapsed="false">
      <c r="A3438" s="1" t="n">
        <v>177</v>
      </c>
      <c r="B3438" s="1" t="n">
        <v>116</v>
      </c>
      <c r="C3438" s="1" t="n">
        <v>293</v>
      </c>
      <c r="D3438" s="1" t="s">
        <v>1497</v>
      </c>
      <c r="E3438" s="1" t="s">
        <v>1514</v>
      </c>
      <c r="F3438" s="1" t="s">
        <v>1515</v>
      </c>
      <c r="G3438" s="1" t="n">
        <f aca="false">IF(ISNUMBER(E3438),E3438,VALUE(SUBSTITUTE(E3438,"#",".01")))</f>
        <v>190669.01</v>
      </c>
    </row>
    <row r="3439" customFormat="false" ht="12.75" hidden="false" customHeight="false" outlineLevel="0" collapsed="false">
      <c r="A3439" s="1" t="n">
        <v>176</v>
      </c>
      <c r="B3439" s="1" t="n">
        <v>117</v>
      </c>
      <c r="C3439" s="1" t="n">
        <v>293</v>
      </c>
      <c r="D3439" s="1" t="s">
        <v>1508</v>
      </c>
      <c r="E3439" s="1" t="s">
        <v>1516</v>
      </c>
      <c r="F3439" s="1" t="s">
        <v>1517</v>
      </c>
      <c r="G3439" s="1" t="n">
        <f aca="false">IF(ISNUMBER(E3439),E3439,VALUE(SUBSTITUTE(E3439,"#",".01")))</f>
        <v>194385.01</v>
      </c>
    </row>
    <row r="3440" customFormat="false" ht="12.75" hidden="false" customHeight="false" outlineLevel="0" collapsed="false">
      <c r="A3440" s="1" t="n">
        <v>175</v>
      </c>
      <c r="B3440" s="1" t="n">
        <v>118</v>
      </c>
      <c r="C3440" s="1" t="n">
        <v>293</v>
      </c>
      <c r="D3440" s="1" t="s">
        <v>1518</v>
      </c>
      <c r="E3440" s="1" t="s">
        <v>1519</v>
      </c>
      <c r="F3440" s="1" t="s">
        <v>1520</v>
      </c>
      <c r="G3440" s="1" t="n">
        <f aca="false">IF(ISNUMBER(E3440),E3440,VALUE(SUBSTITUTE(E3440,"#",".01")))</f>
        <v>198873.01</v>
      </c>
    </row>
    <row r="3441" customFormat="false" ht="12.75" hidden="false" customHeight="false" outlineLevel="0" collapsed="false">
      <c r="A3441" s="1" t="n">
        <v>177</v>
      </c>
      <c r="B3441" s="1" t="n">
        <v>117</v>
      </c>
      <c r="C3441" s="1" t="n">
        <v>294</v>
      </c>
      <c r="D3441" s="1" t="s">
        <v>1508</v>
      </c>
      <c r="E3441" s="1" t="s">
        <v>1521</v>
      </c>
      <c r="F3441" s="1" t="s">
        <v>1503</v>
      </c>
      <c r="G3441" s="1" t="n">
        <f aca="false">IF(ISNUMBER(E3441),E3441,VALUE(SUBSTITUTE(E3441,"#",".01")))</f>
        <v>196521.01</v>
      </c>
    </row>
    <row r="3442" customFormat="false" ht="12.75" hidden="false" customHeight="false" outlineLevel="0" collapsed="false">
      <c r="A3442" s="1" t="n">
        <v>176</v>
      </c>
      <c r="B3442" s="1" t="n">
        <v>118</v>
      </c>
      <c r="C3442" s="1" t="n">
        <v>294</v>
      </c>
      <c r="D3442" s="1" t="s">
        <v>1518</v>
      </c>
      <c r="E3442" s="1" t="s">
        <v>1522</v>
      </c>
      <c r="F3442" s="1" t="s">
        <v>1523</v>
      </c>
      <c r="G3442" s="1" t="n">
        <f aca="false">IF(ISNUMBER(E3442),E3442,VALUE(SUBSTITUTE(E3442,"#",".01")))</f>
        <v>199463.01</v>
      </c>
    </row>
    <row r="3443" customFormat="false" ht="12.75" hidden="false" customHeight="false" outlineLevel="0" collapsed="false">
      <c r="A3443" s="1" t="n">
        <v>177</v>
      </c>
      <c r="B3443" s="1" t="n">
        <v>118</v>
      </c>
      <c r="C3443" s="1" t="n">
        <v>295</v>
      </c>
      <c r="D3443" s="1" t="s">
        <v>1518</v>
      </c>
      <c r="E3443" s="1" t="s">
        <v>1524</v>
      </c>
      <c r="F3443" s="1" t="s">
        <v>1525</v>
      </c>
      <c r="G3443" s="1" t="n">
        <f aca="false">IF(ISNUMBER(E3443),E3443,VALUE(SUBSTITUTE(E3443,"#",".01")))</f>
        <v>201512.01</v>
      </c>
    </row>
    <row r="3444" customFormat="false" ht="12.75" hidden="false" customHeight="false" outlineLevel="0" collapsed="false">
      <c r="B3444" s="1" t="n">
        <v>123</v>
      </c>
    </row>
  </sheetData>
  <hyperlinks>
    <hyperlink ref="M6" r:id="rId1" display="https://www-nds.iaea.org/amdc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LibreOffice/7.4.7.2$Linux_X86_64 LibreOffice_project/40$Build-2</Application>
  <AppVersion>15.0000</AppVersion>
  <Company>University of Surrey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1998-10-11T01:22:07Z</dcterms:created>
  <dc:creator>Wilton Catford</dc:creator>
  <dc:description/>
  <dc:language>en-US</dc:language>
  <cp:lastModifiedBy/>
  <dcterms:modified xsi:type="dcterms:W3CDTF">2025-09-23T16:26:07Z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